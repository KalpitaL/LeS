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7" lowestEdited="5" rupBuild="18431" codeName="{B1203076-2D4D-A25B-A398-973B695A806A}"/>
  <x:workbookPr showInkAnnotation="0" codeName="ThisWorkbook" defaultThemeVersion="124226"/>
  <mc:AlternateContent xmlns:mc="http://schemas.openxmlformats.org/markup-compatibility/2006">
    <mc:Choice Requires="x15">
      <x15ac:absPath xmlns:x15ac="http://schemas.microsoft.com/office/spreadsheetml/2010/11/ac" url="E:\MariApps.PALVE\MariApps.PALVE.ApiService\ExcelTemplate\"/>
    </mc:Choice>
  </mc:AlternateContent>
  <x:bookViews>
    <x:workbookView xWindow="480" yWindow="180" windowWidth="16530" windowHeight="9435" firstSheet="0" activeTab="0"/>
  </x:bookViews>
  <x:sheets>
    <x:sheet name="Quote" sheetId="1" r:id="rId1"/>
    <x:sheet name="MasterData" sheetId="2" state="hidden" r:id="rId2"/>
  </x:sheets>
  <x:functionGroups builtInGroupCount="18"/>
  <x:definedNames>
    <x:definedName name="_xlnm.Print_Area" localSheetId="0">'Quote'!$A$1:$S$419</x:definedName>
    <x:definedName name="BCCEmailId">'Quote'!$N$399</x:definedName>
    <x:definedName name="BuyerRemarks">'Quote'!$F$401</x:definedName>
    <x:definedName name="CompanyAddress">Quote!$A$5</x:definedName>
    <x:definedName name="CompanyName">Quote!$A$4</x:definedName>
    <x:definedName name="Currency">Quote!$O$14</x:definedName>
    <x:definedName name="Days">Quote!$Q$11</x:definedName>
    <x:definedName name="Discount_All">Quote!$O$15</x:definedName>
    <x:definedName name="Enquiry_ID">'Quote'!$A$399</x:definedName>
    <x:definedName name="Enquiry_To_Vendor_ID">'Quote'!$C$399</x:definedName>
    <x:definedName name="ErrorMessage">'Quote'!$Q$399</x:definedName>
    <x:definedName name="GrandTotal">'Quote'!$P$398</x:definedName>
    <x:definedName name="HeaderID">MasterData!$N$4</x:definedName>
    <x:definedName name="ItemID">Quote!$B$19</x:definedName>
    <x:definedName name="ItemListEndRow">'Quote'!$A$391</x:definedName>
    <x:definedName name="ItemListStartupRow">Quote!$A$19</x:definedName>
    <x:definedName name="ItemSubTotal">'Quote'!$P$397</x:definedName>
    <x:definedName name="ItemSubTotalTitle">'Quote'!$L$397</x:definedName>
    <x:definedName name="LoggedInEmailID">'Quote'!$J$399</x:definedName>
    <x:definedName name="LoggedInPwd">'Quote'!$K$399</x:definedName>
    <x:definedName name="OtherChargesLastRow">'Quote'!$A$397</x:definedName>
    <x:definedName name="OtherChargesStartRow">'Quote'!$A$392</x:definedName>
    <x:definedName name="PackingInstruction">'Quote'!$F$402</x:definedName>
    <x:definedName name="Payment_Terms">Quote!$O$11</x:definedName>
    <x:definedName name="PortOfDelivery">Quote!$O$9</x:definedName>
    <x:definedName name="QuoteBefore">Quote!$O$8</x:definedName>
    <x:definedName name="QuoteID">MasterData!$N$7</x:definedName>
    <x:definedName name="QuoteSubject">'Quote'!$E$399</x:definedName>
    <x:definedName name="ReqNumber">Quote!$O$7</x:definedName>
    <x:definedName name="RequestForQuoteID">MasterData!$N$3</x:definedName>
    <x:definedName name="RFQ_ID">MasterData!$N$2</x:definedName>
    <x:definedName name="RFQCategory">MasterData!$N$6</x:definedName>
    <x:definedName name="RFQDate">Quote!$O$6</x:definedName>
    <x:definedName name="RFQFileType">MasterData!$N$1</x:definedName>
    <x:definedName name="RFQNumber">Quote!$O$5</x:definedName>
    <x:definedName name="SentDate">'Quote'!$M$399</x:definedName>
    <x:definedName name="SentIndex">'Quote'!$F$399</x:definedName>
    <x:definedName name="ToEmailID">'Quote'!$G$399</x:definedName>
    <x:definedName name="ToEmailPwd">'Quote'!$H$399</x:definedName>
    <x:definedName name="VAT_All">Quote!$O$16</x:definedName>
    <x:definedName name="Vendor_ID">'Quote'!$B$399</x:definedName>
    <x:definedName name="VendorAddress">Quote!$D$14</x:definedName>
    <x:definedName name="VendorAddressCity">Quote!$D$15</x:definedName>
    <x:definedName name="VendorAddressEmail">Quote!$D$17</x:definedName>
    <x:definedName name="VendorAddressPhone">Quote!$D$16</x:definedName>
    <x:definedName name="VendorEmailID">'Quote'!$D$399</x:definedName>
    <x:definedName name="VendorID">MasterData!$N$5</x:definedName>
    <x:definedName name="VendorName">Quote!$D$13</x:definedName>
    <x:definedName name="VendorReference">Quote!$O$12</x:definedName>
    <x:definedName name="VendorRemarks">'Quote'!$F$403</x:definedName>
    <x:definedName name="VesselETA">Quote!$O$10</x:definedName>
    <x:definedName name="VesselName">Quote!$O$4</x:definedName>
    <x:definedName name="SubItemTotal">'Quote'!$P$366:$P$366,'Quote'!$P$389:$P$389</x:definedName>
  </x:definedNames>
  <x:calcPr calcId="171027"/>
</x:workbook>
</file>

<file path=xl/calcChain.xml><?xml version="1.0" encoding="utf-8"?>
<x:calcChain xmlns:x="http://schemas.openxmlformats.org/spreadsheetml/2006/main">
  <x:c r="L19" i="1"/>
  <x:c r="P21" i="1"/>
  <x:c r="P22" i="1"/>
  <x:c r="P23" i="1"/>
  <x:c r="P24" i="1"/>
  <x:c r="P25" i="1"/>
  <x:c r="P26" i="1"/>
  <x:c r="P27" i="1"/>
  <x:c r="P28" i="1"/>
  <x:c r="P29" i="1"/>
  <x:c r="P30" i="1"/>
  <x:c r="P31" i="1"/>
  <x:c r="P32" i="1"/>
  <x:c r="P33" i="1"/>
  <x:c r="P34" i="1"/>
  <x:c r="P35" i="1"/>
  <x:c r="P36" i="1"/>
  <x:c r="P37" i="1"/>
  <x:c r="P38" i="1"/>
  <x:c r="P39" i="1"/>
  <x:c r="P40" i="1"/>
  <x:c r="P41" i="1"/>
  <x:c r="P42" i="1"/>
  <x:c r="P43" i="1"/>
  <x:c r="P44" i="1"/>
  <x:c r="P45" i="1"/>
  <x:c r="P46" i="1"/>
  <x:c r="P47" i="1"/>
  <x:c r="P48" i="1"/>
  <x:c r="P49" i="1"/>
  <x:c r="P50" i="1"/>
  <x:c r="P51" i="1"/>
  <x:c r="P52" i="1"/>
  <x:c r="P53" i="1"/>
  <x:c r="P54" i="1"/>
  <x:c r="P55" i="1"/>
  <x:c r="P56" i="1"/>
  <x:c r="P57" i="1"/>
  <x:c r="P58" i="1"/>
  <x:c r="P59" i="1"/>
  <x:c r="P60" i="1"/>
  <x:c r="P61" i="1"/>
  <x:c r="P62" i="1"/>
  <x:c r="P63" i="1"/>
  <x:c r="P64" i="1"/>
  <x:c r="P65" i="1"/>
  <x:c r="P66" i="1"/>
  <x:c r="P67" i="1"/>
  <x:c r="P68" i="1"/>
  <x:c r="P69" i="1"/>
  <x:c r="P70" i="1"/>
  <x:c r="P71" i="1"/>
  <x:c r="P72" i="1"/>
  <x:c r="P73" i="1"/>
  <x:c r="P74" i="1"/>
  <x:c r="P75" i="1"/>
  <x:c r="P76" i="1"/>
  <x:c r="P77" i="1"/>
  <x:c r="P78" i="1"/>
  <x:c r="P79" i="1"/>
  <x:c r="P80" i="1"/>
  <x:c r="P81" i="1"/>
  <x:c r="P82" i="1"/>
  <x:c r="P83" i="1"/>
  <x:c r="P84" i="1"/>
  <x:c r="P85" i="1"/>
  <x:c r="P86" i="1"/>
  <x:c r="P87" i="1"/>
  <x:c r="P88" i="1"/>
  <x:c r="P89" i="1"/>
  <x:c r="P90" i="1"/>
  <x:c r="P91" i="1"/>
  <x:c r="P92" i="1"/>
  <x:c r="P93" i="1"/>
  <x:c r="P94" i="1"/>
  <x:c r="P95" i="1"/>
  <x:c r="P96" i="1"/>
  <x:c r="P97" i="1"/>
  <x:c r="P98" i="1"/>
  <x:c r="P99" i="1"/>
  <x:c r="P100" i="1"/>
  <x:c r="P101" i="1"/>
  <x:c r="P102" i="1"/>
  <x:c r="P103" i="1"/>
  <x:c r="P104" i="1"/>
  <x:c r="P105" i="1"/>
  <x:c r="P106" i="1"/>
  <x:c r="P107" i="1"/>
  <x:c r="P108" i="1"/>
  <x:c r="P109" i="1"/>
  <x:c r="P110" i="1"/>
  <x:c r="P111" i="1"/>
  <x:c r="P112" i="1"/>
  <x:c r="P113" i="1"/>
  <x:c r="P114" i="1"/>
  <x:c r="P115" i="1"/>
  <x:c r="P116" i="1"/>
  <x:c r="P117" i="1"/>
  <x:c r="P118" i="1"/>
  <x:c r="P119" i="1"/>
  <x:c r="P120" i="1"/>
  <x:c r="P121" i="1"/>
  <x:c r="P122" i="1"/>
  <x:c r="P123" i="1"/>
  <x:c r="P124" i="1"/>
  <x:c r="P125" i="1"/>
  <x:c r="P126" i="1"/>
  <x:c r="P127" i="1"/>
  <x:c r="P128" i="1"/>
  <x:c r="P129" i="1"/>
  <x:c r="P130" i="1"/>
  <x:c r="P131" i="1"/>
  <x:c r="P132" i="1"/>
  <x:c r="P133" i="1"/>
  <x:c r="P134" i="1"/>
  <x:c r="P135" i="1"/>
  <x:c r="P136" i="1"/>
  <x:c r="P137" i="1"/>
  <x:c r="P138" i="1"/>
  <x:c r="P139" i="1"/>
  <x:c r="P140" i="1"/>
  <x:c r="P141" i="1"/>
  <x:c r="P142" i="1"/>
  <x:c r="P143" i="1"/>
  <x:c r="P144" i="1"/>
  <x:c r="P145" i="1"/>
  <x:c r="P146" i="1"/>
  <x:c r="P147" i="1"/>
  <x:c r="P148" i="1"/>
  <x:c r="P149" i="1"/>
  <x:c r="P150" i="1"/>
  <x:c r="P151" i="1"/>
  <x:c r="P152" i="1"/>
  <x:c r="P153" i="1"/>
  <x:c r="P154" i="1"/>
  <x:c r="P155" i="1"/>
  <x:c r="P156" i="1"/>
  <x:c r="P157" i="1"/>
  <x:c r="P158" i="1"/>
  <x:c r="P159" i="1"/>
  <x:c r="P160" i="1"/>
  <x:c r="P161" i="1"/>
  <x:c r="P162" i="1"/>
  <x:c r="P163" i="1"/>
  <x:c r="P164" i="1"/>
  <x:c r="P165" i="1"/>
  <x:c r="P166" i="1"/>
  <x:c r="P167" i="1"/>
  <x:c r="P168" i="1"/>
  <x:c r="P169" i="1"/>
  <x:c r="P170" i="1"/>
  <x:c r="P171" i="1"/>
  <x:c r="P172" i="1"/>
  <x:c r="P173" i="1"/>
  <x:c r="P174" i="1"/>
  <x:c r="P175" i="1"/>
  <x:c r="P176" i="1"/>
  <x:c r="P177" i="1"/>
  <x:c r="P178" i="1"/>
  <x:c r="P179" i="1"/>
  <x:c r="P180" i="1"/>
  <x:c r="P181" i="1"/>
  <x:c r="P182" i="1"/>
  <x:c r="P183" i="1"/>
  <x:c r="P184" i="1"/>
  <x:c r="P185" i="1"/>
  <x:c r="P186" i="1"/>
  <x:c r="P187" i="1"/>
  <x:c r="P188" i="1"/>
  <x:c r="P189" i="1"/>
  <x:c r="P190" i="1"/>
  <x:c r="P191" i="1"/>
  <x:c r="P192" i="1"/>
  <x:c r="P193" i="1"/>
  <x:c r="P194" i="1"/>
  <x:c r="P195" i="1"/>
  <x:c r="P196" i="1"/>
  <x:c r="P197" i="1"/>
  <x:c r="P198" i="1"/>
  <x:c r="P199" i="1"/>
  <x:c r="P200" i="1"/>
  <x:c r="P201" i="1"/>
  <x:c r="P202" i="1"/>
  <x:c r="P203" i="1"/>
  <x:c r="P204" i="1"/>
  <x:c r="P205" i="1"/>
  <x:c r="P206" i="1"/>
  <x:c r="P207" i="1"/>
  <x:c r="P208" i="1"/>
  <x:c r="P209" i="1"/>
  <x:c r="P210" i="1"/>
  <x:c r="P211" i="1"/>
  <x:c r="P212" i="1"/>
  <x:c r="P213" i="1"/>
  <x:c r="P214" i="1"/>
  <x:c r="P215" i="1"/>
  <x:c r="P216" i="1"/>
  <x:c r="P217" i="1"/>
  <x:c r="P218" i="1"/>
  <x:c r="P219" i="1"/>
  <x:c r="P220" i="1"/>
  <x:c r="P221" i="1"/>
  <x:c r="P222" i="1"/>
  <x:c r="P223" i="1"/>
  <x:c r="P224" i="1"/>
  <x:c r="P225" i="1"/>
  <x:c r="P226" i="1"/>
  <x:c r="P227" i="1"/>
  <x:c r="P228" i="1"/>
  <x:c r="P229" i="1"/>
  <x:c r="P230" i="1"/>
  <x:c r="P231" i="1"/>
  <x:c r="P232" i="1"/>
  <x:c r="P233" i="1"/>
  <x:c r="P234" i="1"/>
  <x:c r="P235" i="1"/>
  <x:c r="P236" i="1"/>
  <x:c r="P237" i="1"/>
  <x:c r="P238" i="1"/>
  <x:c r="P239" i="1"/>
  <x:c r="P240" i="1"/>
  <x:c r="P241" i="1"/>
  <x:c r="P242" i="1"/>
  <x:c r="P243" i="1"/>
  <x:c r="P244" i="1"/>
  <x:c r="P245" i="1"/>
  <x:c r="P246" i="1"/>
  <x:c r="P247" i="1"/>
  <x:c r="P248" i="1"/>
  <x:c r="P249" i="1"/>
  <x:c r="P250" i="1"/>
  <x:c r="P251" i="1"/>
  <x:c r="P252" i="1"/>
  <x:c r="P253" i="1"/>
  <x:c r="P254" i="1"/>
  <x:c r="P255" i="1"/>
  <x:c r="P256" i="1"/>
  <x:c r="P257" i="1"/>
  <x:c r="P258" i="1"/>
  <x:c r="P259" i="1"/>
  <x:c r="P260" i="1"/>
  <x:c r="P261" i="1"/>
  <x:c r="P262" i="1"/>
  <x:c r="P263" i="1"/>
  <x:c r="P264" i="1"/>
  <x:c r="P265" i="1"/>
  <x:c r="P266" i="1"/>
  <x:c r="P267" i="1"/>
  <x:c r="P268" i="1"/>
  <x:c r="P269" i="1"/>
  <x:c r="P270" i="1"/>
  <x:c r="P271" i="1"/>
  <x:c r="P272" i="1"/>
  <x:c r="P273" i="1"/>
  <x:c r="P274" i="1"/>
  <x:c r="P275" i="1"/>
  <x:c r="P276" i="1"/>
  <x:c r="P277" i="1"/>
  <x:c r="P278" i="1"/>
  <x:c r="P279" i="1"/>
  <x:c r="P280" i="1"/>
  <x:c r="P281" i="1"/>
  <x:c r="P282" i="1"/>
  <x:c r="P283" i="1"/>
  <x:c r="P284" i="1"/>
  <x:c r="P285" i="1"/>
  <x:c r="P286" i="1"/>
  <x:c r="P287" i="1"/>
  <x:c r="P288" i="1"/>
  <x:c r="P289" i="1"/>
  <x:c r="P290" i="1"/>
  <x:c r="P291" i="1"/>
  <x:c r="P292" i="1"/>
  <x:c r="P293" i="1"/>
  <x:c r="P294" i="1"/>
  <x:c r="P295" i="1"/>
  <x:c r="P296" i="1"/>
  <x:c r="P297" i="1"/>
  <x:c r="P298" i="1"/>
  <x:c r="P299" i="1"/>
  <x:c r="P300" i="1"/>
  <x:c r="P301" i="1"/>
  <x:c r="P302" i="1"/>
  <x:c r="P303" i="1"/>
  <x:c r="P304" i="1"/>
  <x:c r="P305" i="1"/>
  <x:c r="P306" i="1"/>
  <x:c r="P307" i="1"/>
  <x:c r="P308" i="1"/>
  <x:c r="P309" i="1"/>
  <x:c r="P310" i="1"/>
  <x:c r="P311" i="1"/>
  <x:c r="P312" i="1"/>
  <x:c r="P313" i="1"/>
  <x:c r="P314" i="1"/>
  <x:c r="P315" i="1"/>
  <x:c r="P316" i="1"/>
  <x:c r="P317" i="1"/>
  <x:c r="P318" i="1"/>
  <x:c r="P319" i="1"/>
  <x:c r="P320" i="1"/>
  <x:c r="P321" i="1"/>
  <x:c r="P322" i="1"/>
  <x:c r="P323" i="1"/>
  <x:c r="P324" i="1"/>
  <x:c r="P325" i="1"/>
  <x:c r="P326" i="1"/>
  <x:c r="P327" i="1"/>
  <x:c r="P328" i="1"/>
  <x:c r="P329" i="1"/>
  <x:c r="P330" i="1"/>
  <x:c r="P331" i="1"/>
  <x:c r="P332" i="1"/>
  <x:c r="P333" i="1"/>
  <x:c r="P334" i="1"/>
  <x:c r="P335" i="1"/>
  <x:c r="P336" i="1"/>
  <x:c r="P337" i="1"/>
  <x:c r="P338" i="1"/>
  <x:c r="P339" i="1"/>
  <x:c r="P340" i="1"/>
  <x:c r="P341" i="1"/>
  <x:c r="P342" i="1"/>
  <x:c r="P343" i="1"/>
  <x:c r="P344" i="1"/>
  <x:c r="P345" i="1"/>
  <x:c r="P346" i="1"/>
  <x:c r="P347" i="1"/>
  <x:c r="P348" i="1"/>
  <x:c r="P349" i="1"/>
  <x:c r="P350" i="1"/>
  <x:c r="P351" i="1"/>
  <x:c r="P352" i="1"/>
  <x:c r="P353" i="1"/>
  <x:c r="P354" i="1"/>
  <x:c r="P355" i="1"/>
  <x:c r="P356" i="1"/>
  <x:c r="P357" i="1"/>
  <x:c r="P358" i="1"/>
  <x:c r="P359" i="1"/>
  <x:c r="P360" i="1"/>
  <x:c r="P361" i="1"/>
  <x:c r="P362" i="1"/>
  <x:c r="P363" i="1"/>
  <x:c r="P364" i="1"/>
  <x:c r="P365" i="1"/>
  <x:c r="P366" i="1"/>
  <x:c r="P368" i="1"/>
  <x:c r="P369" i="1"/>
  <x:c r="P370" i="1"/>
  <x:c r="P371" i="1"/>
  <x:c r="P372" i="1"/>
  <x:c r="P373" i="1"/>
  <x:c r="P374" i="1"/>
  <x:c r="P375" i="1"/>
  <x:c r="P376" i="1"/>
  <x:c r="P377" i="1"/>
  <x:c r="P378" i="1"/>
  <x:c r="P379" i="1"/>
  <x:c r="P380" i="1"/>
  <x:c r="P381" i="1"/>
  <x:c r="P382" i="1"/>
  <x:c r="P383" i="1"/>
  <x:c r="P384" i="1"/>
  <x:c r="P385" i="1"/>
  <x:c r="P386" i="1"/>
  <x:c r="P387" i="1"/>
  <x:c r="P388" i="1"/>
  <x:c r="P389" i="1"/>
  <x:c r="P393" i="1"/>
  <x:c r="P394" i="1"/>
  <x:c r="P395" i="1"/>
  <x:c r="P396" i="1"/>
  <x:c r="P397" i="1"/>
  <x:c r="P398" i="1"/>
</x:calcChain>
</file>

<file path=xl/sharedStrings.xml><?xml version="1.0" encoding="utf-8"?>
<x:sst xmlns:x="http://schemas.openxmlformats.org/spreadsheetml/2006/main" count="1272" uniqueCount="1272">
  <x:si>
    <x:t>Request for Quote</x:t>
  </x:si>
  <x:si>
    <x:t>Vessel \ Company Details</x:t>
  </x:si>
  <x:si>
    <x:t>BERNHARD SCHULTE SHIPMANAGEMENT (INDIA) PRIVATE LTD.</x:t>
  </x:si>
  <x:si>
    <x:t>Vessel</x:t>
  </x:si>
  <x:si>
    <x:t>Ore Dongjiakou</x:t>
  </x:si>
  <x:si>
    <x:t>SEACHEF - HOSPITALITY SERVICES,</x:t>
  </x:si>
  <x:si>
    <x:t>RFQ No.</x:t>
  </x:si>
  <x:si>
    <x:t>EQ/SCF/VDJK/0054</x:t>
  </x:si>
  <x:si>
    <x:t>BERNHARD SCHULTE SHIPMANAGEMENT (L) LTD.,</x:t>
  </x:si>
  <x:si>
    <x:t>RFQ Date</x:t>
  </x:si>
  <x:si>
    <x:t>C\O Bernhard Schulte Shipmanagement (India) Pvt. Limited</x:t>
  </x:si>
  <x:si>
    <x:t>401 Olympia, Hiranandani Gardens, Powai, Mumbai 400 076, India</x:t>
  </x:si>
  <x:si>
    <x:t>Submit Quote Before:</x:t>
  </x:si>
  <x:si>
    <x:t>Tel: +91-22-40017300        Fax: +91-22-40017555</x:t>
  </x:si>
  <x:si>
    <x:t>Port of Delivery</x:t>
  </x:si>
  <x:si>
    <x:t>Singapore</x:t>
  </x:si>
  <x:si>
    <x:t>Email:</x:t>
  </x:si>
  <x:si>
    <x:t>seachef@seachef.com</x:t>
  </x:si>
  <x:si>
    <x:t>Vessel ETA</x:t>
  </x:si>
  <x:si>
    <x:t>Web:</x:t>
  </x:si>
  <x:si>
    <x:t>www.seachef.com /  www.bs-shipmanagement.com</x:t>
  </x:si>
  <x:si>
    <x:t>Payment Terms</x:t>
  </x:si>
  <x:si>
    <x:t>Credit</x:t>
  </x:si>
  <x:si>
    <x:t>Days</x:t>
  </x:si>
  <x:si>
    <x:t>Vendor Details</x:t>
  </x:si>
  <x:si>
    <x:t xml:space="preserve">Vendor Reference </x:t>
  </x:si>
  <x:si>
    <x:t>Name</x:t>
  </x:si>
  <x:si>
    <x:t>AMOS INTERNATIONAL (S) PTE LTD</x:t>
  </x:si>
  <x:si>
    <x:t>Address</x:t>
  </x:si>
  <x:si>
    <x:t>156 Gul Circle, Singapore 629613</x:t>
  </x:si>
  <x:si>
    <x:r>
      <x:rPr>
        <x:b/>
        <x:vertAlign val="baseline"/>
        <x:sz val="10"/>
        <x:color theme="0" tint="-0.249977111117893"/>
        <x:rFont val="Calibri"/>
        <x:family val="2"/>
      </x:rPr>
      <x:t xml:space="preserve">Select Currency </x:t>
    </x:r>
    <x:r>
      <x:rPr>
        <x:b/>
        <x:vertAlign val="baseline"/>
        <x:sz val="12"/>
        <x:color rgb="FFFF0000"/>
        <x:rFont val="Calibri"/>
        <x:family val="2"/>
      </x:rPr>
      <x:t>*</x:t>
    </x:r>
  </x:si>
  <x:si>
    <x:t>SGD</x:t>
  </x:si>
  <x:si>
    <x:t>City</x:t>
  </x:si>
  <x:si>
    <x:t>Discount (%) for all items</x:t>
  </x:si>
  <x:si>
    <x:t>0</x:t>
  </x:si>
  <x:si>
    <x:t>Phone</x:t>
  </x:si>
  <x:si>
    <x:t>VAT(%) for all items</x:t>
  </x:si>
  <x:si>
    <x:t>Email</x:t>
  </x:si>
  <x:si>
    <x:t>sales.ms.sg@amosgroup.com</x:t>
  </x:si>
  <x:si>
    <x:t>No</x:t>
  </x:si>
  <x:si>
    <x:t>Product Code</x:t>
  </x:si>
  <x:si>
    <x:t>Description</x:t>
  </x:si>
  <x:si>
    <x:t>Brand</x:t>
  </x:si>
  <x:si>
    <x:t>Weight</x:t>
  </x:si>
  <x:si>
    <x:t>Unit</x:t>
  </x:si>
  <x:si>
    <x:t>Package</x:t>
  </x:si>
  <x:si>
    <x:t>Contract Price</x:t>
  </x:si>
  <x:si>
    <x:t>Quantity</x:t>
  </x:si>
  <x:si>
    <x:t>Discount %</x:t>
  </x:si>
  <x:si>
    <x:t>VAT %</x:t>
  </x:si>
  <x:si>
    <x:t>Total Price</x:t>
  </x:si>
  <x:si>
    <x:t>Vendor Remarks</x:t>
  </x:si>
  <x:si>
    <x:t>Office Remarks</x:t>
  </x:si>
  <x:si>
    <x:t>PROVISIONS</x:t>
  </x:si>
  <x:si>
    <x:t>BAK72</x:t>
  </x:si>
  <x:si>
    <x:t xml:space="preserve">Biscuit 50-50 </x:t>
  </x:si>
  <x:si>
    <x:t>GMS</x:t>
  </x:si>
  <x:si>
    <x:t>PKT</x:t>
  </x:si>
  <x:si>
    <x:t>BISC.INDIAN 50-50 (70GR)</x:t>
  </x:si>
  <x:si>
    <x:t>BAK08</x:t>
  </x:si>
  <x:si>
    <x:t xml:space="preserve">Bread Crumb </x:t>
  </x:si>
  <x:si>
    <x:t>Case</x:t>
  </x:si>
  <x:si>
    <x:t>BREAD CRUMBS 1 KG</x:t>
  </x:si>
  <x:si>
    <x:t>BAK61</x:t>
  </x:si>
  <x:si>
    <x:t xml:space="preserve">Brown Bread </x:t>
  </x:si>
  <x:si>
    <x:t>BREAD BROWN SLICED 400GR (NON-RETURNABLE)</x:t>
  </x:si>
  <x:si>
    <x:t>BAK11</x:t>
  </x:si>
  <x:si>
    <x:t xml:space="preserve">Burger Buns </x:t>
  </x:si>
  <x:si>
    <x:t>Nos</x:t>
  </x:si>
  <x:si>
    <x:t>BREAD HAMBURGER 4`S (NON-RETURNABLE)</x:t>
  </x:si>
  <x:si>
    <x:t>BAK12</x:t>
  </x:si>
  <x:si>
    <x:t xml:space="preserve">Butter Cookies </x:t>
  </x:si>
  <x:si>
    <x:t>PKG</x:t>
  </x:si>
  <x:si>
    <x:t>BISC BUTTER COOKIES    454G</x:t>
  </x:si>
  <x:si>
    <x:t>BAK65</x:t>
  </x:si>
  <x:si>
    <x:t xml:space="preserve">Chocochip Biscuit </x:t>
  </x:si>
  <x:si>
    <x:t>BISC-CHIPSMORE COOKIERS 180 GRM ( CHOCOLATE CHIP )</x:t>
  </x:si>
  <x:si>
    <x:t>BAK89</x:t>
  </x:si>
  <x:si>
    <x:t xml:space="preserve">Cookies - Chip's Ahoy </x:t>
  </x:si>
  <x:si>
    <x:t>LOAF</x:t>
  </x:si>
  <x:si>
    <x:t>BISC-CHIP AHOY 80GRM</x:t>
  </x:si>
  <x:si>
    <x:t>BAK90</x:t>
  </x:si>
  <x:si>
    <x:t xml:space="preserve">Cookies - Oreo </x:t>
  </x:si>
  <x:si>
    <x:t>BISC-OREO COOKIES 250 GRM</x:t>
  </x:si>
  <x:si>
    <x:t>BAK56</x:t>
  </x:si>
  <x:si>
    <x:t xml:space="preserve">Croissants (Half Ready) </x:t>
  </x:si>
  <x:si>
    <x:t>DF CROISSANTS (BUTTER)  90`S/BX ( NON-RETURNABLE )</x:t>
  </x:si>
  <x:si>
    <x:t>BAK58</x:t>
  </x:si>
  <x:si>
    <x:t xml:space="preserve">Custard Powder </x:t>
  </x:si>
  <x:si>
    <x:t>CUSTARD POWDER 400GR</x:t>
  </x:si>
  <x:si>
    <x:t>BAK16</x:t>
  </x:si>
  <x:si>
    <x:t xml:space="preserve">Danish Cookies </x:t>
  </x:si>
  <x:si>
    <x:t>BISC BUTTER COOKIES  400GRM (DANISH)</x:t>
  </x:si>
  <x:si>
    <x:t>BAK67</x:t>
  </x:si>
  <x:si>
    <x:t xml:space="preserve">Digestive Biscuits </x:t>
  </x:si>
  <x:si>
    <x:t>BISC-DIGESTIVE 400 GRM "MCVITIES"</x:t>
  </x:si>
  <x:si>
    <x:t>BAK19</x:t>
  </x:si>
  <x:si>
    <x:t xml:space="preserve">Food Colour Green </x:t>
  </x:si>
  <x:si>
    <x:t>BTL</x:t>
  </x:si>
  <x:si>
    <x:t>FOOD COL.LIQ.GREEN 25ML</x:t>
  </x:si>
  <x:si>
    <x:t>BAK23</x:t>
  </x:si>
  <x:si>
    <x:t xml:space="preserve">Food Colour Yellow </x:t>
  </x:si>
  <x:si>
    <x:t>FOOD COLO.LIQ. YELLOW 25 ML</x:t>
  </x:si>
  <x:si>
    <x:t>BAK77</x:t>
  </x:si>
  <x:si>
    <x:t xml:space="preserve">Garlic Bread </x:t>
  </x:si>
  <x:si>
    <x:t>BREAD GARLIC 2'S (270GR)</x:t>
  </x:si>
  <x:si>
    <x:t>BAK63</x:t>
  </x:si>
  <x:si>
    <x:t xml:space="preserve">Good Day Biscuit </x:t>
  </x:si>
  <x:si>
    <x:t>BISC-GOOD DAY ASST'D 70GR</x:t>
  </x:si>
  <x:si>
    <x:t>BAK75</x:t>
  </x:si>
  <x:si>
    <x:t xml:space="preserve">Hot Dog Bun </x:t>
  </x:si>
  <x:si>
    <x:t>BREAD  HOT DOG  4`S</x:t>
  </x:si>
  <x:si>
    <x:t>BAK27</x:t>
  </x:si>
  <x:si>
    <x:t xml:space="preserve">Kewra Essence </x:t>
  </x:si>
  <x:si>
    <x:t>Ml</x:t>
  </x:si>
  <x:si>
    <x:t>KEWRA WATER 180ML</x:t>
  </x:si>
  <x:si>
    <x:t>BAK34</x:t>
  </x:si>
  <x:si>
    <x:t xml:space="preserve">Multigrain Biscuit </x:t>
  </x:si>
  <x:si>
    <x:t>BAK78</x:t>
  </x:si>
  <x:si>
    <x:t xml:space="preserve">Pancake Mix </x:t>
  </x:si>
  <x:si>
    <x:t>CAKE MIXED PANCAKE 400GR</x:t>
  </x:si>
  <x:si>
    <x:t>BAK36</x:t>
  </x:si>
  <x:si>
    <x:t xml:space="preserve">Pappad </x:t>
  </x:si>
  <x:si>
    <x:t>PAPADAM LIIJIT 200 GRM</x:t>
  </x:si>
  <x:si>
    <x:t>BAK64</x:t>
  </x:si>
  <x:si>
    <x:t xml:space="preserve">Parle-G Biscuit </x:t>
  </x:si>
  <x:si>
    <x:t>BISC PARLE-G 70 GRM</x:t>
  </x:si>
  <x:si>
    <x:t>BAK40</x:t>
  </x:si>
  <x:si>
    <x:t xml:space="preserve">Ritz Cracker </x:t>
  </x:si>
  <x:si>
    <x:t>BISC RITZ CRACKERS 227GM</x:t>
  </x:si>
  <x:si>
    <x:t>BAK43</x:t>
  </x:si>
  <x:si>
    <x:t xml:space="preserve">Rose Water </x:t>
  </x:si>
  <x:si>
    <x:t>Ltr</x:t>
  </x:si>
  <x:si>
    <x:t>ROSEWATER  300ML</x:t>
  </x:si>
  <x:si>
    <x:t>BAK45</x:t>
  </x:si>
  <x:si>
    <x:t xml:space="preserve">Saffron </x:t>
  </x:si>
  <x:si>
    <x:t>SAFFRON 1GR</x:t>
  </x:si>
  <x:si>
    <x:t>BAK71</x:t>
  </x:si>
  <x:si>
    <x:t xml:space="preserve">Sliced Fruit Cake </x:t>
  </x:si>
  <x:si>
    <x:t>CAKE-FRUIT CAKE 700 GRM</x:t>
  </x:si>
  <x:si>
    <x:t>BAK68</x:t>
  </x:si>
  <x:si>
    <x:t xml:space="preserve">Swiss Rolls (Ready Made) </x:t>
  </x:si>
  <x:si>
    <x:t>CAKE SWISS ROLLS  300GR FROZEN  = NON RETURNABLE =</x:t>
  </x:si>
  <x:si>
    <x:t>BAK52</x:t>
  </x:si>
  <x:si>
    <x:t xml:space="preserve">Vanilla Essence </x:t>
  </x:si>
  <x:si>
    <x:t>ESSENCE VANILLA  LIQ. 25ML</x:t>
  </x:si>
  <x:si>
    <x:t>BAK54</x:t>
  </x:si>
  <x:si>
    <x:t xml:space="preserve">White Bread Sliced </x:t>
  </x:si>
  <x:si>
    <x:t>BREAD WHITE SLICED  400G</x:t>
  </x:si>
  <x:si>
    <x:t>BEV26</x:t>
  </x:si>
  <x:si>
    <x:t xml:space="preserve">Bournvita </x:t>
  </x:si>
  <x:si>
    <x:t>BOURNVITA 500GM</x:t>
  </x:si>
  <x:si>
    <x:t>BEV04</x:t>
  </x:si>
  <x:si>
    <x:t xml:space="preserve">Coffee Ground </x:t>
  </x:si>
  <x:si>
    <x:t>KG</x:t>
  </x:si>
  <x:si>
    <x:t>COFFEE JACOBS GROUND  500GM</x:t>
  </x:si>
  <x:si>
    <x:t>BEV14</x:t>
  </x:si>
  <x:si>
    <x:t xml:space="preserve">Coffee Instant (Gold) </x:t>
  </x:si>
  <x:si>
    <x:t>COFFEE NESCAFE GOLD 200GM</x:t>
  </x:si>
  <x:si>
    <x:t>BEV15</x:t>
  </x:si>
  <x:si>
    <x:t xml:space="preserve">Green Tea </x:t>
  </x:si>
  <x:si>
    <x:t>TEA BAGS GREEN 100'S (CHINA)</x:t>
  </x:si>
  <x:si>
    <x:t>BEV17</x:t>
  </x:si>
  <x:si>
    <x:t xml:space="preserve">Horlicks </x:t>
  </x:si>
  <x:si>
    <x:t>HORLICKS DRINK 450GR</x:t>
  </x:si>
  <x:si>
    <x:t>BEV16</x:t>
  </x:si>
  <x:si>
    <x:t xml:space="preserve">Rooh Afza Syrup </x:t>
  </x:si>
  <x:si>
    <x:t>ROOHAFZA 700ML</x:t>
  </x:si>
  <x:si>
    <x:t>BEV12</x:t>
  </x:si>
  <x:si>
    <x:t xml:space="preserve">Tang Powder </x:t>
  </x:si>
  <x:si>
    <x:t>JUICE POWDER TANG ORANGE 500GM</x:t>
  </x:si>
  <x:si>
    <x:t>CER01</x:t>
  </x:si>
  <x:si>
    <x:t xml:space="preserve">All Bran </x:t>
  </x:si>
  <x:si>
    <x:t>CEREAL ALL BRAN "KELLOGGS" 315GRM</x:t>
  </x:si>
  <x:si>
    <x:t>CER09</x:t>
  </x:si>
  <x:si>
    <x:t xml:space="preserve">Choco Flakes </x:t>
  </x:si>
  <x:si>
    <x:t>CER02</x:t>
  </x:si>
  <x:si>
    <x:t xml:space="preserve">Corn Flakes </x:t>
  </x:si>
  <x:si>
    <x:t>CORNFLAKES    375GM</x:t>
  </x:si>
  <x:si>
    <x:t>CER03</x:t>
  </x:si>
  <x:si>
    <x:t xml:space="preserve">Muesli </x:t>
  </x:si>
  <x:si>
    <x:t>MUESLI ALPEN 375GM</x:t>
  </x:si>
  <x:si>
    <x:t>CER05</x:t>
  </x:si>
  <x:si>
    <x:t xml:space="preserve">Rice Flakes (Poha) </x:t>
  </x:si>
  <x:si>
    <x:t>RICE POHA (RICE FLAKES)</x:t>
  </x:si>
  <x:si>
    <x:t>CER06</x:t>
  </x:si>
  <x:si>
    <x:t xml:space="preserve">Rice Krispies </x:t>
  </x:si>
  <x:si>
    <x:t>CEREAL RICE KRISPIES  130GM</x:t>
  </x:si>
  <x:si>
    <x:t>CER07</x:t>
  </x:si>
  <x:si>
    <x:t xml:space="preserve">Wheat Cereal </x:t>
  </x:si>
  <x:si>
    <x:t>DAIR04</x:t>
  </x:si>
  <x:si>
    <x:t xml:space="preserve">Butter Milk </x:t>
  </x:si>
  <x:si>
    <x:t>BUTTER MILK LONG LIFE  1 LTR</x:t>
  </x:si>
  <x:si>
    <x:t>DAIR06</x:t>
  </x:si>
  <x:si>
    <x:t xml:space="preserve">Cheddar Cheese </x:t>
  </x:si>
  <x:si>
    <x:t>CHEESE CHEDDAR ( APPX.3KG/PCE )</x:t>
  </x:si>
  <x:si>
    <x:t>DAIR07</x:t>
  </x:si>
  <x:si>
    <x:t xml:space="preserve">Cheese Slice </x:t>
  </x:si>
  <x:si>
    <x:t>CHEESE CHEDDAR SLICED 200GR</x:t>
  </x:si>
  <x:si>
    <x:t>DAIR38</x:t>
  </x:si>
  <x:si>
    <x:t xml:space="preserve">Chocobar Icecream </x:t>
  </x:si>
  <x:si>
    <x:t>ICE CREAM BAR CHOCOLATE</x:t>
  </x:si>
  <x:si>
    <x:t>DAIR08</x:t>
  </x:si>
  <x:si>
    <x:t xml:space="preserve">Condensed Milk </x:t>
  </x:si>
  <x:si>
    <x:t>MILK CONDENSED MILK  390GM</x:t>
  </x:si>
  <x:si>
    <x:t>DAIR09</x:t>
  </x:si>
  <x:si>
    <x:t xml:space="preserve">Cooking Cream </x:t>
  </x:si>
  <x:si>
    <x:t>CUP</x:t>
  </x:si>
  <x:si>
    <x:t>WHIPPING CREAM (COOKING CREAM) 1LTR</x:t>
  </x:si>
  <x:si>
    <x:t>DAIR36</x:t>
  </x:si>
  <x:si>
    <x:t xml:space="preserve">Cornetto Ice Cream </x:t>
  </x:si>
  <x:si>
    <x:t>ICE CREAM CONNETTO ASST.</x:t>
  </x:si>
  <x:si>
    <x:t>DAIR13</x:t>
  </x:si>
  <x:si>
    <x:t xml:space="preserve">Evaporated Milk </x:t>
  </x:si>
  <x:si>
    <x:t>MILK EVAPORATED 410GM</x:t>
  </x:si>
  <x:si>
    <x:t>DAIR43</x:t>
  </x:si>
  <x:si>
    <x:t xml:space="preserve">Fresh Cream </x:t>
  </x:si>
  <x:si>
    <x:t>CREAM-FRESH THICKENED CREAM 30% 1KG X 6TUB</x:t>
  </x:si>
  <x:si>
    <x:t>DAIR15</x:t>
  </x:si>
  <x:si>
    <x:t xml:space="preserve">Fruit Yoghurt In Cup </x:t>
  </x:si>
  <x:si>
    <x:t>TIN</x:t>
  </x:si>
  <x:si>
    <x:t>YOGURT FRUITS LONG LIFE  (24CUPS X 100GR/CTN)</x:t>
  </x:si>
  <x:si>
    <x:t>DAIR62</x:t>
  </x:si>
  <x:si>
    <x:t xml:space="preserve">Ice Cream Blueberry Flavour </x:t>
  </x:si>
  <x:si>
    <x:t>ICE CREAM BLUEBERRY RIPPLE 2LTR/TUB</x:t>
  </x:si>
  <x:si>
    <x:t>DAIR34</x:t>
  </x:si>
  <x:si>
    <x:t xml:space="preserve">Ice Cream Chocolate Flavour </x:t>
  </x:si>
  <x:si>
    <x:t>ICE-CREAM CHOCOLATE 2 LTR</x:t>
  </x:si>
  <x:si>
    <x:t>DAIR19</x:t>
  </x:si>
  <x:si>
    <x:t xml:space="preserve">Ice Cream Vanila Flavour </x:t>
  </x:si>
  <x:si>
    <x:t>TUB</x:t>
  </x:si>
  <x:si>
    <x:t>ICE CREAM VANILLA 2 LTR</x:t>
  </x:si>
  <x:si>
    <x:t>DAIR56</x:t>
  </x:si>
  <x:si>
    <x:t xml:space="preserve">Mars Ice Cream Bar </x:t>
  </x:si>
  <x:si>
    <x:t>ICE CREAM SNACK BAR MARS</x:t>
  </x:si>
  <x:si>
    <x:t>DAIR21</x:t>
  </x:si>
  <x:si>
    <x:t xml:space="preserve">Milk Long Life </x:t>
  </x:si>
  <x:si>
    <x:t>MILK LONG LIFE FULL-CREAM 1 LTR</x:t>
  </x:si>
  <x:si>
    <x:t>DAIR39</x:t>
  </x:si>
  <x:si>
    <x:t xml:space="preserve">Milk Long Life Low Fat </x:t>
  </x:si>
  <x:si>
    <x:t>MILK LONG LIFE LOW FAT 1 LTR</x:t>
  </x:si>
  <x:si>
    <x:t>DAIR22</x:t>
  </x:si>
  <x:si>
    <x:t xml:space="preserve">Milk Powder </x:t>
  </x:si>
  <x:si>
    <x:t>MILK POWDER FULL CREAM "PROMEX" 1.8KGS/TIN</x:t>
  </x:si>
  <x:si>
    <x:t>DAIR23</x:t>
  </x:si>
  <x:si>
    <x:t xml:space="preserve">Mozarella Cheese </x:t>
  </x:si>
  <x:si>
    <x:t>CHEESE MOZZARELLA ( APPX.3KG/PCE )</x:t>
  </x:si>
  <x:si>
    <x:t>DAIR24</x:t>
  </x:si>
  <x:si>
    <x:t xml:space="preserve">Paneer </x:t>
  </x:si>
  <x:si>
    <x:t>CHEESE PANEER (INDIAN)</x:t>
  </x:si>
  <x:si>
    <x:t>DAIR27</x:t>
  </x:si>
  <x:si>
    <x:t xml:space="preserve">Plain Yoghurt (Curd) </x:t>
  </x:si>
  <x:si>
    <x:t>YOGHURT PLAIN 1LTR - **OFFER: 400ML (LONG LIFE)</x:t>
  </x:si>
  <x:si>
    <x:t>DAIR30</x:t>
  </x:si>
  <x:si>
    <x:t xml:space="preserve">Salted Table Butter </x:t>
  </x:si>
  <x:si>
    <x:t>BUTTER SALTED PKT 250GM</x:t>
  </x:si>
  <x:si>
    <x:t>DAIR41</x:t>
  </x:si>
  <x:si>
    <x:t xml:space="preserve">Snicker Ice Cream Bar </x:t>
  </x:si>
  <x:si>
    <x:t>ICE CREAM SNACK BAR SNICKERS</x:t>
  </x:si>
  <x:si>
    <x:t>DFRT01</x:t>
  </x:si>
  <x:si>
    <x:t xml:space="preserve">Almond </x:t>
  </x:si>
  <x:si>
    <x:t>ALMONDS MEAT</x:t>
  </x:si>
  <x:si>
    <x:t>DFRT02</x:t>
  </x:si>
  <x:si>
    <x:t xml:space="preserve">Apricot Dried </x:t>
  </x:si>
  <x:si>
    <x:t>DRIED APRICOTS</x:t>
  </x:si>
  <x:si>
    <x:t>DFRT05</x:t>
  </x:si>
  <x:si>
    <x:t xml:space="preserve">Cashewnut </x:t>
  </x:si>
  <x:si>
    <x:t>CASHEWS NUTS 130 GM/PKT (LOCAL)</x:t>
  </x:si>
  <x:si>
    <x:t>DFRT09</x:t>
  </x:si>
  <x:si>
    <x:t xml:space="preserve">Dates </x:t>
  </x:si>
  <x:si>
    <x:t>DATES DRIED</x:t>
  </x:si>
  <x:si>
    <x:t>DFRT10</x:t>
  </x:si>
  <x:si>
    <x:t xml:space="preserve">Dessicated Coconut </x:t>
  </x:si>
  <x:si>
    <x:t>COCONUT DESSICATED</x:t>
  </x:si>
  <x:si>
    <x:t>DFRT25</x:t>
  </x:si>
  <x:si>
    <x:t xml:space="preserve">Fig Dried </x:t>
  </x:si>
  <x:si>
    <x:t>DRIED FIGS 1KG/PKT</x:t>
  </x:si>
  <x:si>
    <x:t>DFRT13</x:t>
  </x:si>
  <x:si>
    <x:t xml:space="preserve">Melon Seeds (Magaz) </x:t>
  </x:si>
  <x:si>
    <x:t>DRIED MELON SEED</x:t>
  </x:si>
  <x:si>
    <x:t>DFRT22</x:t>
  </x:si>
  <x:si>
    <x:t xml:space="preserve">Mixed Dry Fruits </x:t>
  </x:si>
  <x:si>
    <x:t>DRIED MIXED FRUITS</x:t>
  </x:si>
  <x:si>
    <x:t>DFRT14</x:t>
  </x:si>
  <x:si>
    <x:t xml:space="preserve">Pistachio </x:t>
  </x:si>
  <x:si>
    <x:t>PISTACHIO NUTS SHELL ON</x:t>
  </x:si>
  <x:si>
    <x:t>DFRT16</x:t>
  </x:si>
  <x:si>
    <x:t xml:space="preserve">Raisin </x:t>
  </x:si>
  <x:si>
    <x:t>RAISINS DRIED</x:t>
  </x:si>
  <x:si>
    <x:t>DFRT24</x:t>
  </x:si>
  <x:si>
    <x:t xml:space="preserve">Tutty Fruity </x:t>
  </x:si>
  <x:si>
    <x:t>TUTTY FRUITY</x:t>
  </x:si>
  <x:si>
    <x:t>DFRT18</x:t>
  </x:si>
  <x:si>
    <x:t xml:space="preserve">Walnut </x:t>
  </x:si>
  <x:si>
    <x:t>WALNUTS SHELLED (MEAT)</x:t>
  </x:si>
  <x:si>
    <x:t>EGG02</x:t>
  </x:si>
  <x:si>
    <x:t xml:space="preserve">Eggs Regular </x:t>
  </x:si>
  <x:si>
    <x:t>EGGS LARGE 360'S</x:t>
  </x:si>
  <x:si>
    <x:t>FAT01</x:t>
  </x:si>
  <x:si>
    <x:t xml:space="preserve">Coconut Oil </x:t>
  </x:si>
  <x:si>
    <x:t>COCONUT OIL 500ML</x:t>
  </x:si>
  <x:si>
    <x:t>FAT02</x:t>
  </x:si>
  <x:si>
    <x:t xml:space="preserve">Cooking Oil </x:t>
  </x:si>
  <x:si>
    <x:t>OIL FOR COOKING  17 LTR (VEG)</x:t>
  </x:si>
  <x:si>
    <x:t>FAT05</x:t>
  </x:si>
  <x:si>
    <x:t xml:space="preserve">Olive Oil </x:t>
  </x:si>
  <x:si>
    <x:t>OIL OLIVES 1LTR/BOT</x:t>
  </x:si>
  <x:si>
    <x:t>FAT06</x:t>
  </x:si>
  <x:si>
    <x:t xml:space="preserve">Pure Ghee (Clarified Butter) </x:t>
  </x:si>
  <x:si>
    <x:t>OIL GHEE DESI PURE (1 KG)</x:t>
  </x:si>
  <x:si>
    <x:t>FLR02</x:t>
  </x:si>
  <x:si>
    <x:t xml:space="preserve">Besan (Chickpea Flour) </x:t>
  </x:si>
  <x:si>
    <x:t>FLOUR BESAN (GRAM)</x:t>
  </x:si>
  <x:si>
    <x:t>FLR12</x:t>
  </x:si>
  <x:si>
    <x:t xml:space="preserve">Corn Starch </x:t>
  </x:si>
  <x:si>
    <x:t>CORN STARCH 450GM</x:t>
  </x:si>
  <x:si>
    <x:t>FLR06</x:t>
  </x:si>
  <x:si>
    <x:t xml:space="preserve">Rice Flour </x:t>
  </x:si>
  <x:si>
    <x:t>FLOUR RICE</x:t>
  </x:si>
  <x:si>
    <x:t>FLR10</x:t>
  </x:si>
  <x:si>
    <x:t xml:space="preserve">Whole Wheat Flour (Atta) </x:t>
  </x:si>
  <x:si>
    <x:t>FLOUR ATTA (FULL BAG 25KG/BAG)</x:t>
  </x:si>
  <x:si>
    <x:t>FFRT23</x:t>
  </x:si>
  <x:si>
    <x:t xml:space="preserve">Apple Green </x:t>
  </x:si>
  <x:si>
    <x:t>APPLES GREEN (CTN X 18KG)</x:t>
  </x:si>
  <x:si>
    <x:t>FFRT01</x:t>
  </x:si>
  <x:si>
    <x:t xml:space="preserve">Apple Red </x:t>
  </x:si>
  <x:si>
    <x:t>APPLES RED (CTN X 18KG)</x:t>
  </x:si>
  <x:si>
    <x:t>FFRT02</x:t>
  </x:si>
  <x:si>
    <x:t xml:space="preserve">Avocado </x:t>
  </x:si>
  <x:si>
    <x:t>AVOCADO FRUIT (CTN X 5KG)</x:t>
  </x:si>
  <x:si>
    <x:t>FFRT03</x:t>
  </x:si>
  <x:si>
    <x:t xml:space="preserve">Banana </x:t>
  </x:si>
  <x:si>
    <x:t>BANANAS SEMI-RIPE (CTN X 13KG)</x:t>
  </x:si>
  <x:si>
    <x:t>FFRT04</x:t>
  </x:si>
  <x:si>
    <x:t xml:space="preserve">Cantaloupe </x:t>
  </x:si>
  <x:si>
    <x:t>ROCKMELON / CANTALOUPE</x:t>
  </x:si>
  <x:si>
    <x:t>FFRT22</x:t>
  </x:si>
  <x:si>
    <x:t xml:space="preserve">Cherry Tomato </x:t>
  </x:si>
  <x:si>
    <x:t>TOMATOES CHERRY (LOCAL)</x:t>
  </x:si>
  <x:si>
    <x:t>FFRT25</x:t>
  </x:si>
  <x:si>
    <x:t xml:space="preserve">Dragon Fruit </x:t>
  </x:si>
  <x:si>
    <x:t>DRAGON FRUITS (RED FLESHED )</x:t>
  </x:si>
  <x:si>
    <x:t>FFRT24</x:t>
  </x:si>
  <x:si>
    <x:t xml:space="preserve">Grape Fruit </x:t>
  </x:si>
  <x:si>
    <x:t>GRAPEFRUIT (CTN X 15KG)</x:t>
  </x:si>
  <x:si>
    <x:t>FFRT05</x:t>
  </x:si>
  <x:si>
    <x:t xml:space="preserve">Grapes Green/White </x:t>
  </x:si>
  <x:si>
    <x:t>GRAPES GREEN / WHITE S/LESS</x:t>
  </x:si>
  <x:si>
    <x:t>FFRT30</x:t>
  </x:si>
  <x:si>
    <x:t xml:space="preserve">Grapes Red </x:t>
  </x:si>
  <x:si>
    <x:t>GRAPES RED S/LESS</x:t>
  </x:si>
  <x:si>
    <x:t>FFRT07</x:t>
  </x:si>
  <x:si>
    <x:t xml:space="preserve">Kiwi Fruit </x:t>
  </x:si>
  <x:si>
    <x:t>KIWI FRUITS</x:t>
  </x:si>
  <x:si>
    <x:t>FFRT09</x:t>
  </x:si>
  <x:si>
    <x:t xml:space="preserve">Mandarine </x:t>
  </x:si>
  <x:si>
    <x:t>MANDARIN ORANGES</x:t>
  </x:si>
  <x:si>
    <x:t>FFRT20</x:t>
  </x:si>
  <x:si>
    <x:t xml:space="preserve">Mango </x:t>
  </x:si>
  <x:si>
    <x:t>MANGO FRESH (M'SIA / THAI) (CTN X 10KG)</x:t>
  </x:si>
  <x:si>
    <x:t>FFRT10</x:t>
  </x:si>
  <x:si>
    <x:t xml:space="preserve">Orange </x:t>
  </x:si>
  <x:si>
    <x:t>ORANGES FRUITS (CTN X 15KG)</x:t>
  </x:si>
  <x:si>
    <x:t>FFRT19</x:t>
  </x:si>
  <x:si>
    <x:t xml:space="preserve">Papaya </x:t>
  </x:si>
  <x:si>
    <x:t>PAPAYA FRUITS</x:t>
  </x:si>
  <x:si>
    <x:t>FFRT11</x:t>
  </x:si>
  <x:si>
    <x:t xml:space="preserve">Peach </x:t>
  </x:si>
  <x:si>
    <x:t>PEACHES FRUITS (NON RETURNABLE)</x:t>
  </x:si>
  <x:si>
    <x:t>FFRT12</x:t>
  </x:si>
  <x:si>
    <x:t xml:space="preserve">Pear </x:t>
  </x:si>
  <x:si>
    <x:t>PEARS FRUITS (GREEN SKIN) (CTN X 12.5KG)</x:t>
  </x:si>
  <x:si>
    <x:t>FFRT21</x:t>
  </x:si>
  <x:si>
    <x:t xml:space="preserve">Persimmon </x:t>
  </x:si>
  <x:si>
    <x:t>FFRT13</x:t>
  </x:si>
  <x:si>
    <x:t xml:space="preserve">Pineapple </x:t>
  </x:si>
  <x:si>
    <x:t>PINEAPPLES FRESH</x:t>
  </x:si>
  <x:si>
    <x:t>FFRT14</x:t>
  </x:si>
  <x:si>
    <x:t xml:space="preserve">Plum </x:t>
  </x:si>
  <x:si>
    <x:t>PLUMS FRUITS</x:t>
  </x:si>
  <x:si>
    <x:t>FFRT29</x:t>
  </x:si>
  <x:si>
    <x:t xml:space="preserve">Pomegranate </x:t>
  </x:si>
  <x:si>
    <x:t>FFRT15</x:t>
  </x:si>
  <x:si>
    <x:t xml:space="preserve">Strawberry </x:t>
  </x:si>
  <x:si>
    <x:t>STRAWBERRIES FRESH ( NON-RETURNABLE )</x:t>
  </x:si>
  <x:si>
    <x:t>FFRT16</x:t>
  </x:si>
  <x:si>
    <x:t xml:space="preserve">Sweet Melon </x:t>
  </x:si>
  <x:si>
    <x:t>SWEET MELON HONEYDEW</x:t>
  </x:si>
  <x:si>
    <x:t>FFRT17</x:t>
  </x:si>
  <x:si>
    <x:t xml:space="preserve">Sweetlime </x:t>
  </x:si>
  <x:si>
    <x:t>LIME GREEN FRESH</x:t>
  </x:si>
  <x:si>
    <x:t>FFRT18</x:t>
  </x:si>
  <x:si>
    <x:t xml:space="preserve">Watermelon </x:t>
  </x:si>
  <x:si>
    <x:t>WATER MELON</x:t>
  </x:si>
  <x:si>
    <x:t>FVEG01</x:t>
  </x:si>
  <x:si>
    <x:t xml:space="preserve">Asparagus  </x:t>
  </x:si>
  <x:si>
    <x:t>ASPARAGUS FRESH</x:t>
  </x:si>
  <x:si>
    <x:t>FVEG02</x:t>
  </x:si>
  <x:si>
    <x:t xml:space="preserve">Baby Corn </x:t>
  </x:si>
  <x:si>
    <x:t>CORN YOUNG (BABY CORN) FRESH</x:t>
  </x:si>
  <x:si>
    <x:t>FVEG09</x:t>
  </x:si>
  <x:si>
    <x:t xml:space="preserve">Bedige Chili </x:t>
  </x:si>
  <x:si>
    <x:t>CHILLI RED LONG FINGER</x:t>
  </x:si>
  <x:si>
    <x:t>FVEG10</x:t>
  </x:si>
  <x:si>
    <x:t xml:space="preserve">Beet Root </x:t>
  </x:si>
  <x:si>
    <x:t>BEETROOTS FRESH</x:t>
  </x:si>
  <x:si>
    <x:t>FVEG11</x:t>
  </x:si>
  <x:si>
    <x:t xml:space="preserve">Bird's Eye Chili </x:t>
  </x:si>
  <x:si>
    <x:t>BIRD'S EYE CHILI - **OFFER: CHILLI PADI RED</x:t>
  </x:si>
  <x:si>
    <x:t>FVEG12</x:t>
  </x:si>
  <x:si>
    <x:t xml:space="preserve">Bitter Gourd </x:t>
  </x:si>
  <x:si>
    <x:t>BITTER GOURD</x:t>
  </x:si>
  <x:si>
    <x:t>FVEG14</x:t>
  </x:si>
  <x:si>
    <x:t xml:space="preserve">Bottle Gourd </x:t>
  </x:si>
  <x:si>
    <x:t>MARROW WHITE (BOTTLE GOURD)</x:t>
  </x:si>
  <x:si>
    <x:t>FVEG15</x:t>
  </x:si>
  <x:si>
    <x:t xml:space="preserve">Brinjal (Egg Plant) </x:t>
  </x:si>
  <x:si>
    <x:t>EGGPLANTS ROUND (LOCAL)</x:t>
  </x:si>
  <x:si>
    <x:t>FVEG106</x:t>
  </x:si>
  <x:si>
    <x:t xml:space="preserve">Brocoli Fresh </x:t>
  </x:si>
  <x:si>
    <x:t>BROCCOLI FRESH</x:t>
  </x:si>
  <x:si>
    <x:t>FVEG18</x:t>
  </x:si>
  <x:si>
    <x:t xml:space="preserve">Cabbage </x:t>
  </x:si>
  <x:si>
    <x:t>CABBAGE WHITE FRESH</x:t>
  </x:si>
  <x:si>
    <x:t>FVEG112</x:t>
  </x:si>
  <x:si>
    <x:t xml:space="preserve">Cabbage Red </x:t>
  </x:si>
  <x:si>
    <x:t>CABBAGE RED FRESH</x:t>
  </x:si>
  <x:si>
    <x:t>FVEG20</x:t>
  </x:si>
  <x:si>
    <x:t xml:space="preserve">Carrot  </x:t>
  </x:si>
  <x:si>
    <x:t>CARROTS FRESH</x:t>
  </x:si>
  <x:si>
    <x:t>FVEG22</x:t>
  </x:si>
  <x:si>
    <x:t xml:space="preserve">Cauliflower </x:t>
  </x:si>
  <x:si>
    <x:t>CAULIFLOWER FRESH</x:t>
  </x:si>
  <x:si>
    <x:t>FVEG24</x:t>
  </x:si>
  <x:si>
    <x:t xml:space="preserve">Celery </x:t>
  </x:si>
  <x:si>
    <x:t>**CELERY TABLE  FRESH**</x:t>
  </x:si>
  <x:si>
    <x:t>FVEG30</x:t>
  </x:si>
  <x:si>
    <x:t xml:space="preserve">Coconut Dry (Brown With Water) </x:t>
  </x:si>
  <x:si>
    <x:t>COCONUTS OLD (BROWN) FOR COOKING FRESH</x:t>
  </x:si>
  <x:si>
    <x:t>FVEG33</x:t>
  </x:si>
  <x:si>
    <x:t xml:space="preserve">Cucumber </x:t>
  </x:si>
  <x:si>
    <x:t>**CUCUMBER FRESH (LOCAL)**</x:t>
  </x:si>
  <x:si>
    <x:t>FVEG34</x:t>
  </x:si>
  <x:si>
    <x:t xml:space="preserve">Drumstick Vegetable </x:t>
  </x:si>
  <x:si>
    <x:t>DRUMSTICK VEGETABLE FRESH</x:t>
  </x:si>
  <x:si>
    <x:t>FVEG109</x:t>
  </x:si>
  <x:si>
    <x:t xml:space="preserve">Flat Bean Fresh </x:t>
  </x:si>
  <x:si>
    <x:t>**OFFER: SNOW PEA FRESH</x:t>
  </x:si>
  <x:si>
    <x:t>FVEG36</x:t>
  </x:si>
  <x:si>
    <x:t xml:space="preserve">French Bean </x:t>
  </x:si>
  <x:si>
    <x:t>FRENCH BEANS FRESH</x:t>
  </x:si>
  <x:si>
    <x:t>FVEG42</x:t>
  </x:si>
  <x:si>
    <x:t xml:space="preserve">Green Pepper (Capsicum Green) </x:t>
  </x:si>
  <x:si>
    <x:t>GREEN BELL PEPPER FRESH</x:t>
  </x:si>
  <x:si>
    <x:t>FVEG44</x:t>
  </x:si>
  <x:si>
    <x:t xml:space="preserve">Horseradish </x:t>
  </x:si>
  <x:si>
    <x:t>FVEG110</x:t>
  </x:si>
  <x:si>
    <x:t xml:space="preserve">Ivy Gourd (Tendli) </x:t>
  </x:si>
  <x:si>
    <x:t>TENDLI (SMALL CUCUMBER) INDIAN</x:t>
  </x:si>
  <x:si>
    <x:t>FVEG47</x:t>
  </x:si>
  <x:si>
    <x:t xml:space="preserve">Jalapeno Chili </x:t>
  </x:si>
  <x:si>
    <x:t>JALAPENO PEPPER  FRESH</x:t>
  </x:si>
  <x:si>
    <x:t>FVEG50</x:t>
  </x:si>
  <x:si>
    <x:t xml:space="preserve">Lady Finger (Okra) </x:t>
  </x:si>
  <x:si>
    <x:t>OKRA LADY FINGER FRESH</x:t>
  </x:si>
  <x:si>
    <x:t>FVEG51</x:t>
  </x:si>
  <x:si>
    <x:t xml:space="preserve">Leek </x:t>
  </x:si>
  <x:si>
    <x:t>LEEKS FRESH</x:t>
  </x:si>
  <x:si>
    <x:t>FVEG118</x:t>
  </x:si>
  <x:si>
    <x:t xml:space="preserve">Leetuce Iceberg </x:t>
  </x:si>
  <x:si>
    <x:t>LETTUCE ICEBERG</x:t>
  </x:si>
  <x:si>
    <x:t>FVEG52</x:t>
  </x:si>
  <x:si>
    <x:t xml:space="preserve">Lemon </x:t>
  </x:si>
  <x:si>
    <x:t>LEMONS YELLOW FRESH</x:t>
  </x:si>
  <x:si>
    <x:t>FVEG56</x:t>
  </x:si>
  <x:si>
    <x:t xml:space="preserve">Mango Green </x:t>
  </x:si>
  <x:si>
    <x:t>FRUIT MANGO RAW FOR COOKING</x:t>
  </x:si>
  <x:si>
    <x:t>FVEG58</x:t>
  </x:si>
  <x:si>
    <x:t xml:space="preserve">Marrow Green </x:t>
  </x:si>
  <x:si>
    <x:t>HAIRY GOURD / MARROW GREEN</x:t>
  </x:si>
  <x:si>
    <x:t>FVEG59</x:t>
  </x:si>
  <x:si>
    <x:t xml:space="preserve">Mushroom </x:t>
  </x:si>
  <x:si>
    <x:t>MUSHROOM OYSTER FRESH</x:t>
  </x:si>
  <x:si>
    <x:t>FVEG60</x:t>
  </x:si>
  <x:si>
    <x:t xml:space="preserve">Mustard Leaf </x:t>
  </x:si>
  <x:si>
    <x:t>MUSTARD PLANT (CHICORY) LOCAL</x:t>
  </x:si>
  <x:si>
    <x:t>FVEG62</x:t>
  </x:si>
  <x:si>
    <x:t xml:space="preserve">Onion Dry </x:t>
  </x:si>
  <x:si>
    <x:t>**ONIONS YELLOW LARGE**</x:t>
  </x:si>
  <x:si>
    <x:t>FVEG98</x:t>
  </x:si>
  <x:si>
    <x:t xml:space="preserve">Onion Dry Red </x:t>
  </x:si>
  <x:si>
    <x:t>ONIONS RED</x:t>
  </x:si>
  <x:si>
    <x:t>FVEG114</x:t>
  </x:si>
  <x:si>
    <x:t xml:space="preserve">Pepper Yellow (Capsicum Yellow) </x:t>
  </x:si>
  <x:si>
    <x:t>YELLOW BELL PEPPERS FRESH</x:t>
  </x:si>
  <x:si>
    <x:t>FVEG66</x:t>
  </x:si>
  <x:si>
    <x:t xml:space="preserve">Potato </x:t>
  </x:si>
  <x:si>
    <x:t>**POTATOES FRESH**</x:t>
  </x:si>
  <x:si>
    <x:t>FVEG67</x:t>
  </x:si>
  <x:si>
    <x:t xml:space="preserve">Pumpkin Red </x:t>
  </x:si>
  <x:si>
    <x:t>PUMPKIN (SQUASH) FRESH</x:t>
  </x:si>
  <x:si>
    <x:t>FVEG69</x:t>
  </x:si>
  <x:si>
    <x:t xml:space="preserve">Radish </x:t>
  </x:si>
  <x:si>
    <x:t>RADISH WHITE FRESH</x:t>
  </x:si>
  <x:si>
    <x:t>FVEG74</x:t>
  </x:si>
  <x:si>
    <x:t xml:space="preserve">Red Pepper (Capsicum Red) </x:t>
  </x:si>
  <x:si>
    <x:t>RED BELL PEPPER FRESH</x:t>
  </x:si>
  <x:si>
    <x:t>FVEG76</x:t>
  </x:si>
  <x:si>
    <x:t xml:space="preserve">Ridge Gourd (Turai) </x:t>
  </x:si>
  <x:si>
    <x:t>**OFFER: ANGLE GOURD</x:t>
  </x:si>
  <x:si>
    <x:t>FVEG107</x:t>
  </x:si>
  <x:si>
    <x:t xml:space="preserve">Snake Gourd </x:t>
  </x:si>
  <x:si>
    <x:t>SNAKE GOURD FRESH</x:t>
  </x:si>
  <x:si>
    <x:t>FVEG83</x:t>
  </x:si>
  <x:si>
    <x:t xml:space="preserve">Spinach </x:t>
  </x:si>
  <x:si>
    <x:t>SPINACH FRESH (LOCAL)</x:t>
  </x:si>
  <x:si>
    <x:t>FVEG85</x:t>
  </x:si>
  <x:si>
    <x:t xml:space="preserve">Spring Onion </x:t>
  </x:si>
  <x:si>
    <x:t>SPRING ONIONS FRESH</x:t>
  </x:si>
  <x:si>
    <x:t>FVEG86</x:t>
  </x:si>
  <x:si>
    <x:t xml:space="preserve">Stone Mushroom </x:t>
  </x:si>
  <x:si>
    <x:t>FVEG88</x:t>
  </x:si>
  <x:si>
    <x:t xml:space="preserve">String Bean </x:t>
  </x:si>
  <x:si>
    <x:t>LONG BEANS FRESH</x:t>
  </x:si>
  <x:si>
    <x:t>FVEG93</x:t>
  </x:si>
  <x:si>
    <x:t xml:space="preserve">Tamarind Ripe Brown </x:t>
  </x:si>
  <x:si>
    <x:t>TAMARIND SEEDLESS 500GM</x:t>
  </x:si>
  <x:si>
    <x:t>FVEG96</x:t>
  </x:si>
  <x:si>
    <x:t xml:space="preserve">Taro Root (Arbi) </x:t>
  </x:si>
  <x:si>
    <x:t>TARO ROOT</x:t>
  </x:si>
  <x:si>
    <x:t>FVEG113</x:t>
  </x:si>
  <x:si>
    <x:t xml:space="preserve">Tomato Half Ripe </x:t>
  </x:si>
  <x:si>
    <x:t>TOMATOES SEMI RIPE (CAMERON)</x:t>
  </x:si>
  <x:si>
    <x:t>FVEG105</x:t>
  </x:si>
  <x:si>
    <x:t xml:space="preserve">Zucchini </x:t>
  </x:si>
  <x:si>
    <x:t>ZUCCHINI / MARROW (LOCAL)</x:t>
  </x:si>
  <x:si>
    <x:t>FRMEAT02</x:t>
  </x:si>
  <x:si>
    <x:t xml:space="preserve">Beef Boneless </x:t>
  </x:si>
  <x:si>
    <x:t xml:space="preserve"> **OFFER: BEEF NECK BONELESS</x:t>
  </x:si>
  <x:si>
    <x:t>FRMEAT17</x:t>
  </x:si>
  <x:si>
    <x:t xml:space="preserve">Beef T-Bone Steak </x:t>
  </x:si>
  <x:si>
    <x:t>BEEF T-BONE STEAK</x:t>
  </x:si>
  <x:si>
    <x:t>FRMEAT22</x:t>
  </x:si>
  <x:si>
    <x:t xml:space="preserve">Mutton Boneless </x:t>
  </x:si>
  <x:si>
    <x:t>MUTTON BONELESS (TRUNK)</x:t>
  </x:si>
  <x:si>
    <x:t>FRMEAT24</x:t>
  </x:si>
  <x:si>
    <x:t xml:space="preserve">Mutton Chop </x:t>
  </x:si>
  <x:si>
    <x:t>FRMEAT26</x:t>
  </x:si>
  <x:si>
    <x:t xml:space="preserve">Mutton Leg Bone In </x:t>
  </x:si>
  <x:si>
    <x:t>MUTTON LEG BONE IN FRZ</x:t>
  </x:si>
  <x:si>
    <x:t>FRMEAT29</x:t>
  </x:si>
  <x:si>
    <x:t xml:space="preserve">Mutton Mince </x:t>
  </x:si>
  <x:si>
    <x:t>MUTTON MINCED FRZ</x:t>
  </x:si>
  <x:si>
    <x:t>FRMEAT35</x:t>
  </x:si>
  <x:si>
    <x:t xml:space="preserve">Pork Chops </x:t>
  </x:si>
  <x:si>
    <x:t>PORK CHOPS BONE-IN</x:t>
  </x:si>
  <x:si>
    <x:t>FRMEAT40</x:t>
  </x:si>
  <x:si>
    <x:t xml:space="preserve">Pork Leg Boneless </x:t>
  </x:si>
  <x:si>
    <x:t>FRPOUL02</x:t>
  </x:si>
  <x:si>
    <x:t xml:space="preserve">Chicken Breast Boneless </x:t>
  </x:si>
  <x:si>
    <x:t>CHICKEN BREAST B/LESS</x:t>
  </x:si>
  <x:si>
    <x:t>FRPOUL09</x:t>
  </x:si>
  <x:si>
    <x:t xml:space="preserve">Chicken Drumstick </x:t>
  </x:si>
  <x:si>
    <x:t>FRPOUL06</x:t>
  </x:si>
  <x:si>
    <x:t xml:space="preserve">Chicken Leg </x:t>
  </x:si>
  <x:si>
    <x:t>CHICKEN LEG QTRS</x:t>
  </x:si>
  <x:si>
    <x:t>FRPOUL10</x:t>
  </x:si>
  <x:si>
    <x:t xml:space="preserve">Chicken Whole </x:t>
  </x:si>
  <x:si>
    <x:t>FRPOUL11</x:t>
  </x:si>
  <x:si>
    <x:t xml:space="preserve">Chicken Wing </x:t>
  </x:si>
  <x:si>
    <x:t>FRSEA03</x:t>
  </x:si>
  <x:si>
    <x:t xml:space="preserve">Black Pomfret </x:t>
  </x:si>
  <x:si>
    <x:t>DF POMFRET BLACK (APPX.200-300GR)</x:t>
  </x:si>
  <x:si>
    <x:t>FRSEA07</x:t>
  </x:si>
  <x:si>
    <x:t xml:space="preserve">Crab </x:t>
  </x:si>
  <x:si>
    <x:t>CRAB BLACK (LIVE FROZEN) **2 DAYS ADV ORDER**</x:t>
  </x:si>
  <x:si>
    <x:t>FRSEA13</x:t>
  </x:si>
  <x:si>
    <x:t xml:space="preserve">King Fish </x:t>
  </x:si>
  <x:si>
    <x:t>Big size 5-6kgs each fish</x:t>
  </x:si>
  <x:si>
    <x:t>FRSEA47</x:t>
  </x:si>
  <x:si>
    <x:t xml:space="preserve">Prawns Tiger </x:t>
  </x:si>
  <x:si>
    <x:t>DF PRAWN TIGER MEDIUM  (APPX.41/50)</x:t>
  </x:si>
  <x:si>
    <x:t>FRSEA22</x:t>
  </x:si>
  <x:si>
    <x:t xml:space="preserve">Prawns Without Shell </x:t>
  </x:si>
  <x:si>
    <x:t>PRAWN MEAT - DF SHRIMP MEAT (APPX.200/300)</x:t>
  </x:si>
  <x:si>
    <x:t>FRSEA24</x:t>
  </x:si>
  <x:si>
    <x:t xml:space="preserve">Salmon </x:t>
  </x:si>
  <x:si>
    <x:t>DF  SALMON WHOLE</x:t>
  </x:si>
  <x:si>
    <x:t>FRSEA25</x:t>
  </x:si>
  <x:si>
    <x:t xml:space="preserve">Sardines </x:t>
  </x:si>
  <x:si>
    <x:t>DF SARDINE FISH</x:t>
  </x:si>
  <x:si>
    <x:t>FRSEA30</x:t>
  </x:si>
  <x:si>
    <x:t xml:space="preserve">Squid </x:t>
  </x:si>
  <x:si>
    <x:t>DF SQUID LARGE (APPX.3"- 5")</x:t>
  </x:si>
  <x:si>
    <x:t>FRSEA38</x:t>
  </x:si>
  <x:si>
    <x:t xml:space="preserve">White Fish Fillet </x:t>
  </x:si>
  <x:si>
    <x:t>DF WHITE FISH FILLET</x:t>
  </x:si>
  <x:si>
    <x:t>FRSEA39</x:t>
  </x:si>
  <x:si>
    <x:t xml:space="preserve">White Pomfret </x:t>
  </x:si>
  <x:si>
    <x:t>DF POMFRET WHITE (APPX.100-150GR)</x:t>
  </x:si>
  <x:si>
    <x:t>FRVEG01</x:t>
  </x:si>
  <x:si>
    <x:t xml:space="preserve">Broccoli (Frozen) </x:t>
  </x:si>
  <x:si>
    <x:t>DF BROCCOLI</x:t>
  </x:si>
  <x:si>
    <x:t>FRVEG03</x:t>
  </x:si>
  <x:si>
    <x:t xml:space="preserve">Carrots Frozen </x:t>
  </x:si>
  <x:si>
    <x:t>DF CARROTS DICED</x:t>
  </x:si>
  <x:si>
    <x:t>FRVEG04</x:t>
  </x:si>
  <x:si>
    <x:t xml:space="preserve">Cauliflower Frozen </x:t>
  </x:si>
  <x:si>
    <x:t>DF CAULIFLOWER</x:t>
  </x:si>
  <x:si>
    <x:t>FRVEG06</x:t>
  </x:si>
  <x:si>
    <x:t xml:space="preserve">French Bean Frozen </x:t>
  </x:si>
  <x:si>
    <x:t>DF FRENCH BEANS</x:t>
  </x:si>
  <x:si>
    <x:t>FRVEG07</x:t>
  </x:si>
  <x:si>
    <x:t xml:space="preserve">French Fries (Frozen) </x:t>
  </x:si>
  <x:si>
    <x:t>DF FRENCH FRIES</x:t>
  </x:si>
  <x:si>
    <x:t>FRVEG08</x:t>
  </x:si>
  <x:si>
    <x:t xml:space="preserve">Green Peas Shelled (Frozen) </x:t>
  </x:si>
  <x:si>
    <x:t>DF GREEN PEAS</x:t>
  </x:si>
  <x:si>
    <x:t>FRVEG09</x:t>
  </x:si>
  <x:si>
    <x:t xml:space="preserve">Mixed Vegetable Frozen </x:t>
  </x:si>
  <x:si>
    <x:t>DF MIXED VEGETABLES</x:t>
  </x:si>
  <x:si>
    <x:t>FRVEG10</x:t>
  </x:si>
  <x:si>
    <x:t xml:space="preserve">Okra Frozen </x:t>
  </x:si>
  <x:si>
    <x:t>DF OKRA/LADY`S FINGER</x:t>
  </x:si>
  <x:si>
    <x:t>FRVEG11</x:t>
  </x:si>
  <x:si>
    <x:t xml:space="preserve">Spinach Frozen </x:t>
  </x:si>
  <x:si>
    <x:t>DF SPINACH LEAVES</x:t>
  </x:si>
  <x:si>
    <x:t>GRA01</x:t>
  </x:si>
  <x:si>
    <x:t xml:space="preserve">Basmati Rice </x:t>
  </x:si>
  <x:si>
    <x:t xml:space="preserve">Kohinoor </x:t>
  </x:si>
  <x:si>
    <x:t>GRA08</x:t>
  </x:si>
  <x:si>
    <x:t xml:space="preserve">Rice Long Grain </x:t>
  </x:si>
  <x:si>
    <x:t>RICE WHITE LONG GRAIN  25KGS</x:t>
  </x:si>
  <x:si>
    <x:t>JUIC01</x:t>
  </x:si>
  <x:si>
    <x:t xml:space="preserve">Apple Juice (100% Pure Juice) </x:t>
  </x:si>
  <x:si>
    <x:t xml:space="preserve">CYPRINA </x:t>
  </x:si>
  <x:si>
    <x:t>JUIC14</x:t>
  </x:si>
  <x:si>
    <x:t xml:space="preserve">Carrot Juice (100% Pure Juice) </x:t>
  </x:si>
  <x:si>
    <x:t>**OFFER JUICE CARROT &amp; MIXED FRUIT 1LTR</x:t>
  </x:si>
  <x:si>
    <x:t>JUIC02</x:t>
  </x:si>
  <x:si>
    <x:t xml:space="preserve">Cherry Juice (100% Pure Juice) </x:t>
  </x:si>
  <x:si>
    <x:t>JUICE DRINK CHERRY 1 LTR (OFFER IN PKT PRICE )</x:t>
  </x:si>
  <x:si>
    <x:t>JUIC15</x:t>
  </x:si>
  <x:si>
    <x:t xml:space="preserve">Cranberry Juice (100% Pure Juice) </x:t>
  </x:si>
  <x:si>
    <x:t>JUICE CRANBERRY 12 X 1 LTR (OFFER IN PKT PRICE )</x:t>
  </x:si>
  <x:si>
    <x:t>JUIC03</x:t>
  </x:si>
  <x:si>
    <x:t xml:space="preserve">Grape Fruit Juice (100% Pure Juice) </x:t>
  </x:si>
  <x:si>
    <x:t>JUIC04</x:t>
  </x:si>
  <x:si>
    <x:t xml:space="preserve">Grape Juice (100% Pure Juice) </x:t>
  </x:si>
  <x:si>
    <x:t>JUIC05</x:t>
  </x:si>
  <x:si>
    <x:t xml:space="preserve">Guava Juice (100% Pure Juice) </x:t>
  </x:si>
  <x:si>
    <x:t>JUIC06</x:t>
  </x:si>
  <x:si>
    <x:t xml:space="preserve">Mango Juice (100% Pure Juice) </x:t>
  </x:si>
  <x:si>
    <x:t>JUIC07</x:t>
  </x:si>
  <x:si>
    <x:t xml:space="preserve">Mix Fruit Juice (100% Pure Juice) </x:t>
  </x:si>
  <x:si>
    <x:t>JUIC08</x:t>
  </x:si>
  <x:si>
    <x:t xml:space="preserve">Multi Vitamin Juice (100% Pure Juice) </x:t>
  </x:si>
  <x:si>
    <x:t>JUIC09</x:t>
  </x:si>
  <x:si>
    <x:t xml:space="preserve">Orange Juice (100% Pure Juice) </x:t>
  </x:si>
  <x:si>
    <x:t>JUIC10</x:t>
  </x:si>
  <x:si>
    <x:t xml:space="preserve">Peach Juice (100% Pure Juice) </x:t>
  </x:si>
  <x:si>
    <x:t>JUICE PEACHES   1LTR (NECTAR) (OFFER IN PKT PRICE )</x:t>
  </x:si>
  <x:si>
    <x:t>JUIC11</x:t>
  </x:si>
  <x:si>
    <x:t xml:space="preserve">Pineapple Juice (100% Pure Juice) </x:t>
  </x:si>
  <x:si>
    <x:t>JUIC13</x:t>
  </x:si>
  <x:si>
    <x:t xml:space="preserve">Tomato Juice (100% Pure Juice) </x:t>
  </x:si>
  <x:si>
    <x:t>MISC51</x:t>
  </x:si>
  <x:si>
    <x:t xml:space="preserve">Assorted Haldiram Mixture </x:t>
  </x:si>
  <x:si>
    <x:t>HALDIRAM SNACK ASSORTED 150GM</x:t>
  </x:si>
  <x:si>
    <x:t>MISC13</x:t>
  </x:si>
  <x:si>
    <x:t xml:space="preserve">Black Forest Cake (Ready Made) </x:t>
  </x:si>
  <x:si>
    <x:t>CAKE BLACK FOREST 1KG/PC (FRESH BAKE - NON RETURNABLE)</x:t>
  </x:si>
  <x:si>
    <x:t>MISC40</x:t>
  </x:si>
  <x:si>
    <x:t xml:space="preserve">Cheese Cake </x:t>
  </x:si>
  <x:si>
    <x:t>CAKE CHEESE 300GR (LOCAL) FRZ</x:t>
  </x:si>
  <x:si>
    <x:t>MISC15</x:t>
  </x:si>
  <x:si>
    <x:t xml:space="preserve">Chicken Nuggets (Ready Made) </x:t>
  </x:si>
  <x:si>
    <x:t>PC</x:t>
  </x:si>
  <x:si>
    <x:t>CHICKEN NUGGETS (LOCAL)</x:t>
  </x:si>
  <x:si>
    <x:t>MISC33</x:t>
  </x:si>
  <x:si>
    <x:t xml:space="preserve">Doughnut Frozen (Ready Made) </x:t>
  </x:si>
  <x:si>
    <x:t>DOUGHNUTS ASSTD ( FRESHLY BAKED )(NON RETURNABLE)</x:t>
  </x:si>
  <x:si>
    <x:t>MISC06</x:t>
  </x:si>
  <x:si>
    <x:t xml:space="preserve">Gulab Jamun In Tin </x:t>
  </x:si>
  <x:si>
    <x:t>GULAB JAMUN 800GR "HALDIRAM"</x:t>
  </x:si>
  <x:si>
    <x:t>MISC17</x:t>
  </x:si>
  <x:si>
    <x:t xml:space="preserve">Kaju Barfi (Ready Made) </x:t>
  </x:si>
  <x:si>
    <x:t>INDIAN SWEETS KAJU KATLI 500GR</x:t>
  </x:si>
  <x:si>
    <x:t>MISC04</x:t>
  </x:si>
  <x:si>
    <x:t xml:space="preserve">Rasgulla In Tin </x:t>
  </x:si>
  <x:si>
    <x:t>MISC11</x:t>
  </x:si>
  <x:si>
    <x:t xml:space="preserve">Samosa (Ready Made) </x:t>
  </x:si>
  <x:si>
    <x:t>DF MINI COCKTAIL SAMOSA (VEGE)  96`S</x:t>
  </x:si>
  <x:si>
    <x:t>MISC05</x:t>
  </x:si>
  <x:si>
    <x:t xml:space="preserve">Sonpapdi </x:t>
  </x:si>
  <x:si>
    <x:t>SOAN PADI 250GR/PKT "HALDIRAM"</x:t>
  </x:si>
  <x:si>
    <x:t>MISC12</x:t>
  </x:si>
  <x:si>
    <x:t xml:space="preserve">Spring Rolls Veg (Ready Made) </x:t>
  </x:si>
  <x:si>
    <x:t>DF SPRING ROLLS  VEGETABLES  96`s</x:t>
  </x:si>
  <x:si>
    <x:t>MISC03</x:t>
  </x:si>
  <x:si>
    <x:t xml:space="preserve">Vegetable Burger Patty </x:t>
  </x:si>
  <x:si>
    <x:t>VEG BURGER PATTIES 1KG/PKT</x:t>
  </x:si>
  <x:si>
    <x:t>MISC57</x:t>
  </x:si>
  <x:si>
    <x:t xml:space="preserve">Vegetable Nuggets (Ready Made) </x:t>
  </x:si>
  <x:si>
    <x:t>VEGE NUGGET (INDIAN MAKE) 340GR</x:t>
  </x:si>
  <x:si>
    <x:t>PAST03</x:t>
  </x:si>
  <x:si>
    <x:t xml:space="preserve">Cup Noodles </x:t>
  </x:si>
  <x:si>
    <x:t>NOODLE INSTANT ASSTD CUP 24 X 65GM</x:t>
  </x:si>
  <x:si>
    <x:t>PAST20</x:t>
  </x:si>
  <x:si>
    <x:t xml:space="preserve">Instant Noodles Curry Flavour </x:t>
  </x:si>
  <x:si>
    <x:t>NOODLE INSTANT (CURRY) PKT 30`S X 75GM</x:t>
  </x:si>
  <x:si>
    <x:t>PAST18</x:t>
  </x:si>
  <x:si>
    <x:t xml:space="preserve">Lasagne Sheet </x:t>
  </x:si>
  <x:si>
    <x:t>PASTA LASAGNA 500GM</x:t>
  </x:si>
  <x:si>
    <x:t>PAST11</x:t>
  </x:si>
  <x:si>
    <x:t xml:space="preserve">Spaghetti </x:t>
  </x:si>
  <x:si>
    <x:t>PASTA SPAGHETTI 500GM</x:t>
  </x:si>
  <x:si>
    <x:t>PPSC01</x:t>
  </x:si>
  <x:si>
    <x:t xml:space="preserve">All Purpose Seasoning </x:t>
  </x:si>
  <x:si>
    <x:t>SAUCE SEASONING "MAGGI"  190ML</x:t>
  </x:si>
  <x:si>
    <x:t>PPSC123</x:t>
  </x:si>
  <x:si>
    <x:t xml:space="preserve">Amla Pickle </x:t>
  </x:si>
  <x:si>
    <x:t>PICKLES AMLA 300GR</x:t>
  </x:si>
  <x:si>
    <x:t>PPSC05</x:t>
  </x:si>
  <x:si>
    <x:t xml:space="preserve">Barbeque Sauce </x:t>
  </x:si>
  <x:si>
    <x:t>SAUCE BARBECUE  510GM</x:t>
  </x:si>
  <x:si>
    <x:t>PPSC184</x:t>
  </x:si>
  <x:si>
    <x:t xml:space="preserve">Black Salt </x:t>
  </x:si>
  <x:si>
    <x:t>SALT BLACK SALT POWDER 100GR</x:t>
  </x:si>
  <x:si>
    <x:t>PPSC11</x:t>
  </x:si>
  <x:si>
    <x:t xml:space="preserve">Chicken Stock Cubes </x:t>
  </x:si>
  <x:si>
    <x:t>SOUP CHICKEN CUBE  6'S</x:t>
  </x:si>
  <x:si>
    <x:t>PPSC13</x:t>
  </x:si>
  <x:si>
    <x:t xml:space="preserve">Chili Sauce </x:t>
  </x:si>
  <x:si>
    <x:t>SAUCE  CHILLI 340ML</x:t>
  </x:si>
  <x:si>
    <x:t>PPSC175</x:t>
  </x:si>
  <x:si>
    <x:t xml:space="preserve">Chilli Sauce - Thai </x:t>
  </x:si>
  <x:si>
    <x:t>SAUCE CHILLI SWEET  250ML (THAI)</x:t>
  </x:si>
  <x:si>
    <x:t>PPSC15</x:t>
  </x:si>
  <x:si>
    <x:t xml:space="preserve">Coconut Milk </x:t>
  </x:si>
  <x:si>
    <x:t>COCONUT MILK  425GM</x:t>
  </x:si>
  <x:si>
    <x:t>PPSC18</x:t>
  </x:si>
  <x:si>
    <x:t xml:space="preserve">Dried Mango Powder (Amchur Powder) </x:t>
  </x:si>
  <x:si>
    <x:t>MANGO POWDER (AMCHUR POWDER) 100GM</x:t>
  </x:si>
  <x:si>
    <x:t>PPSC126</x:t>
  </x:si>
  <x:si>
    <x:t xml:space="preserve">Falooda Mix </x:t>
  </x:si>
  <x:si>
    <x:t>FALOODA MIX MANGGAL 100GR/PKT</x:t>
  </x:si>
  <x:si>
    <x:t>PPSC100</x:t>
  </x:si>
  <x:si>
    <x:t xml:space="preserve">Gherkin Pickled </x:t>
  </x:si>
  <x:si>
    <x:t>PPSC27</x:t>
  </x:si>
  <x:si>
    <x:t xml:space="preserve">Ginger Garlic Paste </x:t>
  </x:si>
  <x:si>
    <x:t>PICKLES GINGER GARLIC PASTE 300GM =GOODS SUBJECT TO STOCK AVAILA</x:t>
  </x:si>
  <x:si>
    <x:t>PPSC28</x:t>
  </x:si>
  <x:si>
    <x:t xml:space="preserve">Ginger Paste </x:t>
  </x:si>
  <x:si>
    <x:t>GINGER PASTE 300GM (INDIAN)</x:t>
  </x:si>
  <x:si>
    <x:t>PPSC120</x:t>
  </x:si>
  <x:si>
    <x:t xml:space="preserve">Gongura Pickle </x:t>
  </x:si>
  <x:si>
    <x:t>PICKLES GONGURA 300GR (INDIAN)</x:t>
  </x:si>
  <x:si>
    <x:t>PPSC30</x:t>
  </x:si>
  <x:si>
    <x:t xml:space="preserve">Honey </x:t>
  </x:si>
  <x:si>
    <x:t>HONEY 450GM</x:t>
  </x:si>
  <x:si>
    <x:t>PPSC119</x:t>
  </x:si>
  <x:si>
    <x:t xml:space="preserve">Hot And Sour Ketchup </x:t>
  </x:si>
  <x:si>
    <x:t>HOT AND SOUR SAUCE **NOT AVAIL**
- OFFER: SAUCE SWEET &amp; SOUR 250</x:t>
  </x:si>
  <x:si>
    <x:t>PPSC31</x:t>
  </x:si>
  <x:si>
    <x:t xml:space="preserve">Hot Sauce </x:t>
  </x:si>
  <x:si>
    <x:t>HOT SAUCE - **OFFER: TABASCO SAUCE  60ML  ( HOT PEPPER SAUCE )</x:t>
  </x:si>
  <x:si>
    <x:t>PPSC33</x:t>
  </x:si>
  <x:si>
    <x:t xml:space="preserve">HP Sauce </x:t>
  </x:si>
  <x:si>
    <x:t>SAUCE HP STEAK 225GM</x:t>
  </x:si>
  <x:si>
    <x:t>PPSC39</x:t>
  </x:si>
  <x:si>
    <x:t xml:space="preserve">Kikkoman Sauce </x:t>
  </x:si>
  <x:si>
    <x:t>SAUCE SOYA "KIKKOMAN"  1 LTR</x:t>
  </x:si>
  <x:si>
    <x:t>PPSC109</x:t>
  </x:si>
  <x:si>
    <x:t xml:space="preserve">Maggi Seasoning (Liquid) </x:t>
  </x:si>
  <x:si>
    <x:t>SAUCE MAGGI SEASONING 800ML</x:t>
  </x:si>
  <x:si>
    <x:t>PPSC45</x:t>
  </x:si>
  <x:si>
    <x:t xml:space="preserve">Mayonnaise </x:t>
  </x:si>
  <x:si>
    <x:t>MAYONNAISE  500GM</x:t>
  </x:si>
  <x:si>
    <x:t>PPSC46</x:t>
  </x:si>
  <x:si>
    <x:t xml:space="preserve">Meat Tenderiser </x:t>
  </x:si>
  <x:si>
    <x:t>MEAT TENDERIZER LIQUID 118ML</x:t>
  </x:si>
  <x:si>
    <x:t>PPSC127</x:t>
  </x:si>
  <x:si>
    <x:t xml:space="preserve">Mukhwas </x:t>
  </x:si>
  <x:si>
    <x:t>MUKHWAS AFTER MINT MOUTH FRESHNER  230GR</x:t>
  </x:si>
  <x:si>
    <x:t>PPSC103</x:t>
  </x:si>
  <x:si>
    <x:t xml:space="preserve">Nutella </x:t>
  </x:si>
  <x:si>
    <x:t>NUTELLA 375 GRM</x:t>
  </x:si>
  <x:si>
    <x:t>PPSC57</x:t>
  </x:si>
  <x:si>
    <x:t xml:space="preserve">Olive Green </x:t>
  </x:si>
  <x:si>
    <x:t>OLIVES GREEN WITH SEED 340GM</x:t>
  </x:si>
  <x:si>
    <x:t>PPSC58</x:t>
  </x:si>
  <x:si>
    <x:t xml:space="preserve">Olive Green Stuffed  </x:t>
  </x:si>
  <x:si>
    <x:t>OLIVES GREEN STUFFED  340GM</x:t>
  </x:si>
  <x:si>
    <x:t>PPSC59</x:t>
  </x:si>
  <x:si>
    <x:t xml:space="preserve">Orange Marmalade </x:t>
  </x:si>
  <x:si>
    <x:t>JAM ORANGE MARMELADE 450GM</x:t>
  </x:si>
  <x:si>
    <x:t>PPSC60</x:t>
  </x:si>
  <x:si>
    <x:t xml:space="preserve">Oyster Sauce </x:t>
  </x:si>
  <x:si>
    <x:t>SAUCE OYSTER 350GM</x:t>
  </x:si>
  <x:si>
    <x:t>PPSC125</x:t>
  </x:si>
  <x:si>
    <x:t xml:space="preserve">Pasta Sauce </x:t>
  </x:si>
  <x:si>
    <x:t>**OFFER: SAUCE SPAGHETTI  560GRM "DELMONTE"</x:t>
  </x:si>
  <x:si>
    <x:t>PPSC62</x:t>
  </x:si>
  <x:si>
    <x:t xml:space="preserve">Peanut Butter </x:t>
  </x:si>
  <x:si>
    <x:t>PEANUT BUTTER   340GM</x:t>
  </x:si>
  <x:si>
    <x:t>PPSC144</x:t>
  </x:si>
  <x:si>
    <x:t xml:space="preserve">Pizza Sauce </x:t>
  </x:si>
  <x:si>
    <x:t>SAUCE PIZZA  14 OZ</x:t>
  </x:si>
  <x:si>
    <x:t>PPSC69</x:t>
  </x:si>
  <x:si>
    <x:t xml:space="preserve">Red Chili Paste </x:t>
  </x:si>
  <x:si>
    <x:t>CHILLI Red PASTE 3KG/PKT</x:t>
  </x:si>
  <x:si>
    <x:t>PPSC73</x:t>
  </x:si>
  <x:si>
    <x:t xml:space="preserve">Salad Dressing </x:t>
  </x:si>
  <x:si>
    <x:t>DRESSING SALAD CREAM  284GR " HENIZ "</x:t>
  </x:si>
  <x:si>
    <x:t>PPSC75</x:t>
  </x:si>
  <x:si>
    <x:t xml:space="preserve">Sambal Olek </x:t>
  </x:si>
  <x:si>
    <x:t>SAMBAL OLEK 200ML</x:t>
  </x:si>
  <x:si>
    <x:t>PPSC79</x:t>
  </x:si>
  <x:si>
    <x:t xml:space="preserve">Soy Sauce Dark </x:t>
  </x:si>
  <x:si>
    <x:t>SAUCE SOYA DARK 640ML</x:t>
  </x:si>
  <x:si>
    <x:t>PPSC106</x:t>
  </x:si>
  <x:si>
    <x:t xml:space="preserve">Spaghetti Sauce </x:t>
  </x:si>
  <x:si>
    <x:t>SAUCE SPAGHETTI 340GRM  "PREGO "</x:t>
  </x:si>
  <x:si>
    <x:t>PPSC84</x:t>
  </x:si>
  <x:si>
    <x:t xml:space="preserve">Table Salt </x:t>
  </x:si>
  <x:si>
    <x:t>SALT TABLE 400GM</x:t>
  </x:si>
  <x:si>
    <x:t>PPSC87</x:t>
  </x:si>
  <x:si>
    <x:t xml:space="preserve">Tartar Sauce </x:t>
  </x:si>
  <x:si>
    <x:t>SAUCE TARTAR 170GR</x:t>
  </x:si>
  <x:si>
    <x:t>PPSC88</x:t>
  </x:si>
  <x:si>
    <x:t xml:space="preserve">Thousand Island Dressing </x:t>
  </x:si>
  <x:si>
    <x:t>DRESSING THOUSAND ISLAND 226GM</x:t>
  </x:si>
  <x:si>
    <x:t>PPSC89</x:t>
  </x:si>
  <x:si>
    <x:t xml:space="preserve">Tobasco </x:t>
  </x:si>
  <x:si>
    <x:t>SAUCE TABASCO GREEN  2 OZ</x:t>
  </x:si>
  <x:si>
    <x:t>PPSC90</x:t>
  </x:si>
  <x:si>
    <x:t xml:space="preserve">Tomato Ketchup </x:t>
  </x:si>
  <x:si>
    <x:t>TOMATO KETCHUP   340 ML</x:t>
  </x:si>
  <x:si>
    <x:t>PPSC124</x:t>
  </x:si>
  <x:si>
    <x:t xml:space="preserve">Tomato Pickle </x:t>
  </x:si>
  <x:si>
    <x:t>PICKLES TOMATO 300GM (INDIAN)</x:t>
  </x:si>
  <x:si>
    <x:t>PPSC113</x:t>
  </x:si>
  <x:si>
    <x:t xml:space="preserve">Vegetable Stock Cubes </x:t>
  </x:si>
  <x:si>
    <x:t>SOUP CUBES VEGETABLES 6'S/PKT</x:t>
  </x:si>
  <x:si>
    <x:t>PPSC96</x:t>
  </x:si>
  <x:si>
    <x:t xml:space="preserve">Vinegar White </x:t>
  </x:si>
  <x:si>
    <x:t>VINEGAR WHITE 1LTR</x:t>
  </x:si>
  <x:si>
    <x:t>PPSC107</x:t>
  </x:si>
  <x:si>
    <x:t xml:space="preserve">Wasabi Paste </x:t>
  </x:si>
  <x:si>
    <x:t>WASABI PASTE  43G</x:t>
  </x:si>
  <x:si>
    <x:t>PTCFR05</x:t>
  </x:si>
  <x:si>
    <x:t xml:space="preserve">Cherry Canned </x:t>
  </x:si>
  <x:si>
    <x:t>CHERRIES COCKTAILS  425GM</x:t>
  </x:si>
  <x:si>
    <x:t>PTCFR06</x:t>
  </x:si>
  <x:si>
    <x:t xml:space="preserve">Dried Cocounut (Khopra) </x:t>
  </x:si>
  <x:si>
    <x:t>**OFFER: COCONUT DESICATED</x:t>
  </x:si>
  <x:si>
    <x:t>PTCFR07</x:t>
  </x:si>
  <x:si>
    <x:t xml:space="preserve">Fruit Cocktail In Tin </x:t>
  </x:si>
  <x:si>
    <x:t>FRUIT COCKTAIL  825GM</x:t>
  </x:si>
  <x:si>
    <x:t>PTCFR08</x:t>
  </x:si>
  <x:si>
    <x:t xml:space="preserve">Mango Pulp In Tin </x:t>
  </x:si>
  <x:si>
    <x:t>MANGO PULP 800GM</x:t>
  </x:si>
  <x:si>
    <x:t>PTCFR10</x:t>
  </x:si>
  <x:si>
    <x:t xml:space="preserve">Peaches In Tin </x:t>
  </x:si>
  <x:si>
    <x:t>PEACHES HALVES   825GM</x:t>
  </x:si>
  <x:si>
    <x:t>PTCFR11</x:t>
  </x:si>
  <x:si>
    <x:t xml:space="preserve">Pears In Tin </x:t>
  </x:si>
  <x:si>
    <x:t>PEARS HALVES     825GM</x:t>
  </x:si>
  <x:si>
    <x:t>PTCFR12</x:t>
  </x:si>
  <x:si>
    <x:t xml:space="preserve">Pineapple in Tin </x:t>
  </x:si>
  <x:si>
    <x:t>Can</x:t>
  </x:si>
  <x:si>
    <x:t>PINEAPPLES SLICED 567GM</x:t>
  </x:si>
  <x:si>
    <x:t>PTCFR13</x:t>
  </x:si>
  <x:si>
    <x:t xml:space="preserve">Tomato Paste </x:t>
  </x:si>
  <x:si>
    <x:t>TOMATO PASTE  800GM</x:t>
  </x:si>
  <x:si>
    <x:t>PTCFR14</x:t>
  </x:si>
  <x:si>
    <x:t xml:space="preserve">Tomato Puree </x:t>
  </x:si>
  <x:si>
    <x:t>TOMATO PUREE  10.5 OZ</x:t>
  </x:si>
  <x:si>
    <x:t>PTCFR15</x:t>
  </x:si>
  <x:si>
    <x:t xml:space="preserve">Tomato Whole Peeled In Tin </x:t>
  </x:si>
  <x:si>
    <x:t>TOMATO WHOLE PEELED 800GM</x:t>
  </x:si>
  <x:si>
    <x:t>PTCMT01</x:t>
  </x:si>
  <x:si>
    <x:t xml:space="preserve">Bacon </x:t>
  </x:si>
  <x:si>
    <x:t>BACON BEEF (SLICED)</x:t>
  </x:si>
  <x:si>
    <x:t>PTCMT12</x:t>
  </x:si>
  <x:si>
    <x:t xml:space="preserve">Hot Dog </x:t>
  </x:si>
  <x:si>
    <x:t>SAUSAGE HOTDOG JUMBO PORK 6" (LOCAL)</x:t>
  </x:si>
  <x:si>
    <x:t>PTCMT33</x:t>
  </x:si>
  <x:si>
    <x:t xml:space="preserve">Pork Sausage </x:t>
  </x:si>
  <x:si>
    <x:t>SAUSAGE PORK (LOCAL) FRZ</x:t>
  </x:si>
  <x:si>
    <x:t>PTCPO03</x:t>
  </x:si>
  <x:si>
    <x:t xml:space="preserve">Chicken Salami </x:t>
  </x:si>
  <x:si>
    <x:t>SAUSAGE SALAMI CHICKEN ( LOCAL )</x:t>
  </x:si>
  <x:si>
    <x:t>PTCPO01</x:t>
  </x:si>
  <x:si>
    <x:t xml:space="preserve">Chicken Sausage </x:t>
  </x:si>
  <x:si>
    <x:t>PTCSF14</x:t>
  </x:si>
  <x:si>
    <x:t xml:space="preserve">Smoked Salmon </x:t>
  </x:si>
  <x:si>
    <x:t>FISH SMOKED SALMON PRESLICED</x:t>
  </x:si>
  <x:si>
    <x:t>PTCVG01</x:t>
  </x:si>
  <x:si>
    <x:t xml:space="preserve">Asparagus in Tin </x:t>
  </x:si>
  <x:si>
    <x:t>ASPARAGUS CUTS 425GR</x:t>
  </x:si>
  <x:si>
    <x:t>PTCVG02</x:t>
  </x:si>
  <x:si>
    <x:t xml:space="preserve">Bake Beans in Tin </x:t>
  </x:si>
  <x:si>
    <x:t>BAKED BEANS  IN TOMATO SAUCE 425G</x:t>
  </x:si>
  <x:si>
    <x:t>PTCVG14</x:t>
  </x:si>
  <x:si>
    <x:t xml:space="preserve">Mushroom Slice In Tin </x:t>
  </x:si>
  <x:si>
    <x:t>MUSHROOM SLICED  425GM</x:t>
  </x:si>
  <x:si>
    <x:t>PTCVG10</x:t>
  </x:si>
  <x:si>
    <x:t xml:space="preserve">Sweet Corn In Tin </x:t>
  </x:si>
  <x:si>
    <x:t>SWEET CORN  425GM</x:t>
  </x:si>
  <x:si>
    <x:t>PULS01</x:t>
  </x:si>
  <x:si>
    <x:t xml:space="preserve">Bengal Gram (Chick Pea) </x:t>
  </x:si>
  <x:si>
    <x:t>DRIED CHICK-PEAS / KABULI CHANA</x:t>
  </x:si>
  <x:si>
    <x:t>PULS06</x:t>
  </x:si>
  <x:si>
    <x:t xml:space="preserve">Dry Green Peas </x:t>
  </x:si>
  <x:si>
    <x:t>BEANS GREEN PEAS WHOLE DRIED</x:t>
  </x:si>
  <x:si>
    <x:t>PULS13</x:t>
  </x:si>
  <x:si>
    <x:t xml:space="preserve">Peanut </x:t>
  </x:si>
  <x:si>
    <x:t>PEANUTS RAW</x:t>
  </x:si>
  <x:si>
    <x:t>PULS19</x:t>
  </x:si>
  <x:si>
    <x:t xml:space="preserve">Semolina (Suji) </x:t>
  </x:si>
  <x:si>
    <x:t>FLOUR SEMOLINA</x:t>
  </x:si>
  <x:si>
    <x:t>PULS28</x:t>
  </x:si>
  <x:si>
    <x:t xml:space="preserve">Soya Bean Dry </x:t>
  </x:si>
  <x:si>
    <x:t>BEANS SOYA DRIED</x:t>
  </x:si>
  <x:si>
    <x:t>PULS21</x:t>
  </x:si>
  <x:si>
    <x:t xml:space="preserve">Split Black Gram (Urad Dal) </x:t>
  </x:si>
  <x:si>
    <x:t>DHALL URID</x:t>
  </x:si>
  <x:si>
    <x:t>PULS22</x:t>
  </x:si>
  <x:si>
    <x:t xml:space="preserve">Split Green Gram (Moong Dal) </x:t>
  </x:si>
  <x:si>
    <x:t>DHALL MOONG WHOLE</x:t>
  </x:si>
  <x:si>
    <x:t>PULS23</x:t>
  </x:si>
  <x:si>
    <x:t xml:space="preserve">Split Red Gram (Masoor Dal) - Red </x:t>
  </x:si>
  <x:si>
    <x:t>DHALL MASOOR (RED LENTIL) 1KG/PKT</x:t>
  </x:si>
  <x:si>
    <x:t>PULS24</x:t>
  </x:si>
  <x:si>
    <x:t xml:space="preserve">Split Red Gram (Toor dal) - Yellow </x:t>
  </x:si>
  <x:si>
    <x:t>DHALL TOOR</x:t>
  </x:si>
  <x:si>
    <x:t>RDMX08</x:t>
  </x:si>
  <x:si>
    <x:t xml:space="preserve">Dhokla Mix </x:t>
  </x:si>
  <x:si>
    <x:t>DHOKLA MIX 200GR</x:t>
  </x:si>
  <x:si>
    <x:t>RDMX01</x:t>
  </x:si>
  <x:si>
    <x:t xml:space="preserve">Dosa Mix </x:t>
  </x:si>
  <x:si>
    <x:t>DOSA MIXED  200G</x:t>
  </x:si>
  <x:si>
    <x:t>RDMX03</x:t>
  </x:si>
  <x:si>
    <x:t xml:space="preserve">Idli Mix </x:t>
  </x:si>
  <x:si>
    <x:t>IDLI MIX 200GM</x:t>
  </x:si>
  <x:si>
    <x:t>RDMX07</x:t>
  </x:si>
  <x:si>
    <x:t xml:space="preserve">Phirni Mix </x:t>
  </x:si>
  <x:si>
    <x:t>PHIRNI MIX 150GR</x:t>
  </x:si>
  <x:si>
    <x:t>SPHB92</x:t>
  </x:si>
  <x:si>
    <x:t xml:space="preserve">Ajinomoto </x:t>
  </x:si>
  <x:si>
    <x:t>AJI-NO-MOTO 1 KG</x:t>
  </x:si>
  <x:si>
    <x:t>SPHB03</x:t>
  </x:si>
  <x:si>
    <x:t xml:space="preserve">Asafoetida (Hing) </x:t>
  </x:si>
  <x:si>
    <x:t>ASAFOETIDA POWDER 100GM</x:t>
  </x:si>
  <x:si>
    <x:t>SPHB93</x:t>
  </x:si>
  <x:si>
    <x:t xml:space="preserve">Biryani Masala </x:t>
  </x:si>
  <x:si>
    <x:t>BRIYANI  MASALA 50G</x:t>
  </x:si>
  <x:si>
    <x:t>SPHB09</x:t>
  </x:si>
  <x:si>
    <x:t xml:space="preserve">Black Pepper Corn </x:t>
  </x:si>
  <x:si>
    <x:t>PEPPER BLACK WHOLE 500GM</x:t>
  </x:si>
  <x:si>
    <x:t>SPHB106</x:t>
  </x:si>
  <x:si>
    <x:t xml:space="preserve">Butter Chicken Masala </x:t>
  </x:si>
  <x:si>
    <x:t>BUTTER CHICKEN MASALA 50GR</x:t>
  </x:si>
  <x:si>
    <x:t>SPHB11</x:t>
  </x:si>
  <x:si>
    <x:t xml:space="preserve">Cardamom Green </x:t>
  </x:si>
  <x:si>
    <x:t>CARDAMON WHOLE (GREEN)</x:t>
  </x:si>
  <x:si>
    <x:t>SPHB14</x:t>
  </x:si>
  <x:si>
    <x:t xml:space="preserve">Channa Masala </x:t>
  </x:si>
  <x:si>
    <x:t>CHANNA MASALA 100GM</x:t>
  </x:si>
  <x:si>
    <x:t>SPHB112</x:t>
  </x:si>
  <x:si>
    <x:t xml:space="preserve">Chicken Biryani Masala </x:t>
  </x:si>
  <x:si>
    <x:t>CHICKEN BRIYANI  MASALA 50G</x:t>
  </x:si>
  <x:si>
    <x:t>SPHB95</x:t>
  </x:si>
  <x:si>
    <x:t xml:space="preserve">Chicken Masala </x:t>
  </x:si>
  <x:si>
    <x:t>CHICKEN MASALA 100GR</x:t>
  </x:si>
  <x:si>
    <x:t>SPHB18</x:t>
  </x:si>
  <x:si>
    <x:t xml:space="preserve">Cinnamom Stick </x:t>
  </x:si>
  <x:si>
    <x:t>CINNAMON STICKS 500GM</x:t>
  </x:si>
  <x:si>
    <x:t>SPHB20</x:t>
  </x:si>
  <x:si>
    <x:t xml:space="preserve">Clove </x:t>
  </x:si>
  <x:si>
    <x:t>CLOVES WHOLE 500GM</x:t>
  </x:si>
  <x:si>
    <x:t>SPHB22</x:t>
  </x:si>
  <x:si>
    <x:t xml:space="preserve">Coriander Leaf </x:t>
  </x:si>
  <x:si>
    <x:t>CORRIANDER LEAVE FRESH</x:t>
  </x:si>
  <x:si>
    <x:t>SPHB24</x:t>
  </x:si>
  <x:si>
    <x:t xml:space="preserve">Coriander Seed </x:t>
  </x:si>
  <x:si>
    <x:t>CORRIANDER SEED  500GM</x:t>
  </x:si>
  <x:si>
    <x:t>SPHB25</x:t>
  </x:si>
  <x:si>
    <x:t xml:space="preserve">Cumin Powder </x:t>
  </x:si>
  <x:si>
    <x:t>CUMIN POWDER / JEERA POWDER 500GM</x:t>
  </x:si>
  <x:si>
    <x:t>SPHB26</x:t>
  </x:si>
  <x:si>
    <x:t xml:space="preserve">Cumin Seed </x:t>
  </x:si>
  <x:si>
    <x:t>CUMIN SEED 500GM</x:t>
  </x:si>
  <x:si>
    <x:t>SPHB27</x:t>
  </x:si>
  <x:si>
    <x:t xml:space="preserve">Curry Leaf </x:t>
  </x:si>
  <x:si>
    <x:t>CURRY LEAVES FRESH</x:t>
  </x:si>
  <x:si>
    <x:t>SPHB113</x:t>
  </x:si>
  <x:si>
    <x:t xml:space="preserve">Dhansag Masala </x:t>
  </x:si>
  <x:si>
    <x:t>DHANSAK MASALA 300GR/PKT</x:t>
  </x:si>
  <x:si>
    <x:t>SPHB39</x:t>
  </x:si>
  <x:si>
    <x:t xml:space="preserve">Fenugreek Seed (Methi Seed) </x:t>
  </x:si>
  <x:si>
    <x:t>FENUGREEK (METHI SEED) 500GR</x:t>
  </x:si>
  <x:si>
    <x:t>SPHB105</x:t>
  </x:si>
  <x:si>
    <x:t xml:space="preserve">Fish Masala </x:t>
  </x:si>
  <x:si>
    <x:t>FISH MASALA  100GM</x:t>
  </x:si>
  <x:si>
    <x:t>SPHB42</x:t>
  </x:si>
  <x:si>
    <x:t xml:space="preserve">Garam Masala Powder </x:t>
  </x:si>
  <x:si>
    <x:t>GARAM MASALA  100G</x:t>
  </x:si>
  <x:si>
    <x:t>SPHB44</x:t>
  </x:si>
  <x:si>
    <x:t xml:space="preserve">Garlic </x:t>
  </x:si>
  <x:si>
    <x:t>SPHB45</x:t>
  </x:si>
  <x:si>
    <x:t xml:space="preserve">Ginger </x:t>
  </x:si>
  <x:si>
    <x:t>GINGER ROOTS FRESH</x:t>
  </x:si>
  <x:si>
    <x:t>SPHB48</x:t>
  </x:si>
  <x:si>
    <x:t xml:space="preserve">Green Chili </x:t>
  </x:si>
  <x:si>
    <x:t>CHILLI PADI GREEN</x:t>
  </x:si>
  <x:si>
    <x:t>SPHB135</x:t>
  </x:si>
  <x:si>
    <x:t xml:space="preserve">Idli Milagai Podi </x:t>
  </x:si>
  <x:si>
    <x:t>SPHB54</x:t>
  </x:si>
  <x:si>
    <x:t xml:space="preserve">Kashmiri Chili Powder </x:t>
  </x:si>
  <x:si>
    <x:t>CHILLI POWDER KASMIRI 100GM</x:t>
  </x:si>
  <x:si>
    <x:t>SPHB58</x:t>
  </x:si>
  <x:si>
    <x:t xml:space="preserve">Kitchen King Masala </x:t>
  </x:si>
  <x:si>
    <x:t>KITCHEN KING MASALA 50GRM</x:t>
  </x:si>
  <x:si>
    <x:t>SPHB62</x:t>
  </x:si>
  <x:si>
    <x:t xml:space="preserve">Mint Leaf </x:t>
  </x:si>
  <x:si>
    <x:t>MINT LEAVES FRESH</x:t>
  </x:si>
  <x:si>
    <x:t>SPHB67</x:t>
  </x:si>
  <x:si>
    <x:t xml:space="preserve">Oregano Powder </x:t>
  </x:si>
  <x:si>
    <x:t>OREGANO GROUND 342GM</x:t>
  </x:si>
  <x:si>
    <x:t>SPHB69</x:t>
  </x:si>
  <x:si>
    <x:t xml:space="preserve">Panch Phoran(Bengal Spices) </x:t>
  </x:si>
  <x:si>
    <x:t xml:space="preserve"> **OFFER FIVE SPICE POWDER 450GM (LOCAL)</x:t>
  </x:si>
  <x:si>
    <x:t>SPHB74</x:t>
  </x:si>
  <x:si>
    <x:t xml:space="preserve">Poppy Seed (Khuskhus) </x:t>
  </x:si>
  <x:si>
    <x:t>SPHB75</x:t>
  </x:si>
  <x:si>
    <x:t xml:space="preserve">Rasam Powder </x:t>
  </x:si>
  <x:si>
    <x:t>RASAM POWDER 100GR</x:t>
  </x:si>
  <x:si>
    <x:t>SPHB78</x:t>
  </x:si>
  <x:si>
    <x:t xml:space="preserve">Red Chili Powder </x:t>
  </x:si>
  <x:si>
    <x:t>DRIED CHILLI POWDER (LOCAL) 1KG/PKT</x:t>
  </x:si>
  <x:si>
    <x:t>SPHB134</x:t>
  </x:si>
  <x:si>
    <x:t xml:space="preserve">Rogan Josh Masala </x:t>
  </x:si>
  <x:si>
    <x:t>ROGAN JOSH MASALA 50GM</x:t>
  </x:si>
  <x:si>
    <x:t>SPHB116</x:t>
  </x:si>
  <x:si>
    <x:t xml:space="preserve">Sabji Masala </x:t>
  </x:si>
  <x:si>
    <x:t>SABJI MASALA 100GR</x:t>
  </x:si>
  <x:si>
    <x:t>SPHB85</x:t>
  </x:si>
  <x:si>
    <x:t xml:space="preserve">Star Anise </x:t>
  </x:si>
  <x:si>
    <x:t>STAR ANISE SEED 500GM</x:t>
  </x:si>
  <x:si>
    <x:t>SPHB96</x:t>
  </x:si>
  <x:si>
    <x:t xml:space="preserve">Tandoori Masala </x:t>
  </x:si>
  <x:si>
    <x:t>TANDOORI MASALA 100GR</x:t>
  </x:si>
  <x:si>
    <x:t>SPHB87</x:t>
  </x:si>
  <x:si>
    <x:t xml:space="preserve">Thyme </x:t>
  </x:si>
  <x:si>
    <x:t>THYME DRIED SHREDDED 500GR/PKT</x:t>
  </x:si>
  <x:si>
    <x:t>SPHB88</x:t>
  </x:si>
  <x:si>
    <x:t xml:space="preserve">Turmeric Powder </x:t>
  </x:si>
  <x:si>
    <x:t>TURMERIC POWDER 500GM</x:t>
  </x:si>
  <x:si>
    <x:t>SPHB90</x:t>
  </x:si>
  <x:si>
    <x:t xml:space="preserve">White Pepper Corn </x:t>
  </x:si>
  <x:si>
    <x:t>PEPPER WHITE WHOLE</x:t>
  </x:si>
  <x:si>
    <x:t>SGR03</x:t>
  </x:si>
  <x:si>
    <x:t xml:space="preserve">Jaggery </x:t>
  </x:si>
  <x:si>
    <x:t>SGR05</x:t>
  </x:si>
  <x:si>
    <x:t xml:space="preserve">Palm Sugar </x:t>
  </x:si>
  <x:si>
    <x:t>SGR10</x:t>
  </x:si>
  <x:si>
    <x:t xml:space="preserve">Sugar Cube </x:t>
  </x:si>
  <x:si>
    <x:t>SUGAR CUBES  450GR/PKT</x:t>
  </x:si>
  <x:si>
    <x:t>SGR07</x:t>
  </x:si>
  <x:si>
    <x:t xml:space="preserve">White Sugar Granulated </x:t>
  </x:si>
  <x:si>
    <x:t>SUGAR   WHITE 25KGS</x:t>
  </x:si>
  <x:si>
    <x:t>Item Sub Total :</x:t>
  </x:si>
  <x:si>
    <x:t>BOND</x:t>
  </x:si>
  <x:si>
    <x:t>B-BEER04</x:t>
  </x:si>
  <x:si>
    <x:t xml:space="preserve">Beer-Heineken 24 Can X 330ml </x:t>
  </x:si>
  <x:si>
    <x:t>BEER HEINEKEN CANNED 24X330ML</x:t>
  </x:si>
  <x:si>
    <x:t>B-BEER10</x:t>
  </x:si>
  <x:si>
    <x:t xml:space="preserve">Beer-Oranjeboom 24 Can X 330ml </x:t>
  </x:si>
  <x:si>
    <x:t>BEER ORANJEBOOM  CANNED  24X330ML</x:t>
  </x:si>
  <x:si>
    <x:t>B-BEER06</x:t>
  </x:si>
  <x:si>
    <x:t xml:space="preserve">Beer-San Miguel 24 Can X 330ml </x:t>
  </x:si>
  <x:si>
    <x:t>BEER SAN MIGUEL CANNED  24X330ML</x:t>
  </x:si>
  <x:si>
    <x:t>B-CIG02</x:t>
  </x:si>
  <x:si>
    <x:t xml:space="preserve">Benson &amp; Hedges Spe. Filter 200`s </x:t>
  </x:si>
  <x:si>
    <x:t>Ctn</x:t>
  </x:si>
  <x:si>
    <x:t>CIGS BENSON &amp; HEDGES SPECIAL FILTER  200S</x:t>
  </x:si>
  <x:si>
    <x:t>B-CIG22</x:t>
  </x:si>
  <x:si>
    <x:t xml:space="preserve">Marlboro Gold 200's </x:t>
  </x:si>
  <x:si>
    <x:t>CIGS MARLBORO  GOLD HARD PACK  200`S</x:t>
  </x:si>
  <x:si>
    <x:t>B-CIG13</x:t>
  </x:si>
  <x:si>
    <x:t xml:space="preserve">State Express 555 Filt. King 200`s </x:t>
  </x:si>
  <x:si>
    <x:t>CIGS STATE EXPRESS 555 (KING/GOLD) KSF  200`S/RM</x:t>
  </x:si>
  <x:si>
    <x:t>B-NABV03</x:t>
  </x:si>
  <x:si>
    <x:t xml:space="preserve">Coke Zero 330ml Can </x:t>
  </x:si>
  <x:si>
    <x:t>DRINK CANNED COCA COLA (ZERO) 24 X 330ML</x:t>
  </x:si>
  <x:si>
    <x:t>B-NABV29</x:t>
  </x:si>
  <x:si>
    <x:t xml:space="preserve">Mineral Water Non Sparkling 2.0 Ltr Btl </x:t>
  </x:si>
  <x:si>
    <x:t>Btl</x:t>
  </x:si>
  <x:si>
    <x:t>B-NABV20</x:t>
  </x:si>
  <x:si>
    <x:t xml:space="preserve">Mineral Water Non-Sparkling 500ml Btl </x:t>
  </x:si>
  <x:si>
    <x:t>DRINKING  WATER  NON-SPARKLING  24/500ML BTL</x:t>
  </x:si>
  <x:si>
    <x:t>B-NABV21</x:t>
  </x:si>
  <x:si>
    <x:t xml:space="preserve">Mineral Water Sparkling 1.5ltr Btl </x:t>
  </x:si>
  <x:si>
    <x:t>MINERAL WATER SPARKLING 6X1.5LTR/CS</x:t>
  </x:si>
  <x:si>
    <x:t>B-SNK01</x:t>
  </x:si>
  <x:si>
    <x:t xml:space="preserve">Cashew Nuts </x:t>
  </x:si>
  <x:si>
    <x:t>CASHEWS NUTS SALTED 130GR/TIN (LOCAL)</x:t>
  </x:si>
  <x:si>
    <x:t>B-SNK03</x:t>
  </x:si>
  <x:si>
    <x:t xml:space="preserve">Doritos Assorted </x:t>
  </x:si>
  <x:si>
    <x:t>DORITOS CHIPS 180 GRM (ASSTD)</x:t>
  </x:si>
  <x:si>
    <x:t>B-SNK68</x:t>
  </x:si>
  <x:si>
    <x:t xml:space="preserve">Haldiram Aloo Bhujia </x:t>
  </x:si>
  <x:si>
    <x:t>HALDIRAM SNACKS 150GM (ALOO BHUJIA)</x:t>
  </x:si>
  <x:si>
    <x:t>B-SNK33</x:t>
  </x:si>
  <x:si>
    <x:t xml:space="preserve">Haldiram Bombay Mixture </x:t>
  </x:si>
  <x:si>
    <x:t>HALDIRAM 150GM (BOMBAY MIXTURE)</x:t>
  </x:si>
  <x:si>
    <x:t>B-SNK60</x:t>
  </x:si>
  <x:si>
    <x:t xml:space="preserve">Haldiram Khatta Meetha </x:t>
  </x:si>
  <x:si>
    <x:t>HALDIRAM ASSORTED 150GM (KHATTA MEETHA)</x:t>
  </x:si>
  <x:si>
    <x:t>B-SNK04</x:t>
  </x:si>
  <x:si>
    <x:t xml:space="preserve">Mixed Nuts Planters </x:t>
  </x:si>
  <x:si>
    <x:t>MIXED NUTS  SALTED 291GM "PLANTERS"</x:t>
  </x:si>
  <x:si>
    <x:t>B-SNK12</x:t>
  </x:si>
  <x:si>
    <x:t xml:space="preserve">PRINGLE POTATO CHIPS (BBQ) </x:t>
  </x:si>
  <x:si>
    <x:t>PRINGLES POTATO CHIPS BBQ FLAVOUR 169GM</x:t>
  </x:si>
  <x:si>
    <x:t>B-SNK11</x:t>
  </x:si>
  <x:si>
    <x:t xml:space="preserve">PRINGLE POTATO CHIPS (ORIGINAL) </x:t>
  </x:si>
  <x:si>
    <x:t>PRINGLES POTATO CHIPS ORIGINAL  161GM</x:t>
  </x:si>
  <x:si>
    <x:t>B-SNK13</x:t>
  </x:si>
  <x:si>
    <x:t xml:space="preserve">PRINGLE POTATO CHIPS (SOUR CREAM &amp; ONION) </x:t>
  </x:si>
  <x:si>
    <x:t>PRINGLES POTATO CHIPS SOUR CREAM 169GM</x:t>
  </x:si>
  <x:si>
    <x:t>B-SWCH06</x:t>
  </x:si>
  <x:si>
    <x:t xml:space="preserve">Cadbury Choco - Fruit &amp; Nut Big </x:t>
  </x:si>
  <x:si>
    <x:t>CHOCOLATE BAR CADBURY  200GM (FRUIT &amp; NUT)</x:t>
  </x:si>
  <x:si>
    <x:t>B-SWCH07</x:t>
  </x:si>
  <x:si>
    <x:t xml:space="preserve">Cadbury Choco - Hazenut Big </x:t>
  </x:si>
  <x:si>
    <x:t>CHOCOLATE BAR CADBURY  200GM (HAZELNUT)</x:t>
  </x:si>
  <x:si>
    <x:t>Other Charges</x:t>
  </x:si>
  <x:si>
    <x:t>Amount</x:t>
  </x:si>
  <x:si>
    <x:t>Price</x:t>
  </x:si>
  <x:si>
    <x:t>Packing cost</x:t>
  </x:si>
  <x:si>
    <x:t>Freight charge</x:t>
  </x:si>
  <x:si>
    <x:t>aaa</x:t>
  </x:si>
  <x:si>
    <x:t>Grand Total :</x:t>
  </x:si>
  <x:si>
    <x:t>Buyer Remarks</x:t>
  </x:si>
  <x:si>
    <x:t>Packing Instructions</x:t>
  </x:si>
  <x:si>
    <x:t>Your Quotation is subjected to :</x:t>
  </x:si>
  <x:si>
    <x:t>All meats and milk derivatives to be supplied must be free from FMD. All meat, milk and milk products, if imported, are purchased from countries not affected by FMD. All Poultry products must be free from</x:t>
  </x:si>
  <x:si>
    <x:t>Birds Flu / Avian Influenza (H5N1) &amp; if demanded you must be able to produce a certification to this effect. All provisions and bond products must have proper expiry dates mentioned in English.</x:t>
  </x:si>
  <x:si>
    <x:r>
      <x:rPr>
        <x:vertAlign val="baseline"/>
        <x:sz val="8"/>
        <x:color theme="3" tint="-0.499984740745262"/>
        <x:rFont val="Calibri"/>
        <x:family val="2"/>
      </x:rPr>
      <x:t>You must quote for the</x:t>
    </x:r>
    <x:r>
      <x:rPr>
        <x:b/>
        <x:vertAlign val="baseline"/>
        <x:sz val="8"/>
        <x:color theme="3" tint="-0.499984740745262"/>
        <x:rFont val="Calibri"/>
        <x:family val="2"/>
      </x:rPr>
      <x:t xml:space="preserve"> Packaging and Brands </x:t>
    </x:r>
    <x:r>
      <x:rPr>
        <x:vertAlign val="baseline"/>
        <x:sz val="8"/>
        <x:color theme="3" tint="-0.499984740745262"/>
        <x:rFont val="Calibri"/>
        <x:family val="2"/>
      </x:rPr>
      <x:t>as has been asked by us. If the same is not available then please quote for the nearest matching Packaging and Brands available in local market. You must clearly specify the</x:t>
    </x:r>
  </x:si>
  <x:si>
    <x:t>weight &amp; packaging of each &amp; every packed, bottled or canned products in case different from the one that has been requested for. If certain items can only be supplied in a given case or Packaging then, mention the</x:t>
  </x:si>
  <x:si>
    <x:t>weight of the case or packaging, with the minimum quantity of order required by you, as we do not accept / pay for any oversupply at later stage.</x:t>
  </x:si>
  <x:si>
    <x:t>Pls. ensure that all items quoted must have long expiry dates as per the parameters below : -</x:t>
  </x:si>
  <x:si>
    <x:t>All Dry Provisions, Frozen Meat &amp; Fish / Processed Meat etc.: Minimum 06 Months.</x:t>
  </x:si>
  <x:si>
    <x:t>All Ready Mixes / Cereals / Juices / Jam &amp; Marmalade / Pickles / All Other Canned or Bottled Products like Sauces, Tinned Fruits, Tinned Meat etc.: Minimum 12 Months.</x:t>
  </x:si>
  <x:si>
    <x:t>Dairy Products (L.L Milk, Evaporated Milk &amp; Condensed Milk, Milk Powder): Minimum 06 months.</x:t>
  </x:si>
  <x:si>
    <x:t>Yoghurt / Slice Cheese / Block cheese: Minimum 03 Months.</x:t>
  </x:si>
  <x:si>
    <x:t>Bond Items to have minimum 6 months expiry.</x:t>
  </x:si>
  <x:si>
    <x:t xml:space="preserve">Stores Items to have minimum 12 months expiry. The Supplier shall ensure that ordered stores do not contain asbestos materials as regulated by SOLAS II - 1/3 – 5. Applicable supplies have to be delivered with free asbestos guarantee declaration/letter             
</x:t>
  </x:si>
  <x:si>
    <x:t xml:space="preserve">Your Quote must indicate the following: --  </x:t>
  </x:si>
  <x:si>
    <x:t>Currency Quoted: Preferably should be in Local Currency</x:t>
  </x:si>
  <x:si>
    <x:t>Delivery: Free on Board / If any charges are applicable they have to be clearly advised beforehand.</x:t>
  </x:si>
  <x:si>
    <x:t>Discount offered by you: For Cash / For Credit with 30/21/15 Banking days net of bank charges</x:t>
  </x:si>
  <x:si>
    <x:t>Launch Hire Charges: If applicable</x:t>
  </x:si>
  <x:si>
    <x:t xml:space="preserve">You must quote only for high quality &amp; branded products, please do not quote for sub–standard products, just to get the order as we shall not pay if the items are found of sub-standard or poor quality, upon delivery &amp; </x:t>
  </x:si>
  <x:si>
    <x:t>shall also try to avoid your company for future.</x:t>
  </x:si>
  <x:si>
    <x:t>RFQFileType</x:t>
  </x:si>
  <x:si>
    <x:t>RFQ</x:t>
  </x:si>
  <x:si>
    <x:t>ADP</x:t>
  </x:si>
  <x:si>
    <x:t>RFQ_ID</x:t>
  </x:si>
  <x:si>
    <x:t>AED</x:t>
  </x:si>
  <x:si>
    <x:t>RequestForQuoteID</x:t>
  </x:si>
  <x:si>
    <x:t>AFA</x:t>
  </x:si>
  <x:si>
    <x:t>ADDITIONAL JOBS</x:t>
  </x:si>
  <x:si>
    <x:t>HeaderID</x:t>
  </x:si>
  <x:si>
    <x:t>AUD</x:t>
  </x:si>
  <x:si>
    <x:t>NOS</x:t>
  </x:si>
  <x:si>
    <x:t>AGENCY FEE</x:t>
  </x:si>
  <x:si>
    <x:t>VendorID</x:t>
  </x:si>
  <x:si>
    <x:t>BAD</x:t>
  </x:si>
  <x:si>
    <x:t>UNIT</x:t>
  </x:si>
  <x:si>
    <x:t>HANDLING CHARGE</x:t>
  </x:si>
  <x:si>
    <x:t>RFQCategory</x:t>
  </x:si>
  <x:si>
    <x:t>SEACHEF</x:t>
  </x:si>
  <x:si>
    <x:t>BAM</x:t>
  </x:si>
  <x:si>
    <x:t>CAL</x:t>
  </x:si>
  <x:si>
    <x:t>PACKING CHARGE</x:t>
  </x:si>
  <x:si>
    <x:t>QuoteID</x:t>
  </x:si>
  <x:si>
    <x:t>BBD</x:t>
  </x:si>
  <x:si>
    <x:t>Perc</x:t>
  </x:si>
  <x:si>
    <x:t>SPARE USED</x:t>
  </x:si>
  <x:si>
    <x:t>BHD</x:t>
  </x:si>
  <x:si>
    <x:t>Mg</x:t>
  </x:si>
  <x:si>
    <x:t>WAREHOUSING</x:t>
  </x:si>
  <x:si>
    <x:t>BMD</x:t>
  </x:si>
  <x:si>
    <x:t>CRANAGE</x:t>
  </x:si>
  <x:si>
    <x:t>BOL</x:t>
  </x:si>
  <x:si>
    <x:t>Tin</x:t>
  </x:si>
  <x:si>
    <x:t>CUSTOMS</x:t>
  </x:si>
  <x:si>
    <x:t>BRL</x:t>
  </x:si>
  <x:si>
    <x:t>OTHERS 1</x:t>
  </x:si>
  <x:si>
    <x:t>BSD</x:t>
  </x:si>
  <x:si>
    <x:t>OTHERS 2</x:t>
  </x:si>
  <x:si>
    <x:t>CAD</x:t>
  </x:si>
  <x:si>
    <x:t>OZ</x:t>
  </x:si>
  <x:si>
    <x:t>OTHERS 3</x:t>
  </x:si>
  <x:si>
    <x:t>CDZ</x:t>
  </x:si>
  <x:si>
    <x:t>LAUNCH HIRE CHARGE</x:t>
  </x:si>
  <x:si>
    <x:t>CHF</x:t>
  </x:si>
  <x:si>
    <x:t>ROUNDING ADJUSTMENT</x:t>
  </x:si>
  <x:si>
    <x:t>CLP</x:t>
  </x:si>
  <x:si>
    <x:t>BOAT CHARGES</x:t>
  </x:si>
  <x:si>
    <x:t>CNY</x:t>
  </x:si>
  <x:si>
    <x:t>MINIMUM QUANTITY CHARGE</x:t>
  </x:si>
  <x:si>
    <x:t>CYP</x:t>
  </x:si>
  <x:si>
    <x:t>PORT SURCHARGE</x:t>
  </x:si>
  <x:si>
    <x:t>CZK</x:t>
  </x:si>
  <x:si>
    <x:t>TRANSPORTATION</x:t>
  </x:si>
  <x:si>
    <x:t>DEM</x:t>
  </x:si>
  <x:si>
    <x:t>DKK</x:t>
  </x:si>
  <x:si>
    <x:t>EGP</x:t>
  </x:si>
  <x:si>
    <x:t>ESP</x:t>
  </x:si>
  <x:si>
    <x:t>ETB</x:t>
  </x:si>
  <x:si>
    <x:t>EUR</x:t>
  </x:si>
  <x:si>
    <x:t>FKP</x:t>
  </x:si>
  <x:si>
    <x:t>GBP</x:t>
  </x:si>
  <x:si>
    <x:t>GEK</x:t>
  </x:si>
  <x:si>
    <x:t>GEL</x:t>
  </x:si>
  <x:si>
    <x:t>GRD</x:t>
  </x:si>
  <x:si>
    <x:t>HKD</x:t>
  </x:si>
  <x:si>
    <x:t>HRK</x:t>
  </x:si>
  <x:si>
    <x:t>IDR</x:t>
  </x:si>
  <x:si>
    <x:t>INR</x:t>
  </x:si>
  <x:si>
    <x:t>JPY</x:t>
  </x:si>
  <x:si>
    <x:t>KRW</x:t>
  </x:si>
  <x:si>
    <x:t>KWD</x:t>
  </x:si>
  <x:si>
    <x:t>MAD</x:t>
  </x:si>
  <x:si>
    <x:t>MDL</x:t>
  </x:si>
  <x:si>
    <x:t>MXN</x:t>
  </x:si>
  <x:si>
    <x:t>MYR</x:t>
  </x:si>
  <x:si>
    <x:t>NAD</x:t>
  </x:si>
  <x:si>
    <x:t>NOK</x:t>
  </x:si>
  <x:si>
    <x:t>NZD</x:t>
  </x:si>
  <x:si>
    <x:t>OMR</x:t>
  </x:si>
  <x:si>
    <x:t>PGK</x:t>
  </x:si>
  <x:si>
    <x:t>PHP</x:t>
  </x:si>
  <x:si>
    <x:t>PLN</x:t>
  </x:si>
  <x:si>
    <x:t>QAR</x:t>
  </x:si>
  <x:si>
    <x:t>RON</x:t>
  </x:si>
  <x:si>
    <x:t>RUB</x:t>
  </x:si>
  <x:si>
    <x:t>SAR</x:t>
  </x:si>
  <x:si>
    <x:t>SDG</x:t>
  </x:si>
  <x:si>
    <x:t>SEK</x:t>
  </x:si>
  <x:si>
    <x:t>SLL</x:t>
  </x:si>
  <x:si>
    <x:t>STD</x:t>
  </x:si>
  <x:si>
    <x:t>THB</x:t>
  </x:si>
  <x:si>
    <x:t>TRY</x:t>
  </x:si>
  <x:si>
    <x:t>TWD</x:t>
  </x:si>
  <x:si>
    <x:t>UAH</x:t>
  </x:si>
  <x:si>
    <x:t>UAK</x:t>
  </x:si>
  <x:si>
    <x:t>UGS</x:t>
  </x:si>
  <x:si>
    <x:t>USD</x:t>
  </x:si>
  <x:si>
    <x:t>UYU</x:t>
  </x:si>
  <x:si>
    <x:t>VEF</x:t>
  </x:si>
  <x:si>
    <x:t>VND</x:t>
  </x:si>
  <x:si>
    <x:t>ZAR</x:t>
  </x:si>
  <x:si>
    <x:t>ZRZ</x:t>
  </x:si>
  <x:si>
    <x:t>ZWD</x:t>
  </x:si>
</x:sst>
</file>

<file path=xl/styles.xml><?xml version="1.0" encoding="utf-8"?>
<x:styleSheet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x:numFmts count="9">
    <x:numFmt numFmtId="44" formatCode="_(&quot;$&quot;* #,##0.00_);_(&quot;$&quot;* \(#,##0.00\);_(&quot;$&quot;* &quot;-&quot;??_);_(@_)"/>
    <x:numFmt numFmtId="164" formatCode="[$-409]d/mmm/yyyy;@"/>
    <x:numFmt numFmtId="165" formatCode="m/d/yy;@"/>
    <x:numFmt numFmtId="166" formatCode=";;;"/>
    <x:numFmt numFmtId="167" formatCode="#,##0.000"/>
    <x:numFmt numFmtId="168" formatCode="0.000"/>
    <x:numFmt numFmtId="169" formatCode="[$-409]d\-mmm\-yyyy;@"/>
    <x:numFmt numFmtId="170" formatCode="[$-409]d\-mmm\-yy;@"/>
    <x:numFmt numFmtId="172" formatCode="#,##0.00"/>
  </x:numFmts>
  <x:fonts count="37" x14ac:knownFonts="1">
    <x:font>
      <x:sz val="11"/>
      <x:color theme="1"/>
      <x:name val="Calibri"/>
      <x:family val="2"/>
      <x:scheme val="minor"/>
    </x:font>
    <x:font>
      <x:sz val="11"/>
      <x:color theme="1"/>
      <x:name val="Calibri"/>
      <x:family val="2"/>
      <x:scheme val="minor"/>
    </x:font>
    <x:font>
      <x:b/>
      <x:sz val="15"/>
      <x:color theme="3"/>
      <x:name val="Calibri"/>
      <x:family val="2"/>
      <x:scheme val="minor"/>
    </x:font>
    <x:font>
      <x:b/>
      <x:sz val="11"/>
      <x:color theme="3"/>
      <x:name val="Calibri"/>
      <x:family val="2"/>
      <x:scheme val="minor"/>
    </x:font>
    <x:font>
      <x:b/>
      <x:sz val="11"/>
      <x:color rgb="FFFA7D00"/>
      <x:name val="Calibri"/>
      <x:family val="2"/>
      <x:scheme val="minor"/>
    </x:font>
    <x:font>
      <x:sz val="12"/>
      <x:name val="Calibri"/>
      <x:family val="2"/>
      <x:scheme val="minor"/>
    </x:font>
    <x:font>
      <x:sz val="10"/>
      <x:name val="Calibri"/>
      <x:family val="2"/>
      <x:scheme val="minor"/>
    </x:font>
    <x:font>
      <x:i/>
      <x:sz val="38"/>
      <x:color indexed="41"/>
      <x:name val="Calibri"/>
      <x:family val="2"/>
      <x:scheme val="minor"/>
    </x:font>
    <x:font>
      <x:b/>
      <x:i/>
      <x:sz val="36"/>
      <x:color indexed="41"/>
      <x:name val="Calibri"/>
      <x:family val="2"/>
      <x:scheme val="minor"/>
    </x:font>
    <x:font>
      <x:b/>
      <x:i/>
      <x:sz val="36"/>
      <x:color theme="0" tint="-0.14999847407452621"/>
      <x:name val="Calibri"/>
      <x:family val="2"/>
      <x:scheme val="minor"/>
    </x:font>
    <x:font>
      <x:b/>
      <x:sz val="10"/>
      <x:color theme="3"/>
      <x:name val="Calibri"/>
      <x:family val="2"/>
      <x:scheme val="minor"/>
    </x:font>
    <x:font>
      <x:sz val="8"/>
      <x:name val="Calibri"/>
      <x:family val="2"/>
      <x:scheme val="minor"/>
    </x:font>
    <x:font>
      <x:sz val="8"/>
      <x:color indexed="61"/>
      <x:name val="Calibri"/>
      <x:family val="2"/>
      <x:scheme val="minor"/>
    </x:font>
    <x:font>
      <x:b/>
      <x:sz val="8"/>
      <x:color indexed="61"/>
      <x:name val="Calibri"/>
      <x:family val="2"/>
      <x:scheme val="minor"/>
    </x:font>
    <x:font>
      <x:b/>
      <x:sz val="9"/>
      <x:color theme="3" tint="-0.499984740745262"/>
      <x:name val="Calibri"/>
      <x:family val="2"/>
      <x:scheme val="minor"/>
    </x:font>
    <x:font>
      <x:sz val="8"/>
      <x:color theme="3" tint="-0.499984740745262"/>
      <x:name val="Calibri"/>
      <x:family val="2"/>
      <x:scheme val="minor"/>
    </x:font>
    <x:font>
      <x:sz val="11"/>
      <x:color theme="3" tint="-0.499984740745262"/>
      <x:name val="Calibri"/>
      <x:family val="2"/>
      <x:scheme val="minor"/>
    </x:font>
    <x:font>
      <x:b/>
      <x:sz val="11"/>
      <x:color theme="9"/>
      <x:name val="Calibri"/>
      <x:family val="2"/>
      <x:scheme val="minor"/>
    </x:font>
    <x:font>
      <x:i/>
      <x:sz val="8"/>
      <x:name val="Calibri"/>
      <x:family val="2"/>
      <x:scheme val="minor"/>
    </x:font>
    <x:font>
      <x:b/>
      <x:sz val="9"/>
      <x:name val="Calibri"/>
      <x:family val="2"/>
      <x:scheme val="minor"/>
    </x:font>
    <x:font>
      <x:b/>
      <x:sz val="8"/>
      <x:color theme="3" tint="-0.499984740745262"/>
      <x:name val="Calibri"/>
      <x:family val="2"/>
      <x:scheme val="minor"/>
    </x:font>
    <x:font>
      <x:sz val="9"/>
      <x:name val="Calibri"/>
      <x:family val="2"/>
      <x:scheme val="minor"/>
    </x:font>
    <x:font>
      <x:b/>
      <x:sz val="10"/>
      <x:color theme="0" tint="-0.249977111117893"/>
      <x:name val="Calibri"/>
      <x:family val="2"/>
      <x:scheme val="minor"/>
    </x:font>
    <x:font>
      <x:b/>
      <x:sz val="11"/>
      <x:color theme="0" tint="-0.249977111117893"/>
      <x:name val="Calibri"/>
      <x:family val="2"/>
      <x:scheme val="minor"/>
    </x:font>
    <x:font>
      <x:sz val="8"/>
      <x:color theme="1"/>
      <x:name val="Calibri"/>
      <x:family val="2"/>
      <x:scheme val="minor"/>
    </x:font>
    <x:font>
      <x:b/>
      <x:sz val="11"/>
      <x:color theme="1" tint="0.34998626667073579"/>
      <x:name val="Calibri"/>
      <x:family val="2"/>
      <x:scheme val="minor"/>
    </x:font>
    <x:font>
      <x:sz val="11"/>
      <x:color theme="1" tint="0.34998626667073579"/>
      <x:name val="Calibri"/>
      <x:family val="2"/>
      <x:scheme val="minor"/>
    </x:font>
    <x:font>
      <x:b/>
      <x:sz val="12"/>
      <x:color rgb="FFFF0000"/>
      <x:name val="Calibri"/>
      <x:family val="2"/>
      <x:scheme val="minor"/>
    </x:font>
    <x:font>
      <x:sz val="10"/>
      <x:color rgb="FF4B7279"/>
      <x:name val="Calibri"/>
      <x:family val="2"/>
      <x:scheme val="minor"/>
    </x:font>
    <x:font>
      <x:sz val="10"/>
      <x:color indexed="61"/>
      <x:name val="Calibri"/>
      <x:family val="2"/>
      <x:scheme val="minor"/>
    </x:font>
    <x:font>
      <x:u/>
      <x:sz val="11"/>
      <x:color theme="10"/>
      <x:name val="Calibri"/>
      <x:family val="2"/>
      <x:scheme val="minor"/>
    </x:font>
    <x:font>
      <x:vertAlign val="baseline"/>
      <x:sz val="11"/>
      <x:color rgb="FF000000"/>
      <x:name val="Calibri"/>
      <x:family val="2"/>
    </x:font>
    <x:font>
      <x:vertAlign val="baseline"/>
      <x:sz val="12"/>
      <x:color theme="1"/>
      <x:name val="Calibri"/>
      <x:family val="2"/>
    </x:font>
    <x:font>
      <x:vertAlign val="baseline"/>
      <x:sz val="10"/>
      <x:color theme="1"/>
      <x:name val="Calibri"/>
      <x:family val="2"/>
    </x:font>
    <x:font>
      <x:i/>
      <x:vertAlign val="baseline"/>
      <x:sz val="8"/>
      <x:color theme="1"/>
      <x:name val="Calibri"/>
      <x:family val="2"/>
    </x:font>
    <x:font>
      <x:b/>
      <x:vertAlign val="baseline"/>
      <x:sz val="9"/>
      <x:color theme="1"/>
      <x:name val="Calibri"/>
      <x:family val="2"/>
    </x:font>
    <x:font>
      <x:vertAlign val="baseline"/>
      <x:sz val="9"/>
      <x:color theme="1"/>
      <x:name val="Calibri"/>
      <x:family val="2"/>
    </x:font>
  </x:fonts>
  <x:fills count="13">
    <x:fill>
      <x:patternFill patternType="none"/>
    </x:fill>
    <x:fill>
      <x:patternFill patternType="gray125"/>
    </x:fill>
    <x:fill>
      <x:patternFill patternType="solid">
        <x:fgColor rgb="FFF2F2F2"/>
      </x:patternFill>
    </x:fill>
    <x:fill>
      <x:patternFill patternType="solid">
        <x:fgColor theme="4" tint="0.59999389629810485"/>
        <x:bgColor indexed="65"/>
      </x:patternFill>
    </x:fill>
    <x:fill>
      <x:patternFill patternType="solid">
        <x:fgColor indexed="9"/>
        <x:bgColor indexed="64"/>
      </x:patternFill>
    </x:fill>
    <x:fill>
      <x:patternFill patternType="solid">
        <x:fgColor theme="0" tint="-0.14999847407452621"/>
        <x:bgColor indexed="64"/>
      </x:patternFill>
    </x:fill>
    <x:fill>
      <x:patternFill patternType="solid">
        <x:fgColor rgb="FF9DBEC3"/>
        <x:bgColor indexed="64"/>
      </x:patternFill>
    </x:fill>
    <x:fill>
      <x:patternFill patternType="solid">
        <x:fgColor theme="4" tint="0.59999389629810485"/>
        <x:bgColor indexed="64"/>
      </x:patternFill>
    </x:fill>
    <x:fill>
      <x:patternFill patternType="solid">
        <x:fgColor theme="4" tint="0.79998168889431442"/>
        <x:bgColor indexed="64"/>
      </x:patternFill>
    </x:fill>
    <x:fill>
      <x:patternFill patternType="solid">
        <x:fgColor rgb="FFEDF3F3"/>
        <x:bgColor indexed="64"/>
      </x:patternFill>
    </x:fill>
    <x:fill>
      <x:patternFill patternType="solid">
        <x:fgColor theme="4" tint="0.59996337778862885"/>
        <x:bgColor indexed="64"/>
      </x:patternFill>
    </x:fill>
    <x:fill>
      <x:patternFill patternType="solid">
        <x:fgColor theme="0"/>
        <x:bgColor indexed="64"/>
      </x:patternFill>
    </x:fill>
    <x:fill>
      <x:patternFill patternType="solid">
        <x:fgColor rgb="FFFFFF00"/>
        <x:bgColor rgb="FFFFFF00"/>
      </x:patternFill>
    </x:fill>
  </x:fills>
  <x:borders count="30">
    <x:border>
      <x:left/>
      <x:right/>
      <x:top/>
      <x:bottom/>
      <x:diagonal/>
    </x:border>
    <x:border>
      <x:left/>
      <x:right/>
      <x:top/>
      <x:bottom style="thick">
        <x:color theme="4"/>
      </x:bottom>
      <x:diagonal/>
    </x:border>
    <x:border>
      <x:left/>
      <x:right/>
      <x:top/>
      <x:bottom style="medium">
        <x:color theme="4" tint="0.39997558519241921"/>
      </x:bottom>
      <x:diagonal/>
    </x:border>
    <x:border>
      <x:left style="thin">
        <x:color rgb="FF7F7F7F"/>
      </x:left>
      <x:right style="thin">
        <x:color rgb="FF7F7F7F"/>
      </x:right>
      <x:top style="thin">
        <x:color rgb="FF7F7F7F"/>
      </x:top>
      <x:bottom style="thin">
        <x:color rgb="FF7F7F7F"/>
      </x:bottom>
      <x:diagonal/>
    </x:border>
    <x:border>
      <x:left/>
      <x:right/>
      <x:top style="medium">
        <x:color theme="4" tint="0.39997558519241921"/>
      </x:top>
      <x:bottom/>
      <x:diagonal/>
    </x:border>
    <x:border>
      <x:left/>
      <x:right/>
      <x:top style="medium">
        <x:color theme="4" tint="0.39997558519241921"/>
      </x:top>
      <x:bottom style="medium">
        <x:color theme="4" tint="0.39997558519241921"/>
      </x:bottom>
      <x:diagonal/>
    </x:border>
    <x:border>
      <x:left style="thin">
        <x:color rgb="FF7F7F7F"/>
      </x:left>
      <x:right style="thin">
        <x:color rgb="FF7F7F7F"/>
      </x:right>
      <x:top style="medium">
        <x:color theme="4" tint="0.39997558519241921"/>
      </x:top>
      <x:bottom style="medium">
        <x:color theme="4" tint="0.39997558519241921"/>
      </x:bottom>
      <x:diagonal/>
    </x:border>
    <x:border>
      <x:left/>
      <x:right/>
      <x:top style="medium">
        <x:color theme="4" tint="0.39994506668294322"/>
      </x:top>
      <x:bottom style="medium">
        <x:color theme="4" tint="0.39997558519241921"/>
      </x:bottom>
      <x:diagonal/>
    </x:border>
    <x:border>
      <x:left style="thin">
        <x:color rgb="FF7F7F7F"/>
      </x:left>
      <x:right/>
      <x:top/>
      <x:bottom style="thin">
        <x:color rgb="FF7F7F7F"/>
      </x:bottom>
      <x:diagonal/>
    </x:border>
    <x:border>
      <x:left/>
      <x:right/>
      <x:top/>
      <x:bottom style="thin">
        <x:color rgb="FF7F7F7F"/>
      </x:bottom>
      <x:diagonal/>
    </x:border>
    <x:border>
      <x:left/>
      <x:right style="thin">
        <x:color rgb="FF7F7F7F"/>
      </x:right>
      <x:top/>
      <x:bottom style="thin">
        <x:color rgb="FF7F7F7F"/>
      </x:bottom>
      <x:diagonal/>
    </x:border>
    <x:border>
      <x:left style="thin">
        <x:color indexed="44"/>
      </x:left>
      <x:right/>
      <x:top/>
      <x:bottom/>
      <x:diagonal/>
    </x:border>
    <x:border>
      <x:left style="thin">
        <x:color rgb="FFD6DCE0"/>
      </x:left>
      <x:right style="thin">
        <x:color rgb="FFD6DCE0"/>
      </x:right>
      <x:top style="thin">
        <x:color rgb="FFD6DCE0"/>
      </x:top>
      <x:bottom style="thin">
        <x:color rgb="FFD6DCE0"/>
      </x:bottom>
      <x:diagonal/>
    </x:border>
    <x:border>
      <x:left style="thin">
        <x:color rgb="FFD6DCE0"/>
      </x:left>
      <x:right style="thin">
        <x:color rgb="FFD6DCE0"/>
      </x:right>
      <x:top style="thin">
        <x:color rgb="FFD6DCE0"/>
      </x:top>
      <x:bottom/>
      <x:diagonal/>
    </x:border>
    <x:border>
      <x:left style="thin">
        <x:color theme="0" tint="-0.14996795556505021"/>
      </x:left>
      <x:right style="thin">
        <x:color theme="0" tint="-0.14996795556505021"/>
      </x:right>
      <x:top style="thin">
        <x:color theme="0" tint="-0.34998626667073579"/>
      </x:top>
      <x:bottom style="thin">
        <x:color theme="0" tint="-0.34998626667073579"/>
      </x:bottom>
      <x:diagonal/>
    </x:border>
    <x:border>
      <x:left style="thin">
        <x:color theme="0" tint="-0.14996795556505021"/>
      </x:left>
      <x:right style="thin">
        <x:color theme="0" tint="-0.34998626667073579"/>
      </x:right>
      <x:top style="thin">
        <x:color theme="0" tint="-0.34998626667073579"/>
      </x:top>
      <x:bottom style="thin">
        <x:color theme="0" tint="-0.34998626667073579"/>
      </x:bottom>
      <x:diagonal/>
    </x:border>
    <x:border>
      <x:left/>
      <x:right/>
      <x:top style="thin">
        <x:color rgb="FFD6DCE0"/>
      </x:top>
      <x:bottom/>
      <x:diagonal/>
    </x:border>
    <x:border>
      <x:left style="thin">
        <x:color rgb="FFD6DCE0"/>
      </x:left>
      <x:right/>
      <x:top style="thin">
        <x:color rgb="FFD6DCE0"/>
      </x:top>
      <x:bottom style="thin">
        <x:color rgb="FFD6DCE0"/>
      </x:bottom>
      <x:diagonal/>
    </x:border>
    <x:border>
      <x:left/>
      <x:right style="thin">
        <x:color rgb="FFD6DCE0"/>
      </x:right>
      <x:top style="thin">
        <x:color rgb="FFD6DCE0"/>
      </x:top>
      <x:bottom style="thin">
        <x:color rgb="FFD6DCE0"/>
      </x:bottom>
      <x:diagonal/>
    </x:border>
    <x:border>
      <x:left style="thin">
        <x:color theme="0" tint="-0.34998626667073579"/>
      </x:left>
      <x:right style="thin">
        <x:color theme="0" tint="-0.34998626667073579"/>
      </x:right>
      <x:top style="thin">
        <x:color theme="0" tint="-0.34998626667073579"/>
      </x:top>
      <x:bottom style="thin">
        <x:color theme="0" tint="-0.34998626667073579"/>
      </x:bottom>
      <x:diagonal/>
    </x:border>
    <x:border>
      <x:left style="thin">
        <x:color rgb="FFD6DCE0"/>
      </x:left>
      <x:right style="thin">
        <x:color rgb="FFD6DCE0"/>
      </x:right>
      <x:top/>
      <x:bottom style="thin">
        <x:color rgb="FFD6DCE0"/>
      </x:bottom>
      <x:diagonal/>
    </x:border>
    <x:border>
      <x:left style="thin">
        <x:color theme="0" tint="-0.34998626667073579"/>
      </x:left>
      <x:right/>
      <x:top style="thin">
        <x:color theme="0" tint="-0.34998626667073579"/>
      </x:top>
      <x:bottom style="thin">
        <x:color theme="0" tint="-0.34998626667073579"/>
      </x:bottom>
      <x:diagonal/>
    </x:border>
    <x:border>
      <x:left/>
      <x:right/>
      <x:top style="thin">
        <x:color theme="0" tint="-0.34998626667073579"/>
      </x:top>
      <x:bottom style="thin">
        <x:color theme="0" tint="-0.34998626667073579"/>
      </x:bottom>
      <x:diagonal/>
    </x:border>
    <x:border>
      <x:left/>
      <x:right style="thin">
        <x:color rgb="FFD6DCE0"/>
      </x:right>
      <x:top/>
      <x:bottom/>
      <x:diagonal/>
    </x:border>
    <x:border>
      <x:left/>
      <x:right style="thin">
        <x:color theme="0" tint="-0.34998626667073579"/>
      </x:right>
      <x:top style="thin">
        <x:color theme="0" tint="-0.34998626667073579"/>
      </x:top>
      <x:bottom/>
      <x:diagonal/>
    </x:border>
    <x:border>
      <x:left style="thin">
        <x:color theme="0" tint="-0.34998626667073579"/>
      </x:left>
      <x:right style="thin">
        <x:color rgb="FFD6DCE0"/>
      </x:right>
      <x:top/>
      <x:bottom style="thin">
        <x:color rgb="FFD6DCE0"/>
      </x:bottom>
      <x:diagonal/>
    </x:border>
    <x:border>
      <x:left/>
      <x:right style="thin">
        <x:color theme="0" tint="-0.14996795556505021"/>
      </x:right>
      <x:top style="thin">
        <x:color theme="0" tint="-0.34998626667073579"/>
      </x:top>
      <x:bottom style="thin">
        <x:color theme="0" tint="-0.34998626667073579"/>
      </x:bottom>
      <x:diagonal/>
    </x:border>
    <x:border>
      <x:left style="thin">
        <x:color indexed="64"/>
      </x:left>
      <x:right/>
      <x:top/>
      <x:bottom/>
      <x:diagonal/>
    </x:border>
    <x:border>
      <x:left/>
      <x:right style="thin">
        <x:color indexed="64"/>
      </x:right>
      <x:top/>
      <x:bottom/>
      <x:diagonal/>
    </x:border>
    <x:border>
      <x:left/>
      <x:right/>
      <x:top/>
      <x:bottom style="medium">
        <x:color theme="4" tint="0.39994506668294322"/>
      </x:bottom>
      <x:diagonal/>
    </x:border>
  </x:borders>
  <x:cellStyleXfs count="149">
    <x:xf numFmtId="0" fontId="0" fillId="0" borderId="0"/>
    <x:xf numFmtId="0" fontId="2" fillId="0" borderId="1" applyNumberFormat="0" applyFill="0" applyAlignment="0" applyProtection="0"/>
    <x:xf numFmtId="0" fontId="3" fillId="0" borderId="2" applyNumberFormat="0" applyFill="0" applyAlignment="0" applyProtection="0"/>
    <x:xf numFmtId="0" fontId="3" fillId="0" borderId="0" applyNumberFormat="0" applyFill="0" applyBorder="0" applyAlignment="0" applyProtection="0"/>
    <x:xf numFmtId="0" fontId="4" fillId="2" borderId="3" applyNumberFormat="0" applyAlignment="0" applyProtection="0"/>
    <x:xf numFmtId="0" fontId="1" fillId="3" borderId="0" applyNumberFormat="0" applyBorder="0" applyAlignment="0" applyProtection="0"/>
    <x:xf numFmtId="0" fontId="30" fillId="0" borderId="0" applyNumberFormat="0" applyFill="0" applyBorder="0" applyAlignment="0" applyProtection="0"/>
    <x:xf numFmtId="0" fontId="0" fillId="0" borderId="0" applyNumberFormat="1" applyFill="1" applyBorder="0" applyAlignment="1" applyProtection="1">
      <x:protection locked="1" hidden="0"/>
    </x:xf>
    <x:xf numFmtId="166" fontId="0" fillId="0" borderId="0" applyNumberFormat="1" applyFill="1" applyBorder="0" applyAlignment="1" applyProtection="1">
      <x:protection locked="1" hidden="0"/>
    </x:xf>
    <x:xf numFmtId="0" fontId="2" fillId="0" borderId="1" applyNumberFormat="1" applyFill="1" applyBorder="1" applyAlignment="1" applyProtection="1">
      <x:protection locked="1" hidden="0"/>
    </x:xf>
    <x:xf numFmtId="0" fontId="32" fillId="0" borderId="0" applyNumberFormat="1" applyFill="1" applyBorder="0" applyAlignment="1" applyProtection="1">
      <x:protection locked="1" hidden="0"/>
    </x:xf>
    <x:xf numFmtId="0" fontId="33" fillId="0" borderId="0" applyNumberFormat="1" applyFill="1" applyBorder="0" applyAlignment="1" applyProtection="1">
      <x:protection locked="1" hidden="0"/>
    </x:xf>
    <x:xf numFmtId="0" fontId="7" fillId="0" borderId="0" applyNumberFormat="1" applyFill="1" applyBorder="0" applyAlignment="1" applyProtection="1">
      <x:protection locked="1" hidden="0"/>
    </x:xf>
    <x:xf numFmtId="0" fontId="9" fillId="0" borderId="0" applyNumberFormat="1" applyFill="1" applyBorder="0" applyAlignment="1" applyProtection="1">
      <x:protection locked="1" hidden="0"/>
    </x:xf>
    <x:xf numFmtId="0" fontId="8" fillId="0" borderId="0" applyNumberFormat="1" applyFill="1" applyBorder="0" applyAlignment="1" applyProtection="1">
      <x:protection locked="1" hidden="0"/>
    </x:xf>
    <x:xf numFmtId="166" fontId="8" fillId="0" borderId="0" applyNumberFormat="1" applyFill="1" applyBorder="0" applyAlignment="1" applyProtection="1">
      <x:protection locked="1" hidden="0"/>
    </x:xf>
    <x:xf numFmtId="49" fontId="3" fillId="0" borderId="2" applyNumberFormat="1" applyFill="1" applyBorder="1" applyAlignment="1" applyProtection="1">
      <x:protection locked="1" hidden="0"/>
    </x:xf>
    <x:xf numFmtId="0" fontId="10" fillId="0" borderId="2" applyNumberFormat="1" applyFill="1" applyBorder="1" applyAlignment="1" applyProtection="1">
      <x:protection locked="1" hidden="0"/>
    </x:xf>
    <x:xf numFmtId="0" fontId="22" fillId="0" borderId="2" applyNumberFormat="1" applyFill="1" applyBorder="1" applyAlignment="1" applyProtection="1">
      <x:protection locked="1" hidden="0"/>
    </x:xf>
    <x:xf numFmtId="49" fontId="10" fillId="0" borderId="2" applyNumberFormat="1" applyFill="1" applyBorder="1" applyAlignment="1" applyProtection="1">
      <x:protection locked="1" hidden="0"/>
    </x:xf>
    <x:xf numFmtId="166" fontId="10" fillId="0" borderId="0" applyNumberFormat="1" applyFill="1" applyBorder="0" applyAlignment="1" applyProtection="1">
      <x:protection locked="1" hidden="0"/>
    </x:xf>
    <x:xf numFmtId="0" fontId="3" fillId="0" borderId="4" applyNumberFormat="1" applyFill="1" applyBorder="1" applyAlignment="1" applyProtection="1">
      <x:protection locked="1" hidden="0"/>
    </x:xf>
    <x:xf numFmtId="0" fontId="3" fillId="0" borderId="4" applyNumberFormat="1" applyFill="1" applyBorder="1" applyAlignment="1" applyProtection="1">
      <x:protection locked="1" hidden="0"/>
    </x:xf>
    <x:xf numFmtId="0" fontId="22" fillId="0" borderId="5" applyNumberFormat="1" applyFill="1" applyBorder="1" applyAlignment="1" applyProtection="1">
      <x:protection locked="1" hidden="0"/>
    </x:xf>
    <x:xf numFmtId="0" fontId="3" fillId="0" borderId="2" applyNumberFormat="1" applyFill="1" applyBorder="1" applyAlignment="1" applyProtection="1">
      <x:protection locked="1" hidden="0"/>
    </x:xf>
    <x:xf numFmtId="0" fontId="3" fillId="0" borderId="0" applyNumberFormat="1" applyFill="1" applyBorder="0" applyAlignment="1" applyProtection="1">
      <x:protection locked="1" hidden="0"/>
    </x:xf>
    <x:xf numFmtId="0" fontId="24" fillId="0" borderId="0" applyNumberFormat="1" applyFill="1" applyBorder="0" applyAlignment="1" applyProtection="1">
      <x:protection locked="1" hidden="0"/>
    </x:xf>
    <x:xf numFmtId="169" fontId="10" fillId="0" borderId="2" applyNumberFormat="1" applyFill="1" applyBorder="1" applyAlignment="1" applyProtection="1">
      <x:protection locked="1" hidden="0"/>
    </x:xf>
    <x:xf numFmtId="0" fontId="28" fillId="0" borderId="0" applyNumberFormat="1" applyFill="1" applyBorder="0" applyAlignment="1" applyProtection="1">
      <x:protection locked="1" hidden="0"/>
    </x:xf>
    <x:xf numFmtId="49" fontId="10" fillId="0" borderId="5" applyNumberFormat="1" applyFill="1" applyBorder="1" applyAlignment="1" applyProtection="1">
      <x:protection locked="1" hidden="0"/>
    </x:xf>
    <x:xf numFmtId="0" fontId="12" fillId="0" borderId="0" applyNumberFormat="1" applyFill="1" applyBorder="0" applyAlignment="1" applyProtection="1">
      <x:protection locked="1" hidden="0"/>
    </x:xf>
    <x:xf numFmtId="170" fontId="10" fillId="0" borderId="2" applyNumberFormat="1" applyFill="1" applyBorder="1" applyAlignment="1" applyProtection="1">
      <x:protection locked="1" hidden="0"/>
    </x:xf>
    <x:xf numFmtId="0" fontId="10" fillId="0" borderId="2" applyNumberFormat="1" applyFill="1" applyBorder="1" applyAlignment="1" applyProtection="1">
      <x:protection locked="1" hidden="0"/>
    </x:xf>
    <x:xf numFmtId="166" fontId="10" fillId="0" borderId="0" applyNumberFormat="1" applyFill="1" applyBorder="0" applyAlignment="1" applyProtection="1">
      <x:protection locked="1" hidden="0"/>
    </x:xf>
    <x:xf numFmtId="0" fontId="29" fillId="0" borderId="0" applyNumberFormat="1" applyFill="1" applyBorder="0" applyAlignment="1" applyProtection="1">
      <x:protection locked="1" hidden="0"/>
    </x:xf>
    <x:xf numFmtId="0" fontId="29" fillId="0" borderId="0" applyNumberFormat="1" applyFill="1" applyBorder="0" applyAlignment="1" applyProtection="1">
      <x:protection locked="1" hidden="0"/>
    </x:xf>
    <x:xf numFmtId="0" fontId="28" fillId="0" borderId="0" applyNumberFormat="1" applyFill="1" applyBorder="0" applyAlignment="1" applyProtection="1">
      <x:protection locked="1" hidden="0"/>
    </x:xf>
    <x:xf numFmtId="0" fontId="30" fillId="0" borderId="0" applyNumberFormat="1" applyFill="1" applyBorder="0" applyAlignment="1" applyProtection="1">
      <x:protection locked="1" hidden="0"/>
    </x:xf>
    <x:xf numFmtId="0" fontId="28" fillId="0" borderId="29" applyNumberFormat="1" applyFill="1" applyBorder="1" applyAlignment="1" applyProtection="1">
      <x:protection locked="1" hidden="0"/>
    </x:xf>
    <x:xf numFmtId="0" fontId="28" fillId="0" borderId="29" applyNumberFormat="1" applyFill="1" applyBorder="1" applyAlignment="1" applyProtection="1">
      <x:protection locked="1" hidden="0"/>
    </x:xf>
    <x:xf numFmtId="0" fontId="25" fillId="5" borderId="3" applyNumberFormat="1" applyFill="0" applyBorder="1" applyAlignment="1" applyProtection="1">
      <x:protection locked="0" hidden="0"/>
    </x:xf>
    <x:xf numFmtId="0" fontId="10" fillId="0" borderId="2" applyNumberFormat="1" applyFill="1" applyBorder="1" applyAlignment="1" applyProtection="1">
      <x:protection locked="1" hidden="0"/>
    </x:xf>
    <x:xf numFmtId="4" fontId="25" fillId="5" borderId="6" applyNumberFormat="1" applyFill="0" applyBorder="1" applyAlignment="1" applyProtection="1">
      <x:protection locked="0" hidden="0"/>
    </x:xf>
    <x:xf numFmtId="0" fontId="3" fillId="0" borderId="7" applyNumberFormat="1" applyFill="1" applyBorder="1" applyAlignment="1" applyProtection="1">
      <x:protection locked="1" hidden="0"/>
    </x:xf>
    <x:xf numFmtId="0" fontId="3" fillId="0" borderId="2" applyNumberFormat="1" applyFill="1" applyBorder="1" applyAlignment="1" applyProtection="1">
      <x:protection locked="1" hidden="0"/>
    </x:xf>
    <x:xf numFmtId="4" fontId="25" fillId="5" borderId="8" applyNumberFormat="1" applyFill="0" applyBorder="1" applyAlignment="1" applyProtection="1">
      <x:protection locked="0" hidden="0"/>
    </x:xf>
    <x:xf numFmtId="4" fontId="25" fillId="5" borderId="9" applyNumberFormat="1" applyFill="0" applyBorder="1" applyAlignment="1" applyProtection="1">
      <x:protection locked="0" hidden="0"/>
    </x:xf>
    <x:xf numFmtId="4" fontId="25" fillId="5" borderId="10" applyNumberFormat="1" applyFill="0" applyBorder="1" applyAlignment="1" applyProtection="1">
      <x:protection locked="0" hidden="0"/>
    </x:xf>
    <x:xf numFmtId="0" fontId="23" fillId="0" borderId="2" applyNumberFormat="1" applyFill="1" applyBorder="1" applyAlignment="1" applyProtection="1">
      <x:protection locked="1" hidden="0"/>
    </x:xf>
    <x:xf numFmtId="49" fontId="10" fillId="0" borderId="2" applyNumberFormat="1" applyFill="1" applyBorder="1" applyAlignment="1" applyProtection="1">
      <x:protection locked="0" hidden="0"/>
    </x:xf>
    <x:xf numFmtId="0" fontId="26" fillId="5" borderId="3" applyNumberFormat="1" applyFill="0" applyBorder="1" applyAlignment="1" applyProtection="1">
      <x:protection locked="0" hidden="0"/>
    </x:xf>
    <x:xf numFmtId="166" fontId="10" fillId="0" borderId="2" applyNumberFormat="1" applyFill="1" applyBorder="1" applyAlignment="1" applyProtection="1">
      <x:protection locked="1" hidden="0"/>
    </x:xf>
    <x:xf numFmtId="167" fontId="26" fillId="5" borderId="3" applyNumberFormat="1" applyFill="0" applyBorder="1" applyAlignment="1" applyProtection="1">
      <x:protection locked="0" hidden="0"/>
    </x:xf>
    <x:xf numFmtId="164" fontId="10" fillId="0" borderId="5" applyNumberFormat="1" applyFill="1" applyBorder="1" applyAlignment="1" applyProtection="1">
      <x:protection locked="1" hidden="0"/>
    </x:xf>
    <x:xf numFmtId="0" fontId="12" fillId="0" borderId="0" applyNumberFormat="1" applyFill="1" applyBorder="0" applyAlignment="1" applyProtection="1">
      <x:protection locked="1" hidden="0"/>
    </x:xf>
    <x:xf numFmtId="166" fontId="24" fillId="0" borderId="0" applyNumberFormat="1" applyFill="1" applyBorder="0" applyAlignment="1" applyProtection="1">
      <x:protection locked="1" hidden="0"/>
    </x:xf>
    <x:xf numFmtId="0" fontId="13" fillId="0" borderId="0" applyNumberFormat="1" applyFill="1" applyBorder="0" applyAlignment="1" applyProtection="1">
      <x:protection locked="1" hidden="0"/>
    </x:xf>
    <x:xf numFmtId="164" fontId="13" fillId="0" borderId="0" applyNumberFormat="1" applyFill="1" applyBorder="0" applyAlignment="1" applyProtection="1">
      <x:protection locked="1" hidden="0"/>
    </x:xf>
    <x:xf numFmtId="164" fontId="13" fillId="0" borderId="0" applyNumberFormat="1" applyFill="1" applyBorder="0" applyAlignment="1" applyProtection="1">
      <x:protection locked="1" hidden="0"/>
    </x:xf>
    <x:xf numFmtId="165" fontId="14" fillId="6" borderId="11" applyNumberFormat="1" applyFill="0" applyBorder="1" applyAlignment="1" applyProtection="1">
      <x:protection locked="1" hidden="0"/>
    </x:xf>
    <x:xf numFmtId="165" fontId="14" fillId="6" borderId="0" applyNumberFormat="1" applyFill="0" applyBorder="0" applyAlignment="1" applyProtection="1">
      <x:protection locked="1" hidden="0"/>
    </x:xf>
    <x:xf numFmtId="0" fontId="14" fillId="6" borderId="0" applyNumberFormat="1" applyFill="0" applyBorder="0" applyAlignment="1" applyProtection="1">
      <x:protection locked="1" hidden="0"/>
    </x:xf>
    <x:xf numFmtId="0" fontId="14" fillId="6" borderId="0" applyNumberFormat="1" applyFill="0" applyBorder="0" applyAlignment="1" applyProtection="1">
      <x:protection locked="1" hidden="0"/>
    </x:xf>
    <x:xf numFmtId="166" fontId="14" fillId="11" borderId="0" applyNumberFormat="1" applyFill="0" applyBorder="0" applyAlignment="1" applyProtection="1">
      <x:protection locked="1" hidden="0"/>
    </x:xf>
    <x:xf numFmtId="1"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49" fontId="15" fillId="12" borderId="12" applyNumberFormat="1" applyFill="0" applyBorder="1" applyAlignment="1" applyProtection="1">
      <x:protection locked="1" hidden="0"/>
    </x:xf>
    <x:xf numFmtId="2" fontId="15" fillId="12" borderId="12" applyNumberFormat="1" applyFill="0" applyBorder="1" applyAlignment="1" applyProtection="1">
      <x:protection locked="1" hidden="0"/>
    </x:xf>
    <x:xf numFmtId="49" fontId="15" fillId="12" borderId="17" applyNumberFormat="1" applyFill="0" applyBorder="1" applyAlignment="1" applyProtection="1">
      <x:protection locked="1" hidden="0"/>
    </x:xf>
    <x:xf numFmtId="4" fontId="15" fillId="12" borderId="17" applyNumberFormat="1" applyFill="0" applyBorder="1" applyAlignment="1" applyProtection="1">
      <x:protection locked="1" hidden="0"/>
    </x:xf>
    <x:xf numFmtId="49" fontId="15" fillId="12" borderId="18" applyNumberFormat="1" applyFill="0" applyBorder="1" applyAlignment="1" applyProtection="1">
      <x:protection locked="1" hidden="0"/>
    </x:xf>
    <x:xf numFmtId="167" fontId="15" fillId="12" borderId="12" applyNumberFormat="1" applyFill="0" applyBorder="1" applyAlignment="1" applyProtection="1">
      <x:protection locked="1" hidden="0"/>
    </x:xf>
    <x:xf numFmtId="49" fontId="16" fillId="12" borderId="12" applyNumberFormat="1" applyFill="0" applyBorder="1" applyAlignment="1" applyProtection="1">
      <x:protection locked="1" hidden="0"/>
    </x:xf>
    <x:xf numFmtId="11" fontId="16" fillId="8" borderId="17" applyNumberFormat="1" applyFill="0" applyBorder="1" applyAlignment="1" applyProtection="1">
      <x:protection locked="0" hidden="0"/>
    </x:xf>
    <x:xf numFmtId="166" fontId="16" fillId="11" borderId="0" applyNumberFormat="1" applyFill="0" applyBorder="0" applyAlignment="1" applyProtection="1">
      <x:protection locked="1" hidden="0"/>
    </x:xf>
    <x:xf numFmtId="1"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49" fontId="15" fillId="0" borderId="12" applyNumberFormat="1" applyFill="1" applyBorder="1" applyAlignment="1" applyProtection="1">
      <x:protection locked="1" hidden="0"/>
    </x:xf>
    <x:xf numFmtId="2" fontId="15" fillId="0" borderId="12" applyNumberFormat="1" applyFill="1" applyBorder="1" applyAlignment="1" applyProtection="1">
      <x:protection locked="1" hidden="0"/>
    </x:xf>
    <x:xf numFmtId="172" fontId="15" fillId="3" borderId="17" applyNumberFormat="1" applyFill="0" applyBorder="1" applyAlignment="1" applyProtection="1">
      <x:protection locked="0" hidden="0"/>
    </x:xf>
    <x:xf numFmtId="4" fontId="15" fillId="3" borderId="17" applyNumberFormat="1" applyFill="0" applyBorder="1" applyAlignment="1" applyProtection="1">
      <x:protection locked="0" hidden="0"/>
    </x:xf>
    <x:xf numFmtId="172" fontId="15" fillId="3" borderId="18" applyNumberFormat="1" applyFill="0" applyBorder="1" applyAlignment="1" applyProtection="1">
      <x:protection locked="0" hidden="0"/>
    </x:xf>
    <x:xf numFmtId="172" fontId="15" fillId="3" borderId="12" applyNumberFormat="1" applyFill="0" applyBorder="1" applyAlignment="1" applyProtection="1">
      <x:protection locked="0" hidden="0"/>
    </x:xf>
    <x:xf numFmtId="167" fontId="15" fillId="9" borderId="12" applyNumberFormat="1" applyFill="0" applyBorder="1" applyAlignment="1" applyProtection="1">
      <x:protection locked="1" hidden="0"/>
    </x:xf>
    <x:xf numFmtId="49" fontId="16" fillId="3" borderId="12" applyNumberFormat="1" applyFill="0" applyBorder="1" applyAlignment="1" applyProtection="1">
      <x:protection locked="0" hidden="0"/>
    </x:xf>
    <x:xf numFmtId="49" fontId="16" fillId="0" borderId="12" applyNumberFormat="1" applyFill="1" applyBorder="1" applyAlignment="1" applyProtection="1">
      <x:protection locked="1" hidden="0"/>
    </x:xf>
    <x:xf numFmtId="49" fontId="15" fillId="0" borderId="12" applyNumberFormat="1" applyFill="1" applyBorder="1" applyAlignment="1" applyProtection="1">
      <x:protection locked="0" hidden="0"/>
    </x:xf>
    <x:xf numFmtId="49" fontId="15" fillId="3" borderId="17" applyNumberFormat="1" applyFill="0" applyBorder="1" applyAlignment="1" applyProtection="1">
      <x:protection locked="1" hidden="0"/>
    </x:xf>
    <x:xf numFmtId="4" fontId="15" fillId="3" borderId="17" applyNumberFormat="1" applyFill="0" applyBorder="1" applyAlignment="1" applyProtection="1">
      <x:protection locked="1" hidden="0"/>
    </x:xf>
    <x:xf numFmtId="49" fontId="15" fillId="3" borderId="18" applyNumberFormat="1" applyFill="0" applyBorder="1" applyAlignment="1" applyProtection="1">
      <x:protection locked="1" hidden="0"/>
    </x:xf>
    <x:xf numFmtId="49" fontId="15" fillId="3" borderId="12" applyNumberFormat="1" applyFill="0" applyBorder="1" applyAlignment="1" applyProtection="1">
      <x:protection locked="1" hidden="0"/>
    </x:xf>
    <x:xf numFmtId="49" fontId="16" fillId="3" borderId="12" applyNumberFormat="1" applyFill="0" applyBorder="1"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20" fillId="9" borderId="0" applyNumberFormat="1" applyFill="0" applyBorder="0" applyAlignment="1" applyProtection="1">
      <x:protection locked="1" hidden="0"/>
    </x:xf>
    <x:xf numFmtId="166" fontId="20"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1" fontId="12" fillId="0" borderId="13" applyNumberFormat="1" applyFill="1" applyBorder="1" applyAlignment="1" applyProtection="1">
      <x:protection locked="1" hidden="0"/>
    </x:xf>
    <x:xf numFmtId="1" fontId="12" fillId="0" borderId="0" applyNumberFormat="1" applyFill="1" applyBorder="0" applyAlignment="1" applyProtection="1">
      <x:protection locked="1" hidden="0"/>
    </x:xf>
    <x:xf numFmtId="0" fontId="24" fillId="0" borderId="0" applyNumberFormat="1" applyFill="1" applyBorder="0" applyAlignment="1" applyProtection="1">
      <x:protection locked="1" hidden="0"/>
    </x:xf>
    <x:xf numFmtId="0" fontId="12" fillId="0" borderId="0" applyNumberFormat="1" applyFill="1" applyBorder="0" applyAlignment="1" applyProtection="1">
      <x:protection locked="1" hidden="0"/>
    </x:xf>
    <x:xf numFmtId="0" fontId="12" fillId="0" borderId="16" applyNumberFormat="1" applyFill="1" applyBorder="1" applyAlignment="1" applyProtection="1">
      <x:protection locked="1" hidden="0"/>
    </x:xf>
    <x:xf numFmtId="166" fontId="33" fillId="11" borderId="0" applyNumberFormat="1" applyFill="0" applyBorder="0" applyAlignment="1" applyProtection="1">
      <x:protection locked="1" hidden="0"/>
    </x:xf>
    <x:xf numFmtId="49" fontId="15" fillId="9" borderId="12" applyNumberFormat="1" applyFill="0" applyBorder="1" applyAlignment="1" applyProtection="1">
      <x:protection locked="1" hidden="0"/>
    </x:xf>
    <x:xf numFmtId="0" fontId="26" fillId="10" borderId="21" applyNumberFormat="1" applyFill="0" applyBorder="1" applyAlignment="1" applyProtection="1">
      <x:protection locked="0" hidden="0"/>
    </x:xf>
    <x:xf numFmtId="0" fontId="26" fillId="10" borderId="22" applyNumberFormat="1" applyFill="0" applyBorder="1" applyAlignment="1" applyProtection="1">
      <x:protection locked="0" hidden="0"/>
    </x:xf>
    <x:xf numFmtId="0" fontId="26" fillId="10" borderId="26" applyNumberFormat="1" applyFill="0" applyBorder="1" applyAlignment="1" applyProtection="1">
      <x:protection locked="0" hidden="0"/>
    </x:xf>
    <x:xf numFmtId="0" fontId="26" fillId="10" borderId="14" applyNumberFormat="1" applyFill="0" applyBorder="1" applyAlignment="1" applyProtection="1">
      <x:protection locked="0" hidden="0"/>
    </x:xf>
    <x:xf numFmtId="172" fontId="26" fillId="10" borderId="14" applyNumberFormat="1" applyFill="0" applyBorder="1" applyAlignment="1" applyProtection="1">
      <x:protection locked="0" hidden="0"/>
    </x:xf>
    <x:xf numFmtId="172" fontId="26" fillId="10" borderId="15" applyNumberFormat="1" applyFill="0" applyBorder="1" applyAlignment="1" applyProtection="1">
      <x:protection locked="0" hidden="0"/>
    </x:xf>
    <x:xf numFmtId="167" fontId="26" fillId="10" borderId="19" applyNumberFormat="1" applyFill="0" applyBorder="1" applyAlignment="1" applyProtection="1">
      <x:protection locked="1" hidden="0"/>
    </x:xf>
    <x:xf numFmtId="49" fontId="16" fillId="3" borderId="21" applyNumberFormat="1" applyFill="0" applyBorder="1" applyAlignment="1" applyProtection="1">
      <x:protection locked="0" hidden="0"/>
    </x:xf>
    <x:xf numFmtId="49" fontId="16" fillId="3" borderId="22" applyNumberFormat="1" applyFill="0" applyBorder="1" applyAlignment="1" applyProtection="1">
      <x:protection locked="0" hidden="0"/>
    </x:xf>
    <x:xf numFmtId="166" fontId="16" fillId="11" borderId="0" applyNumberFormat="1" applyFill="0" applyBorder="0" applyAlignment="1" applyProtection="1">
      <x:protection locked="0" hidden="0"/>
    </x:xf>
    <x:xf numFmtId="0" fontId="34" fillId="0" borderId="0" applyNumberFormat="1" applyFill="1" applyBorder="0" applyAlignment="1" applyProtection="1">
      <x:protection locked="1" hidden="0"/>
    </x:xf>
    <x:xf numFmtId="44" fontId="35" fillId="0" borderId="0" applyNumberFormat="1" applyFill="1" applyBorder="0" applyAlignment="1" applyProtection="1">
      <x:protection locked="1" hidden="0"/>
    </x:xf>
    <x:xf numFmtId="0" fontId="24" fillId="0" borderId="24" applyNumberFormat="1" applyFill="1" applyBorder="1" applyAlignment="1" applyProtection="1">
      <x:protection locked="1" hidden="0"/>
    </x:xf>
    <x:xf numFmtId="0" fontId="20" fillId="0" borderId="25" applyNumberFormat="1" applyFill="1" applyBorder="1" applyAlignment="1" applyProtection="1">
      <x:protection locked="1" hidden="0"/>
    </x:xf>
    <x:xf numFmtId="0" fontId="20" fillId="0" borderId="20" applyNumberFormat="1" applyFill="1" applyBorder="1" applyAlignment="1" applyProtection="1">
      <x:protection locked="1" hidden="0"/>
    </x:xf>
    <x:xf numFmtId="0" fontId="15" fillId="0" borderId="12" applyNumberFormat="1" applyFill="1" applyBorder="1" applyAlignment="1" applyProtection="1">
      <x:protection locked="1" hidden="0"/>
    </x:xf>
    <x:xf numFmtId="168" fontId="15" fillId="9" borderId="20" applyNumberFormat="1" applyFill="0" applyBorder="1" applyAlignment="1" applyProtection="1">
      <x:protection locked="1" hidden="0"/>
    </x:xf>
    <x:xf numFmtId="0" fontId="24" fillId="0" borderId="23" applyNumberFormat="1" applyFill="1" applyBorder="1" applyAlignment="1" applyProtection="1">
      <x:protection locked="1" hidden="0"/>
    </x:xf>
    <x:xf numFmtId="0" fontId="20" fillId="0" borderId="12" applyNumberFormat="1" applyFill="1" applyBorder="1" applyAlignment="1" applyProtection="1">
      <x:protection locked="1" hidden="0"/>
    </x:xf>
    <x:xf numFmtId="168" fontId="15" fillId="9" borderId="12" applyNumberFormat="1" applyFill="0" applyBorder="1" applyAlignment="1" applyProtection="1">
      <x:protection locked="1" hidden="0"/>
    </x:xf>
    <x:xf numFmtId="1" fontId="24" fillId="0" borderId="0" applyNumberFormat="1" applyFill="1" applyBorder="0" applyAlignment="1" applyProtection="1">
      <x:protection locked="1" hidden="0"/>
    </x:xf>
    <x:xf numFmtId="1" fontId="36" fillId="0" borderId="0" applyNumberFormat="1" applyFill="1" applyBorder="0" applyAlignment="1" applyProtection="1">
      <x:protection locked="1" hidden="0"/>
    </x:xf>
    <x:xf numFmtId="3" fontId="36" fillId="0" borderId="0" applyNumberFormat="1" applyFill="1" applyBorder="0" applyAlignment="1" applyProtection="1">
      <x:protection locked="1" hidden="0"/>
    </x:xf>
    <x:xf numFmtId="44" fontId="36" fillId="0" borderId="0" applyNumberFormat="1" applyFill="1" applyBorder="0" applyAlignment="1" applyProtection="1">
      <x:protection locked="1" hidden="0"/>
    </x:xf>
    <x:xf numFmtId="49" fontId="35" fillId="0" borderId="0" applyNumberFormat="1" applyFill="1" applyBorder="0" applyAlignment="1" applyProtection="1">
      <x:protection locked="1" hidden="0"/>
    </x:xf>
    <x:xf numFmtId="44" fontId="35" fillId="4" borderId="0" applyNumberFormat="1" applyFill="0" applyBorder="0" applyAlignment="1" applyProtection="1">
      <x:protection locked="1" hidden="0"/>
    </x:xf>
    <x:xf numFmtId="44" fontId="36" fillId="4" borderId="0" applyNumberFormat="1" applyFill="0" applyBorder="0" applyAlignment="1" applyProtection="1">
      <x:protection locked="1" hidden="0"/>
    </x:xf>
    <x:xf numFmtId="165" fontId="14" fillId="6" borderId="19" applyNumberFormat="1" applyFill="0" applyBorder="1" applyAlignment="1" applyProtection="1">
      <x:protection locked="1" hidden="0"/>
    </x:xf>
    <x:xf numFmtId="0" fontId="24" fillId="9" borderId="19" applyNumberFormat="1" applyFill="0" applyBorder="1" applyAlignment="1" applyProtection="1">
      <x:protection locked="1" hidden="0"/>
    </x:xf>
    <x:xf numFmtId="0" fontId="17" fillId="10" borderId="21" applyNumberFormat="1" applyFill="0" applyBorder="1" applyAlignment="1" applyProtection="1">
      <x:protection locked="0" hidden="0"/>
    </x:xf>
    <x:xf numFmtId="0" fontId="26" fillId="10" borderId="22" applyNumberFormat="1" applyFill="0" applyBorder="1" applyAlignment="1" applyProtection="1">
      <x:protection locked="0" hidden="0"/>
    </x:xf>
    <x:xf numFmtId="0" fontId="17" fillId="10" borderId="26" applyNumberFormat="1" applyFill="0" applyBorder="1" applyAlignment="1" applyProtection="1">
      <x:protection locked="0" hidden="0"/>
    </x:xf>
    <x:xf numFmtId="166" fontId="17" fillId="11" borderId="0" applyNumberFormat="1" applyFill="0" applyBorder="0" applyAlignment="1" applyProtection="1">
      <x:protection locked="0" hidden="0"/>
    </x:xf>
    <x:xf numFmtId="1" fontId="20" fillId="9" borderId="0" applyNumberFormat="1" applyFill="0" applyBorder="0" applyAlignment="1" applyProtection="1">
      <x:protection locked="1" hidden="0"/>
    </x:xf>
    <x:xf numFmtId="166" fontId="20" fillId="11" borderId="0" applyNumberFormat="1" applyFill="0" applyBorder="0" applyAlignment="1" applyProtection="1">
      <x:protection locked="1" hidden="0"/>
    </x:xf>
    <x:xf numFmtId="1" fontId="15" fillId="9" borderId="0" applyNumberFormat="1" applyFill="0" applyBorder="0" applyAlignment="1" applyProtection="1">
      <x:protection locked="1" hidden="0"/>
    </x:xf>
    <x:xf numFmtId="166" fontId="15" fillId="11" borderId="0" applyNumberFormat="1" applyFill="0" applyBorder="0" applyAlignment="1" applyProtection="1">
      <x:protection locked="1" hidden="0"/>
    </x:xf>
    <x:xf numFmtId="49" fontId="15" fillId="3" borderId="18" applyNumberFormat="1" applyFill="0" applyBorder="1" applyAlignment="1" applyProtection="1">
      <x:protection locked="0" hidden="0"/>
    </x:xf>
    <x:xf numFmtId="49" fontId="15" fillId="3" borderId="12" applyNumberFormat="1" applyFill="0" applyBorder="1" applyAlignment="1" applyProtection="1">
      <x:protection locked="0" hidden="0"/>
    </x:xf>
    <x:xf numFmtId="0" fontId="0" fillId="0" borderId="27" applyNumberFormat="1" applyFill="1" applyBorder="1" applyAlignment="1" applyProtection="1">
      <x:protection locked="1" hidden="0"/>
    </x:xf>
    <x:xf numFmtId="49" fontId="0" fillId="0" borderId="0" applyNumberFormat="1" applyFill="1" applyBorder="0" applyAlignment="1" applyProtection="1">
      <x:protection locked="1" hidden="0"/>
    </x:xf>
    <x:xf numFmtId="0" fontId="0" fillId="0" borderId="28" applyNumberFormat="1" applyFill="1" applyBorder="1" applyAlignment="1" applyProtection="1">
      <x:protection locked="1" hidden="0"/>
    </x:xf>
  </x:cellStyleXfs>
  <x:cellXfs count="272">
    <x:xf numFmtId="0" fontId="0" fillId="0" borderId="0" xfId="0"/>
    <x:xf numFmtId="0" fontId="6" fillId="0" borderId="0" xfId="0" applyFont="1" applyProtection="1"/>
    <x:xf numFmtId="165" fontId="14" fillId="6" borderId="11" xfId="0" applyNumberFormat="1" applyFont="1" applyFill="1" applyBorder="1" applyAlignment="1" applyProtection="1">
      <x:alignment horizontal="left" wrapText="1"/>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0" fontId="14" fillId="6" borderId="0" xfId="0" applyFont="1" applyFill="1" applyBorder="1" applyAlignment="1" applyProtection="1">
      <x:alignment wrapText="1"/>
    </x:xf>
    <x:xf numFmtId="1" fontId="12" fillId="0" borderId="13" xfId="0" applyNumberFormat="1" applyFont="1" applyFill="1" applyBorder="1" applyAlignment="1">
      <x:alignment horizontal="right" vertical="center"/>
    </x:xf>
    <x:xf numFmtId="49" fontId="15" fillId="9" borderId="12" xfId="0" applyNumberFormat="1" applyFont="1" applyFill="1" applyBorder="1" applyAlignment="1" applyProtection="1">
      <x:alignment horizontal="right" vertical="center"/>
    </x:xf>
    <x:xf numFmtId="44" fontId="19" fillId="4" borderId="0" xfId="0" applyNumberFormat="1" applyFont="1" applyFill="1" applyBorder="1" applyAlignment="1" applyProtection="1"/>
    <x:xf numFmtId="1" fontId="15" fillId="9" borderId="0" xfId="0" applyNumberFormat="1" applyFont="1" applyFill="1" applyBorder="1" applyAlignment="1" applyProtection="1">
      <x:alignment vertical="center" wrapText="1"/>
    </x:xf>
    <x:xf numFmtId="0" fontId="5" fillId="0" borderId="0" xfId="0" applyFont="1" applyFill="1" applyBorder="1" applyAlignment="1" applyProtection="1">
      <x:alignment horizontal="left" indent="1"/>
    </x:xf>
    <x:xf numFmtId="0" fontId="6" fillId="0" borderId="0" xfId="0" applyFont="1" applyFill="1" applyProtection="1"/>
    <x:xf numFmtId="0" fontId="7" fillId="0" borderId="0" xfId="0" applyFont="1" applyFill="1" applyBorder="1" applyAlignment="1" applyProtection="1"/>
    <x:xf numFmtId="0" fontId="0" fillId="0" borderId="0" xfId="0" applyFill="1" applyBorder="1"/>
    <x:xf numFmtId="0" fontId="0" fillId="0" borderId="0" xfId="0" applyFill="1"/>
    <x:xf numFmtId="0" fontId="10" fillId="0" borderId="2" xfId="2" applyFont="1" applyFill="1" applyAlignment="1" applyProtection="1">
      <x:alignment horizontal="left"/>
    </x:xf>
    <x:xf numFmtId="0" fontId="11" fillId="0" borderId="0" xfId="0" applyFont="1" applyFill="1" applyProtection="1"/>
    <x:xf numFmtId="0" fontId="12" fillId="0" borderId="0" xfId="0" applyFont="1" applyFill="1" applyAlignment="1" applyProtection="1">
      <x:alignment vertical="top"/>
    </x:xf>
    <x:xf numFmtId="0" fontId="10" fillId="0" borderId="2" xfId="2" applyFont="1" applyFill="1" applyAlignment="1" applyProtection="1">
      <x:alignment vertical="top"/>
    </x:xf>
    <x:xf numFmtId="0" fontId="10" fillId="0" borderId="2" xfId="2" applyFont="1" applyFill="1" applyProtection="1"/>
    <x:xf numFmtId="0" fontId="3" fillId="0" borderId="2" xfId="2" applyFont="1" applyFill="1" applyAlignment="1" applyProtection="1">
      <x:alignment horizontal="left"/>
    </x:xf>
    <x:xf numFmtId="0" fontId="10" fillId="0" borderId="2" xfId="2" applyFont="1" applyFill="1" applyAlignment="1" applyProtection="1">
      <x:alignment horizontal="right"/>
    </x:xf>
    <x:xf numFmtId="164" fontId="10" fillId="0" borderId="5" xfId="2" applyNumberFormat="1" applyFont="1" applyFill="1" applyBorder="1" applyAlignment="1" applyProtection="1"/>
    <x:xf numFmtId="0" fontId="11" fillId="0" borderId="0" xfId="0" applyFont="1" applyFill="1" applyBorder="1" applyAlignment="1" applyProtection="1"/>
    <x:xf numFmtId="0" fontId="12" fillId="0" borderId="0" xfId="0" applyFont="1" applyFill="1" applyAlignment="1" applyProtection="1"/>
    <x:xf numFmtId="0" fontId="12" fillId="0" borderId="0" xfId="0" applyFont="1" applyFill="1" applyAlignment="1" applyProtection="1">
      <x:alignment horizontal="left"/>
    </x:xf>
    <x:xf numFmtId="164" fontId="13" fillId="0" borderId="0" xfId="0" applyNumberFormat="1" applyFont="1" applyFill="1" applyAlignment="1" applyProtection="1"/>
    <x:xf numFmtId="164" fontId="13" fillId="0" borderId="0" xfId="0" applyNumberFormat="1" applyFont="1" applyFill="1" applyAlignment="1" applyProtection="1">
      <x:alignment horizontal="left"/>
    </x:xf>
    <x:xf numFmtId="1" fontId="12" fillId="0" borderId="0" xfId="0" applyNumberFormat="1" applyFont="1" applyFill="1" applyBorder="1" applyAlignment="1">
      <x:alignment horizontal="right" vertical="center"/>
    </x:xf>
    <x:xf numFmtId="0" fontId="11" fillId="0" borderId="0" xfId="0" applyNumberFormat="1" applyFont="1" applyFill="1" applyBorder="1" applyAlignment="1" applyProtection="1">
      <x:alignment horizontal="left"/>
    </x:xf>
    <x:xf numFmtId="0" fontId="11" fillId="0" borderId="0" xfId="0" applyFont="1" applyFill="1" applyBorder="1" applyAlignment="1" applyProtection="1">
      <x:alignment horizontal="left"/>
    </x:xf>
    <x:xf numFmtId="0" fontId="12" fillId="0" borderId="0" xfId="0" applyFont="1" applyFill="1" applyBorder="1" applyAlignment="1" applyProtection="1">
      <x:alignment horizontal="right"/>
    </x:xf>
    <x:xf numFmtId="0" fontId="18" fillId="0" borderId="0" xfId="0" applyFont="1" applyFill="1" applyBorder="1" applyProtection="1"/>
    <x:xf numFmtId="44" fontId="19" fillId="0" borderId="0" xfId="0" applyNumberFormat="1" applyFont="1" applyFill="1" applyBorder="1" applyAlignment="1" applyProtection="1"/>
    <x:xf numFmtId="0" fontId="11" fillId="0" borderId="0" xfId="0" applyFont="1" applyFill="1" applyAlignment="1" applyProtection="1"/>
    <x:xf numFmtId="49" fontId="19" fillId="0" borderId="0" xfId="0" applyNumberFormat="1" applyFont="1" applyFill="1" applyBorder="1" applyAlignment="1" applyProtection="1"/>
    <x:xf numFmtId="4" fontId="15" fillId="7" borderId="17" xfId="0" applyNumberFormat="1" applyFont="1" applyFill="1" applyBorder="1" applyAlignment="1" applyProtection="1">
      <x:alignment vertical="center"/>
      <x:protection locked="0"/>
    </x:xf>
    <x:xf numFmtId="0" fontId="12" fillId="0" borderId="16" xfId="0" applyFont="1" applyFill="1" applyBorder="1" applyAlignment="1" applyProtection="1">
      <x:alignment vertical="center"/>
    </x:xf>
    <x:xf numFmtId="49" fontId="16" fillId="7" borderId="12" xfId="5" applyNumberFormat="1" applyFont="1" applyFill="1" applyBorder="1" applyAlignment="1" applyProtection="1">
      <x:alignment vertical="center"/>
      <x:protection locked="0"/>
    </x:xf>
    <x:xf numFmtId="11" fontId="16" fillId="8" borderId="17" xfId="5" applyNumberFormat="1" applyFont="1" applyFill="1" applyBorder="1" applyAlignment="1" applyProtection="1">
      <x:alignment vertical="center"/>
      <x:protection locked="0"/>
    </x:xf>
    <x:xf numFmtId="0" fontId="11" fillId="0" borderId="23" xfId="0" applyFont="1" applyFill="1" applyBorder="1" applyAlignment="1" applyProtection="1"/>
    <x:xf numFmtId="0" fontId="11" fillId="0" borderId="24" xfId="0" applyFont="1" applyFill="1" applyBorder="1" applyAlignment="1" applyProtection="1"/>
    <x:xf numFmtId="44" fontId="21" fillId="0" borderId="0" xfId="0" applyNumberFormat="1" applyFont="1" applyFill="1" applyBorder="1" applyAlignment="1" applyProtection="1"/>
    <x:xf numFmtId="1" fontId="21" fillId="0" borderId="0" xfId="0" applyNumberFormat="1" applyFont="1" applyFill="1" applyBorder="1" applyAlignment="1" applyProtection="1"/>
    <x:xf numFmtId="3" fontId="21" fillId="0" borderId="0" xfId="0" applyNumberFormat="1" applyFont="1" applyFill="1" applyBorder="1" applyAlignment="1" applyProtection="1"/>
    <x:xf numFmtId="1" fontId="11" fillId="0" borderId="0" xfId="0" applyNumberFormat="1" applyFont="1" applyFill="1" applyBorder="1" applyProtection="1"/>
    <x:xf numFmtId="0" fontId="0" fillId="0" borderId="0" xfId="0" applyFont="1"/>
    <x:xf numFmtId="44" fontId="21" fillId="4" borderId="0" xfId="0" applyNumberFormat="1" applyFont="1" applyFill="1" applyBorder="1" applyAlignment="1" applyProtection="1"/>
    <x:xf numFmtId="44" fontId="21" fillId="4" borderId="0" xfId="0" applyNumberFormat="1" applyFont="1" applyFill="1" applyBorder="1" applyAlignment="1" applyProtection="1">
      <x:alignment wrapText="1"/>
    </x:xf>
    <x:xf numFmtId="0" fontId="22" fillId="0" borderId="2" xfId="2" applyFont="1" applyFill="1" applyAlignment="1" applyProtection="1"/>
    <x:xf numFmtId="0" fontId="22" fillId="0" borderId="2" xfId="2" applyFont="1" applyFill="1" applyProtection="1"/>
    <x:xf numFmtId="0" fontId="17" fillId="10" borderId="21" xfId="4" applyFont="1" applyFill="1" applyBorder="1" applyAlignment="1" applyProtection="1">
      <x:alignment horizontal="left" vertical="top"/>
      <x:protection locked="0"/>
    </x:xf>
    <x:xf numFmtId="0" fontId="17" fillId="10" borderId="26" xfId="4" applyFont="1" applyFill="1" applyBorder="1" applyAlignment="1" applyProtection="1">
      <x:alignment horizontal="left" vertical="top"/>
      <x:protection locked="0"/>
    </x:xf>
    <x:xf numFmtId="166" fontId="10" fillId="0" borderId="2" xfId="2" applyNumberFormat="1" applyFont="1" applyFill="1" applyProtection="1"/>
    <x:xf numFmtId="167" fontId="15" fillId="9" borderId="12" xfId="0" applyNumberFormat="1" applyFont="1" applyFill="1" applyBorder="1" applyAlignment="1" applyProtection="1">
      <x:alignment vertical="center"/>
    </x:xf>
    <x:xf numFmtId="168" fontId="15" fillId="9" borderId="20" xfId="0" applyNumberFormat="1" applyFont="1" applyFill="1" applyBorder="1" applyAlignment="1" applyProtection="1">
      <x:alignment horizontal="left" vertical="center"/>
    </x:xf>
    <x:xf numFmtId="168" fontId="15" fillId="9" borderId="12" xfId="0" applyNumberFormat="1" applyFont="1" applyFill="1" applyBorder="1" applyAlignment="1" applyProtection="1">
      <x:alignment horizontal="left" vertical="center"/>
    </x:xf>
    <x:xf numFmtId="0" fontId="14" fillId="6" borderId="0" xfId="0" applyFont="1" applyFill="1" applyBorder="1" applyAlignment="1" applyProtection="1">
      <x:alignment horizontal="left" wrapText="1"/>
    </x:xf>
    <x:xf numFmtId="166" fontId="8" fillId="0" borderId="0" xfId="0" applyNumberFormat="1" applyFont="1" applyFill="1" applyBorder="1" applyAlignment="1" applyProtection="1">
      <x:alignment horizontal="right"/>
    </x:xf>
    <x:xf numFmtId="166" fontId="0" fillId="0" borderId="0" xfId="0" applyNumberFormat="1" applyFill="1" applyBorder="1"/>
    <x:xf numFmtId="166" fontId="10" fillId="0" borderId="0" xfId="2" applyNumberFormat="1" applyFont="1" applyFill="1" applyBorder="1" applyAlignment="1" applyProtection="1">
      <x:alignment horizontal="left"/>
    </x:xf>
    <x:xf numFmtId="166" fontId="10" fillId="0" borderId="0" xfId="2" applyNumberFormat="1" applyFont="1" applyFill="1" applyBorder="1" applyAlignment="1" applyProtection="1">
      <x:alignment vertical="top"/>
    </x:xf>
    <x:xf numFmtId="166" fontId="11" fillId="0" borderId="0" xfId="0" applyNumberFormat="1" applyFont="1" applyFill="1" applyProtection="1"/>
    <x:xf numFmtId="166" fontId="14" fillId="11" borderId="0" xfId="0" applyNumberFormat="1" applyFont="1" applyFill="1" applyBorder="1" applyAlignment="1" applyProtection="1">
      <x:alignment horizontal="left" wrapText="1"/>
    </x:xf>
    <x:xf numFmtId="166" fontId="6" fillId="11" borderId="0" xfId="0" applyNumberFormat="1" applyFont="1" applyFill="1" applyBorder="1" applyProtection="1"/>
    <x:xf numFmtId="166" fontId="16" fillId="11" borderId="0" xfId="5" applyNumberFormat="1" applyFont="1" applyFill="1" applyBorder="1" applyAlignment="1" applyProtection="1">
      <x:alignment horizontal="left" vertical="center"/>
      <x:protection locked="0"/>
    </x:xf>
    <x:xf numFmtId="166" fontId="6" fillId="11" borderId="0" xfId="0" applyNumberFormat="1" applyFont="1" applyFill="1" applyProtection="1"/>
    <x:xf numFmtId="166" fontId="17" fillId="11" borderId="0" xfId="4" applyNumberFormat="1" applyFont="1" applyFill="1" applyBorder="1" applyAlignment="1" applyProtection="1">
      <x:alignment horizontal="left" vertical="top"/>
      <x:protection locked="0"/>
    </x:xf>
    <x:xf numFmtId="166" fontId="20" fillId="11" borderId="0" xfId="0" applyNumberFormat="1" applyFont="1" applyFill="1" applyBorder="1" applyAlignment="1" applyProtection="1">
      <x:alignment horizontal="left" vertical="top"/>
    </x:xf>
    <x:xf numFmtId="166" fontId="15" fillId="11" borderId="0" xfId="0" applyNumberFormat="1" applyFont="1" applyFill="1" applyBorder="1" applyAlignment="1" applyProtection="1">
      <x:alignment vertical="center" wrapText="1"/>
    </x:xf>
    <x:xf numFmtId="166" fontId="15" fillId="11" borderId="0" xfId="0" applyNumberFormat="1" applyFont="1" applyFill="1" applyBorder="1" applyAlignment="1" applyProtection="1">
      <x:alignment horizontal="left" vertical="top" wrapText="1"/>
    </x:xf>
    <x:xf numFmtId="166" fontId="20" fillId="11" borderId="0" xfId="0" applyNumberFormat="1" applyFont="1" applyFill="1" applyBorder="1" applyAlignment="1" applyProtection="1">
      <x:alignment horizontal="left" vertical="top" wrapText="1"/>
    </x:xf>
    <x:xf numFmtId="166" fontId="15" fillId="11" borderId="0" xfId="0" applyNumberFormat="1" applyFont="1" applyFill="1" applyBorder="1" applyAlignment="1" applyProtection="1">
      <x:alignment horizontal="left" vertical="top"/>
    </x:xf>
    <x:xf numFmtId="166" fontId="0" fillId="0" borderId="0" xfId="0" applyNumberFormat="1" applyFill="1"/>
    <x:xf numFmtId="0" fontId="14" fillId="6" borderId="0" xfId="0" applyFont="1" applyFill="1" applyBorder="1" applyAlignment="1" applyProtection="1">
      <x:alignment horizontal="left" wrapText="1"/>
    </x:xf>
    <x:xf numFmtId="166" fontId="16" fillId="11" borderId="0" xfId="5" applyNumberFormat="1" applyFont="1" applyFill="1" applyBorder="1" applyAlignment="1" applyProtection="1">
      <x:alignment vertical="center"/>
    </x:xf>
    <x:xf numFmtId="1" fontId="15" fillId="0" borderId="12" xfId="0" applyNumberFormat="1" applyFont="1" applyFill="1" applyBorder="1" applyAlignment="1" applyProtection="1">
      <x:alignment horizontal="right" vertical="center"/>
    </x:xf>
    <x:xf numFmtId="49" fontId="15" fillId="0" borderId="12" xfId="0" applyNumberFormat="1" applyFont="1" applyFill="1" applyBorder="1" applyAlignment="1" applyProtection="1">
      <x:alignment horizontal="left" vertical="center"/>
    </x:xf>
    <x:xf numFmtId="49" fontId="15" fillId="0" borderId="12" xfId="0" applyNumberFormat="1" applyFont="1" applyFill="1" applyBorder="1" applyAlignment="1" applyProtection="1">
      <x:alignment vertical="center" wrapText="1"/>
    </x:xf>
    <x:xf numFmtId="49" fontId="15" fillId="0" borderId="12" xfId="0" applyNumberFormat="1" applyFont="1" applyFill="1" applyBorder="1" applyAlignment="1" applyProtection="1">
      <x:alignment vertical="center"/>
    </x:xf>
    <x:xf numFmtId="49" fontId="15" fillId="0" borderId="12" xfId="0" applyNumberFormat="1" applyFont="1" applyFill="1" applyBorder="1" applyAlignment="1" applyProtection="1">
      <x:alignment horizontal="left" vertical="center"/>
      <x:protection locked="0"/>
    </x:xf>
    <x:xf numFmtId="49" fontId="16" fillId="0" borderId="12" xfId="5" applyNumberFormat="1" applyFont="1" applyFill="1" applyBorder="1" applyAlignment="1" applyProtection="1">
      <x:alignment vertical="center"/>
    </x:xf>
    <x:xf numFmtId="0" fontId="25" fillId="5" borderId="3" xfId="4" applyFont="1" applyFill="1" applyAlignment="1" applyProtection="1">
      <x:alignment horizontal="left"/>
      <x:protection locked="0"/>
    </x:xf>
    <x:xf numFmtId="4" fontId="25" fillId="5" borderId="6" xfId="4" applyNumberFormat="1" applyFont="1" applyFill="1" applyBorder="1" applyAlignment="1" applyProtection="1">
      <x:alignment horizontal="right"/>
      <x:protection locked="0"/>
    </x:xf>
    <x:xf numFmtId="167" fontId="26" fillId="5" borderId="3" xfId="4" applyNumberFormat="1" applyFont="1" applyFill="1" applyAlignment="1" applyProtection="1">
      <x:alignment horizontal="right"/>
      <x:protection locked="0"/>
    </x:xf>
    <x:xf numFmtId="0" fontId="26" fillId="5" borderId="3" xfId="4" applyFont="1" applyFill="1" applyAlignment="1" applyProtection="1">
      <x:alignment horizontal="right"/>
      <x:protection locked="0"/>
    </x:xf>
    <x:xf numFmtId="0" fontId="26" fillId="10" borderId="14" xfId="4" applyFont="1" applyFill="1" applyBorder="1" applyAlignment="1" applyProtection="1">
      <x:alignment horizontal="left"/>
      <x:protection locked="0"/>
    </x:xf>
    <x:xf numFmtId="168" fontId="26" fillId="10" borderId="14" xfId="4" applyNumberFormat="1" applyFont="1" applyFill="1" applyBorder="1" applyAlignment="1" applyProtection="1">
      <x:alignment horizontal="left"/>
      <x:protection locked="0"/>
    </x:xf>
    <x:xf numFmtId="168" fontId="26" fillId="10" borderId="15" xfId="4" applyNumberFormat="1" applyFont="1" applyFill="1" applyBorder="1" applyAlignment="1" applyProtection="1">
      <x:alignment horizontal="left"/>
      <x:protection locked="0"/>
    </x:xf>
    <x:xf numFmtId="167" fontId="26" fillId="10" borderId="19" xfId="4" applyNumberFormat="1" applyFont="1" applyFill="1" applyBorder="1" applyAlignment="1" applyProtection="1">
      <x:alignment horizontal="left"/>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2" fontId="15" fillId="0" borderId="12" xfId="0" applyNumberFormat="1" applyFont="1" applyFill="1" applyBorder="1" applyAlignment="1" applyProtection="1">
      <x:alignment horizontal="right" vertical="center"/>
    </x:xf>
    <x:xf numFmtId="49" fontId="15" fillId="7" borderId="18" xfId="0" applyNumberFormat="1" applyFont="1" applyFill="1" applyBorder="1" applyAlignment="1" applyProtection="1">
      <x:alignment horizontal="right" vertical="center"/>
      <x:protection locked="0"/>
    </x:xf>
    <x:xf numFmtId="49" fontId="15" fillId="7" borderId="17" xfId="0" applyNumberFormat="1" applyFont="1" applyFill="1" applyBorder="1" applyAlignment="1" applyProtection="1">
      <x:alignment vertical="center"/>
    </x:xf>
    <x:xf numFmtId="49" fontId="15" fillId="7" borderId="12" xfId="0" applyNumberFormat="1" applyFont="1" applyFill="1" applyBorder="1" applyAlignment="1" applyProtection="1">
      <x:alignment vertical="center"/>
      <x:protection locked="0"/>
    </x:xf>
    <x:xf numFmtId="0" fontId="0" fillId="0" borderId="27" xfId="0" applyBorder="1"/>
    <x:xf numFmtId="0" fontId="0" fillId="0" borderId="0" xfId="0" applyBorder="1"/>
    <x:xf numFmtId="0" fontId="0" fillId="0" borderId="28" xfId="0" applyBorder="1"/>
    <x:xf numFmtId="49" fontId="0" fillId="0" borderId="0" xfId="0" applyNumberFormat="1" applyBorder="1"/>
    <x:xf numFmtId="0" fontId="3" fillId="0" borderId="4" xfId="3" applyFont="1" applyFill="1" applyBorder="1" applyAlignment="1" applyProtection="1">
      <x:alignment vertical="top" wrapText="1"/>
    </x:xf>
    <x:xf numFmtId="0" fontId="3" fillId="0" borderId="0" xfId="3" applyFont="1" applyFill="1" applyBorder="1" applyAlignment="1" applyProtection="1">
      <x:alignment vertical="top" wrapText="1"/>
    </x:xf>
    <x:xf numFmtId="0" fontId="29" fillId="0" borderId="0" xfId="0" applyFont="1" applyFill="1" applyBorder="1" applyAlignment="1" applyProtection="1">
      <x:alignment wrapText="1"/>
    </x:xf>
    <x:xf numFmtId="0" fontId="29" fillId="0" borderId="0" xfId="0" applyFont="1" applyFill="1" applyBorder="1" applyAlignment="1" applyProtection="1">
      <x:alignment horizontal="left" wrapText="1"/>
    </x:xf>
    <x:xf numFmtId="0" fontId="10" fillId="0" borderId="2" xfId="2" applyFont="1" applyFill="1" applyAlignment="1" applyProtection="1"/>
    <x:xf numFmtId="0" fontId="28" fillId="0" borderId="0" xfId="0" applyFont="1" applyFill="1" applyBorder="1" applyAlignment="1" applyProtection="1">
      <x:alignment wrapText="1"/>
    </x:xf>
    <x:xf numFmtId="0" fontId="28" fillId="0" borderId="29" xfId="0" applyFont="1" applyFill="1" applyBorder="1" applyAlignment="1" applyProtection="1">
      <x:alignment wrapText="1"/>
    </x:xf>
    <x:xf numFmtId="0" fontId="3" fillId="0" borderId="4" xfId="3" applyFont="1" applyFill="1" applyBorder="1" applyAlignment="1" applyProtection="1">
      <x:alignment horizontal="left" wrapText="1"/>
    </x:xf>
    <x:xf numFmtId="0" fontId="3" fillId="0" borderId="2" xfId="2" applyFont="1" applyFill="1" applyAlignment="1" applyProtection="1">
      <x:alignment horizontal="left" wrapText="1"/>
    </x:xf>
    <x:xf numFmtId="0" fontId="28" fillId="0" borderId="0" xfId="0" applyFont="1" applyFill="1" applyBorder="1" applyAlignment="1" applyProtection="1">
      <x:alignment horizontal="left" wrapText="1"/>
    </x:xf>
    <x:xf numFmtId="0" fontId="22" fillId="0" borderId="5" xfId="2" applyFont="1" applyFill="1" applyBorder="1" applyAlignment="1" applyProtection="1">
      <x:alignment horizontal="left"/>
    </x:xf>
    <x:xf numFmtId="49" fontId="10" fillId="0" borderId="2" xfId="2" applyNumberFormat="1" applyFont="1" applyFill="1" applyAlignment="1" applyProtection="1">
      <x:alignment horizontal="left"/>
    </x:xf>
    <x:xf numFmtId="169" fontId="10" fillId="0" borderId="2" xfId="2" applyNumberFormat="1" applyFont="1" applyFill="1" applyAlignment="1" applyProtection="1">
      <x:alignment horizontal="left"/>
    </x:xf>
    <x:xf numFmtId="0" fontId="22" fillId="0" borderId="2" xfId="2" applyFont="1" applyFill="1" applyAlignment="1" applyProtection="1">
      <x:alignment horizontal="left"/>
    </x:xf>
    <x:xf numFmtId="49" fontId="10" fillId="0" borderId="5" xfId="2" applyNumberFormat="1" applyFont="1" applyFill="1" applyBorder="1" applyAlignment="1" applyProtection="1">
      <x:alignment horizontal="left"/>
    </x:xf>
    <x:xf numFmtId="170" fontId="10" fillId="0" borderId="2" xfId="2" applyNumberFormat="1" applyFont="1" applyFill="1" applyAlignment="1" applyProtection="1">
      <x:alignment horizontal="left"/>
    </x:xf>
    <x:xf numFmtId="0" fontId="9" fillId="0" borderId="0" xfId="0" applyFont="1" applyFill="1" applyBorder="1" applyAlignment="1" applyProtection="1">
      <x:alignment horizontal="right"/>
    </x:xf>
    <x:xf numFmtId="0" fontId="8" fillId="0" borderId="0" xfId="0" applyFont="1" applyFill="1" applyBorder="1" applyAlignment="1" applyProtection="1">
      <x:alignment horizontal="right"/>
    </x:xf>
    <x:xf numFmtId="0" fontId="2" fillId="0" borderId="1" xfId="1" applyFont="1" applyFill="1" applyAlignment="1" applyProtection="1">
      <x:alignment horizontal="left"/>
    </x:xf>
    <x:xf numFmtId="49" fontId="3" fillId="0" borderId="2" xfId="2" applyNumberFormat="1" applyFont="1" applyFill="1" applyAlignment="1" applyProtection="1">
      <x:alignment horizontal="left" wrapText="1"/>
    </x:xf>
    <x:xf numFmtId="4" fontId="25" fillId="5" borderId="8" xfId="4" applyNumberFormat="1" applyFont="1" applyFill="1" applyBorder="1" applyAlignment="1" applyProtection="1">
      <x:alignment horizontal="left"/>
      <x:protection locked="0"/>
    </x:xf>
    <x:xf numFmtId="4" fontId="25" fillId="5" borderId="9" xfId="4" applyNumberFormat="1" applyFont="1" applyFill="1" applyBorder="1" applyAlignment="1" applyProtection="1">
      <x:alignment horizontal="left"/>
      <x:protection locked="0"/>
    </x:xf>
    <x:xf numFmtId="4" fontId="25" fillId="5" borderId="10" xfId="4" applyNumberFormat="1" applyFont="1" applyFill="1" applyBorder="1" applyAlignment="1" applyProtection="1">
      <x:alignment horizontal="left"/>
      <x:protection locked="0"/>
    </x:xf>
    <x:xf numFmtId="0" fontId="23" fillId="0" borderId="2" xfId="2" applyFont="1" applyFill="1" applyAlignment="1" applyProtection="1">
      <x:alignment horizontal="left"/>
    </x:xf>
    <x:xf numFmtId="49" fontId="10" fillId="0" borderId="2" xfId="2" applyNumberFormat="1" applyFont="1" applyFill="1" applyAlignment="1" applyProtection="1">
      <x:alignment horizontal="left"/>
      <x:protection locked="0"/>
    </x:xf>
    <x:xf numFmtId="0" fontId="3" fillId="0" borderId="7" xfId="2" applyFont="1" applyFill="1" applyBorder="1" applyAlignment="1" applyProtection="1">
      <x:alignment horizontal="left"/>
    </x:xf>
    <x:xf numFmtId="0" fontId="30" fillId="0" borderId="0" xfId="6" applyFill="1" applyBorder="1" applyAlignment="1" applyProtection="1">
      <x:alignment horizontal="left" wrapText="1"/>
    </x:xf>
    <x:xf numFmtId="0" fontId="28" fillId="0" borderId="29" xfId="0" applyFont="1" applyFill="1" applyBorder="1" applyAlignment="1" applyProtection="1">
      <x:alignment horizontal="left" wrapText="1"/>
    </x:xf>
    <x:xf numFmtId="0" fontId="13" fillId="0" borderId="0" xfId="0" applyFont="1" applyFill="1" applyAlignment="1" applyProtection="1">
      <x:alignment horizontal="left"/>
    </x:xf>
    <x:xf numFmtId="165" fontId="14" fillId="6" borderId="0" xfId="0" applyNumberFormat="1" applyFont="1" applyFill="1" applyBorder="1" applyAlignment="1" applyProtection="1">
      <x:alignment horizontal="left" wrapText="1"/>
    </x:xf>
    <x:xf numFmtId="0" fontId="14" fillId="6" borderId="0" xfId="0" applyFont="1" applyFill="1" applyBorder="1" applyAlignment="1" applyProtection="1">
      <x:alignment horizontal="left" wrapText="1"/>
    </x:xf>
    <x:xf numFmtId="49" fontId="16" fillId="7" borderId="21" xfId="5" applyNumberFormat="1" applyFont="1" applyFill="1" applyBorder="1" applyAlignment="1" applyProtection="1">
      <x:alignment horizontal="left" vertical="center"/>
      <x:protection locked="0"/>
    </x:xf>
    <x:xf numFmtId="49" fontId="16" fillId="7" borderId="22" xfId="5" applyNumberFormat="1" applyFont="1" applyFill="1" applyBorder="1" applyAlignment="1" applyProtection="1">
      <x:alignment horizontal="left" vertical="center"/>
      <x:protection locked="0"/>
    </x:xf>
    <x:xf numFmtId="0" fontId="26" fillId="10" borderId="21" xfId="4" applyFont="1" applyFill="1" applyBorder="1" applyAlignment="1" applyProtection="1">
      <x:alignment horizontal="left"/>
      <x:protection locked="0"/>
    </x:xf>
    <x:xf numFmtId="0" fontId="26" fillId="10" borderId="22" xfId="4" applyFont="1" applyFill="1" applyBorder="1" applyAlignment="1" applyProtection="1">
      <x:alignment horizontal="left"/>
      <x:protection locked="0"/>
    </x:xf>
    <x:xf numFmtId="0" fontId="26" fillId="10" borderId="26" xfId="4" applyFont="1" applyFill="1" applyBorder="1" applyAlignment="1" applyProtection="1">
      <x:alignment horizontal="left"/>
      <x:protection locked="0"/>
    </x:xf>
    <x:xf numFmtId="1" fontId="20" fillId="9" borderId="0" xfId="0" applyNumberFormat="1" applyFont="1" applyFill="1" applyBorder="1" applyAlignment="1" applyProtection="1">
      <x:alignment horizontal="left" vertical="top"/>
    </x:xf>
    <x:xf numFmtId="1" fontId="15" fillId="9" borderId="0" xfId="0" applyNumberFormat="1" applyFont="1" applyFill="1" applyBorder="1" applyAlignment="1" applyProtection="1">
      <x:alignment horizontal="left" vertical="top" wrapText="1"/>
    </x:xf>
    <x:xf numFmtId="165" fontId="14" fillId="6" borderId="19" xfId="0" applyNumberFormat="1" applyFont="1" applyFill="1" applyBorder="1" applyAlignment="1" applyProtection="1">
      <x:alignment horizontal="left" vertical="center" wrapText="1"/>
    </x:xf>
    <x:xf numFmtId="0" fontId="20" fillId="0" borderId="25" xfId="0" applyNumberFormat="1" applyFont="1" applyFill="1" applyBorder="1" applyAlignment="1" applyProtection="1">
      <x:alignment horizontal="left" vertical="center"/>
    </x:xf>
    <x:xf numFmtId="0" fontId="20" fillId="0" borderId="20" xfId="0" applyNumberFormat="1" applyFont="1" applyFill="1" applyBorder="1" applyAlignment="1" applyProtection="1">
      <x:alignment horizontal="left" vertical="center"/>
    </x:xf>
    <x:xf numFmtId="0" fontId="15" fillId="0" borderId="12" xfId="0" applyNumberFormat="1" applyFont="1" applyFill="1" applyBorder="1" applyAlignment="1" applyProtection="1">
      <x:alignment horizontal="left" vertical="center"/>
    </x:xf>
    <x:xf numFmtId="0" fontId="20" fillId="0" borderId="12" xfId="0" applyNumberFormat="1" applyFont="1" applyFill="1" applyBorder="1" applyAlignment="1" applyProtection="1">
      <x:alignment horizontal="left" vertical="center"/>
    </x:xf>
    <x:xf numFmtId="0" fontId="24" fillId="9" borderId="19" xfId="0" applyNumberFormat="1" applyFont="1" applyFill="1" applyBorder="1" applyAlignment="1" applyProtection="1">
      <x:alignment horizontal="left" vertical="center"/>
    </x:xf>
    <x:xf numFmtId="0" fontId="26" fillId="10" borderId="22" xfId="4" applyFont="1" applyFill="1" applyBorder="1" applyAlignment="1" applyProtection="1">
      <x:alignment horizontal="left" vertical="top"/>
      <x:protection locked="0"/>
    </x:xf>
    <x:xf numFmtId="1" fontId="15" fillId="9" borderId="0" xfId="0" applyNumberFormat="1" applyFont="1" applyFill="1" applyBorder="1" applyAlignment="1" applyProtection="1">
      <x:alignment horizontal="left" vertical="top"/>
    </x:xf>
    <x:xf numFmtId="1" fontId="20" fillId="9" borderId="0" xfId="0" applyNumberFormat="1" applyFont="1" applyFill="1" applyBorder="1" applyAlignment="1" applyProtection="1">
      <x:alignment horizontal="left" vertical="top" wrapText="1"/>
    </x:xf>
    <x:xf numFmtId="0"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6"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2" fillId="0" borderId="1" xfId="0" applyNumberFormat="1" applyFill="1" applyBorder="1" applyAlignment="1" applyProtection="1">
      <x:alignment horizontal="left" vertical="bottom" textRotation="0" wrapText="0" indent="0" relativeIndent="0" justifyLastLine="0" shrinkToFit="0" readingOrder="0"/>
      <x:protection locked="1" hidden="0"/>
    </x:xf>
    <x:xf numFmtId="0" fontId="32" fillId="0" borderId="0" xfId="0" applyNumberFormat="1" applyFill="1" applyBorder="0" applyAlignment="1" applyProtection="1">
      <x:alignment horizontal="left" vertical="bottom" textRotation="0" wrapText="0" indent="1" relativeIndent="0" justifyLastLine="0" shrinkToFit="0" readingOrder="0"/>
      <x:protection locked="1" hidden="0"/>
    </x:xf>
    <x:xf numFmtId="0" fontId="33"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7"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9" fillId="0" borderId="0" xfId="0" applyNumberFormat="1" applyFill="1" applyBorder="0" applyAlignment="1" applyProtection="1">
      <x:alignment horizontal="right" vertical="bottom" textRotation="0" wrapText="0" indent="0" relativeIndent="0" justifyLastLine="0" shrinkToFit="0" readingOrder="0"/>
      <x:protection locked="1" hidden="0"/>
    </x:xf>
    <x:xf numFmtId="0" fontId="8" fillId="0" borderId="0" xfId="0" applyNumberFormat="1" applyFill="1" applyBorder="0" applyAlignment="1" applyProtection="1">
      <x:alignment horizontal="right" vertical="bottom" textRotation="0" wrapText="0" indent="0" relativeIndent="0" justifyLastLine="0" shrinkToFit="0" readingOrder="0"/>
      <x:protection locked="1" hidden="0"/>
    </x:xf>
    <x:xf numFmtId="166" fontId="8" fillId="0" borderId="0" xfId="0" applyNumberFormat="1" applyFill="1" applyBorder="0" applyAlignment="1" applyProtection="1">
      <x:alignment horizontal="right" vertical="bottom" textRotation="0" wrapText="0" indent="0" relativeIndent="0" justifyLastLine="0" shrinkToFit="0" readingOrder="0"/>
      <x:protection locked="1" hidden="0"/>
    </x:xf>
    <x:xf numFmtId="49" fontId="3" fillId="0" borderId="2" xfId="0" applyNumberFormat="1" applyFill="1" applyBorder="1" applyAlignment="1" applyProtection="1">
      <x:alignment horizontal="left" vertical="bottom" textRotation="0" wrapText="1" indent="0" relativeIndent="0" justifyLastLine="0" shrinkToFit="0" readingOrder="0"/>
      <x:protection locked="1" hidden="0"/>
    </x:xf>
    <x:xf numFmtId="0"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22"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166" fontId="10" fillId="0" borderId="0" xfId="0" applyNumberFormat="1" applyFill="1" applyBorder="0" applyAlignment="1" applyProtection="1">
      <x:alignment horizontal="left" vertical="bottom" textRotation="0" wrapText="0" indent="0" relativeIndent="0" justifyLastLine="0" shrinkToFit="0" readingOrder="0"/>
      <x:protection locked="1" hidden="0"/>
    </x:xf>
    <x:xf numFmtId="0" fontId="3" fillId="0" borderId="2" xfId="0" applyNumberFormat="1" applyFill="1" applyBorder="1" applyAlignment="1" applyProtection="1">
      <x:alignment horizontal="left" vertical="bottom" textRotation="0" wrapText="1" indent="0" relativeIndent="0" justifyLastLine="0" shrinkToFit="0" readingOrder="0"/>
      <x:protection locked="1" hidden="0"/>
    </x:xf>
    <x:xf numFmtId="0" fontId="3" fillId="0" borderId="0" xfId="0" applyNumberFormat="1" applyFill="1" applyBorder="0" applyAlignment="1" applyProtection="1">
      <x:alignment horizontal="general" vertical="top" textRotation="0" wrapText="1" indent="0" relativeIndent="0" justifyLastLine="0" shrinkToFit="0" readingOrder="0"/>
      <x:protection locked="1" hidden="0"/>
    </x:xf>
    <x:xf numFmtId="0"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9"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28"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12" fillId="0" borderId="0" xfId="0" applyNumberFormat="1" applyFill="1" applyBorder="0" applyAlignment="1" applyProtection="1">
      <x:alignment horizontal="general" vertical="top" textRotation="0" wrapText="0" indent="0" relativeIndent="0" justifyLastLine="0" shrinkToFit="0" readingOrder="0"/>
      <x:protection locked="1" hidden="0"/>
    </x:xf>
    <x:xf numFmtId="170" fontId="10" fillId="0" borderId="2" xfId="0" applyNumberFormat="1" applyFill="1" applyBorder="1" applyAlignment="1" applyProtection="1">
      <x:alignment horizontal="left" vertical="bottom" textRotation="0" wrapText="0" indent="0" relativeIndent="0" justifyLastLine="0" shrinkToFit="0" readingOrder="0"/>
      <x:protection locked="1" hidden="0"/>
    </x:xf>
    <x:xf numFmtId="0" fontId="10" fillId="0" borderId="2" xfId="0" applyNumberFormat="1" applyFill="1" applyBorder="1" applyAlignment="1" applyProtection="1">
      <x:alignment horizontal="general" vertical="top" textRotation="0" wrapText="0" indent="0" relativeIndent="0" justifyLastLine="0" shrinkToFit="0" readingOrder="0"/>
      <x:protection locked="1" hidden="0"/>
    </x:xf>
    <x:xf numFmtId="166" fontId="10" fillId="0" borderId="0" xfId="0" applyNumberFormat="1" applyFill="1" applyBorder="0" applyAlignment="1" applyProtection="1">
      <x:alignment horizontal="general" vertical="top" textRotation="0" wrapText="0" indent="0" relativeIndent="0" justifyLastLine="0" shrinkToFit="0" readingOrder="0"/>
      <x:protection locked="1" hidden="0"/>
    </x:xf>
    <x:xf numFmtId="0" fontId="29" fillId="0" borderId="0" xfId="0" applyNumberFormat="1" applyFill="1" applyBorder="0" applyAlignment="1" applyProtection="1">
      <x:alignment horizontal="general" vertical="bottom" textRotation="0" wrapText="1" indent="0" relativeIndent="0" justifyLastLine="0" shrinkToFit="0" readingOrder="0"/>
      <x:protection locked="1" hidden="0"/>
    </x:xf>
    <x:xf numFmtId="0" fontId="29"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10"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0" fontId="28" fillId="0" borderId="0" xfId="0" applyNumberFormat="1" applyFill="1" applyBorder="0" applyAlignment="1" applyProtection="1">
      <x:alignment horizontal="general" vertical="bottom" textRotation="0" wrapText="1" indent="0" relativeIndent="0" justifyLastLine="0" shrinkToFit="0" readingOrder="0"/>
      <x:protection locked="1" hidden="0"/>
    </x:xf>
    <x:xf numFmtId="0" fontId="30" fillId="0" borderId="0" xfId="0" applyNumberFormat="1" applyFill="1" applyBorder="0" applyAlignment="1" applyProtection="1">
      <x:alignment horizontal="left" vertical="bottom" textRotation="0" wrapText="1" indent="0" relativeIndent="0" justifyLastLine="0" shrinkToFit="0" readingOrder="0"/>
      <x:protection locked="1" hidden="0"/>
    </x:xf>
    <x:xf numFmtId="0" fontId="22"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0" fontId="25" fillId="5" borderId="3" xfId="0" applyNumberFormat="1" applyFill="0" applyBorder="1" applyAlignment="1" applyProtection="1">
      <x:alignment horizontal="left" vertical="bottom" textRotation="0" wrapText="0" indent="0" relativeIndent="0" justifyLastLine="0" shrinkToFit="0" readingOrder="0"/>
      <x:protection locked="0" hidden="0"/>
    </x:xf>
    <x:xf numFmtId="0" fontId="10" fillId="0" borderId="2" xfId="0" applyNumberFormat="1" applyFill="1" applyBorder="1" applyAlignment="1" applyProtection="1">
      <x:alignment horizontal="right" vertical="bottom" textRotation="0" wrapText="0" indent="0" relativeIndent="0" justifyLastLine="0" shrinkToFit="0" readingOrder="0"/>
      <x:protection locked="1" hidden="0"/>
    </x:xf>
    <x:xf numFmtId="4" fontId="25" fillId="5" borderId="6" xfId="0" applyNumberFormat="1" applyFill="0" applyBorder="1" applyAlignment="1" applyProtection="1">
      <x:alignment horizontal="right" vertical="bottom" textRotation="0" wrapText="0" indent="0" relativeIndent="0" justifyLastLine="0" shrinkToFit="0" readingOrder="0"/>
      <x:protection locked="0" hidden="0"/>
    </x:xf>
    <x:xf numFmtId="0" fontId="3" fillId="0" borderId="2" xfId="0" applyNumberFormat="1" applyFill="1" applyBorder="1" applyAlignment="1" applyProtection="1">
      <x:alignment horizontal="left" vertical="bottom" textRotation="0" wrapText="0" indent="0" relativeIndent="0" justifyLastLine="0" shrinkToFit="0" readingOrder="0"/>
      <x:protection locked="1" hidden="0"/>
    </x:xf>
    <x:xf numFmtId="4" fontId="25" fillId="5" borderId="8" xfId="0" applyNumberFormat="1" applyFill="0" applyBorder="1" applyAlignment="1" applyProtection="1">
      <x:alignment horizontal="left" vertical="bottom" textRotation="0" wrapText="0" indent="0" relativeIndent="0" justifyLastLine="0" shrinkToFit="0" readingOrder="0"/>
      <x:protection locked="0" hidden="0"/>
    </x:xf>
    <x:xf numFmtId="4" fontId="25" fillId="5" borderId="9" xfId="0" applyNumberFormat="1" applyFill="0" applyBorder="1" applyAlignment="1" applyProtection="1">
      <x:alignment horizontal="left" vertical="bottom" textRotation="0" wrapText="0" indent="0" relativeIndent="0" justifyLastLine="0" shrinkToFit="0" readingOrder="0"/>
      <x:protection locked="0" hidden="0"/>
    </x:xf>
    <x:xf numFmtId="4" fontId="25" fillId="5" borderId="10" xfId="0" applyNumberFormat="1" applyFill="0" applyBorder="1" applyAlignment="1" applyProtection="1">
      <x:alignment horizontal="left" vertical="bottom" textRotation="0" wrapText="0" indent="0" relativeIndent="0" justifyLastLine="0" shrinkToFit="0" readingOrder="0"/>
      <x:protection locked="0" hidden="0"/>
    </x:xf>
    <x:xf numFmtId="0" fontId="23" fillId="0" borderId="2" xfId="0" applyNumberFormat="1" applyFill="1" applyBorder="1" applyAlignment="1" applyProtection="1">
      <x:alignment horizontal="left" vertical="bottom" textRotation="0" wrapText="0" indent="0" relativeIndent="0" justifyLastLine="0" shrinkToFit="0" readingOrder="0"/>
      <x:protection locked="1" hidden="0"/>
    </x:xf>
    <x:xf numFmtId="49" fontId="10" fillId="0" borderId="2" xfId="0" applyNumberFormat="1" applyFill="1" applyBorder="1" applyAlignment="1" applyProtection="1">
      <x:alignment horizontal="left" vertical="bottom" textRotation="0" wrapText="0" indent="0" relativeIndent="0" justifyLastLine="0" shrinkToFit="0" readingOrder="0"/>
      <x:protection locked="0" hidden="0"/>
    </x:xf>
    <x:xf numFmtId="0" fontId="26" fillId="5" borderId="3" xfId="0" applyNumberFormat="1" applyFill="0" applyBorder="1" applyAlignment="1" applyProtection="1">
      <x:alignment horizontal="right" vertical="bottom" textRotation="0" wrapText="0" indent="0" relativeIndent="0" justifyLastLine="0" shrinkToFit="0" readingOrder="0"/>
      <x:protection locked="0" hidden="0"/>
    </x:xf>
    <x:xf numFmtId="166" fontId="10" fillId="0" borderId="2" xfId="0" applyNumberFormat="1" applyFill="1" applyBorder="1" applyAlignment="1" applyProtection="1">
      <x:alignment horizontal="general" vertical="bottom" textRotation="0" wrapText="0" indent="0" relativeIndent="0" justifyLastLine="0" shrinkToFit="0" readingOrder="0"/>
      <x:protection locked="1" hidden="0"/>
    </x:xf>
    <x:xf numFmtId="167" fontId="26" fillId="5" borderId="3" xfId="0" applyNumberFormat="1" applyFill="0" applyBorder="1" applyAlignment="1" applyProtection="1">
      <x:alignment horizontal="right" vertical="bottom" textRotation="0" wrapText="0" indent="0" relativeIndent="0" justifyLastLine="0" shrinkToFit="0" readingOrder="0"/>
      <x:protection locked="0" hidden="0"/>
    </x:xf>
    <x:xf numFmtId="0" fontId="12"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6"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2"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13"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4" fontId="13"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64" fontId="13" fillId="0" borderId="0" xfId="0" applyNumberFormat="1" applyFill="1" applyBorder="0" applyAlignment="1" applyProtection="1">
      <x:alignment horizontal="left" vertical="bottom" textRotation="0" wrapText="0" indent="0" relativeIndent="0" justifyLastLine="0" shrinkToFit="0" readingOrder="0"/>
      <x:protection locked="1" hidden="0"/>
    </x:xf>
    <x:xf numFmtId="165" fontId="14" fillId="6" borderId="11" xfId="0" applyNumberFormat="1" applyFill="0" applyBorder="1" applyAlignment="1" applyProtection="1">
      <x:alignment horizontal="left" vertical="bottom" textRotation="0" wrapText="1" indent="0" relativeIndent="0" justifyLastLine="0" shrinkToFit="0" readingOrder="0"/>
      <x:protection locked="1" hidden="0"/>
    </x:xf>
    <x:xf numFmtId="165" fontId="14" fillId="6" borderId="0" xfId="0" applyNumberFormat="1" applyFill="0" applyBorder="0" applyAlignment="1" applyProtection="1">
      <x:alignment horizontal="left" vertical="bottom" textRotation="0" wrapText="1" indent="0" relativeIndent="0" justifyLastLine="0" shrinkToFit="0" readingOrder="0"/>
      <x:protection locked="1" hidden="0"/>
    </x:xf>
    <x:xf numFmtId="0" fontId="14" fillId="6" borderId="0" xfId="0" applyNumberFormat="1" applyFill="0" applyBorder="0" applyAlignment="1" applyProtection="1">
      <x:alignment horizontal="general" vertical="bottom" textRotation="0" wrapText="1" indent="0" relativeIndent="0" justifyLastLine="0" shrinkToFit="0" readingOrder="0"/>
      <x:protection locked="1" hidden="0"/>
    </x:xf>
    <x:xf numFmtId="0" fontId="14" fillId="6" borderId="0" xfId="0" applyNumberFormat="1" applyFill="0" applyBorder="0" applyAlignment="1" applyProtection="1">
      <x:alignment horizontal="left" vertical="bottom" textRotation="0" wrapText="1" indent="0" relativeIndent="0" justifyLastLine="0" shrinkToFit="0" readingOrder="0"/>
      <x:protection locked="1" hidden="0"/>
    </x:xf>
    <x:xf numFmtId="166" fontId="14" fillId="11" borderId="0" xfId="0" applyNumberFormat="1" applyFill="0" applyBorder="0" applyAlignment="1" applyProtection="1">
      <x:alignment horizontal="left" vertical="bottom" textRotation="0" wrapText="1" indent="0" relativeIndent="0" justifyLastLine="0" shrinkToFit="0" readingOrder="0"/>
      <x:protection locked="1" hidden="0"/>
    </x:xf>
    <x:xf numFmtId="1" fontId="15" fillId="12" borderId="12" xfId="0" applyNumberFormat="1" applyFill="0" applyBorder="1" applyAlignment="1" applyProtection="1">
      <x:alignment horizontal="right" vertical="center" textRotation="0" wrapText="0" indent="0" relativeIndent="0" justifyLastLine="0" shrinkToFit="0" readingOrder="0"/>
      <x:protection locked="1" hidden="0"/>
    </x:xf>
    <x:xf numFmtId="49" fontId="15" fillId="12" borderId="12" xfId="0" applyNumberFormat="1" applyFill="0" applyBorder="1" applyAlignment="1" applyProtection="1">
      <x:alignment horizontal="left" vertical="center" textRotation="0" wrapText="0" indent="0" relativeIndent="0" justifyLastLine="0" shrinkToFit="0" readingOrder="0"/>
      <x:protection locked="1" hidden="0"/>
    </x:xf>
    <x:xf numFmtId="49" fontId="15" fillId="12" borderId="12" xfId="0" applyNumberFormat="1" applyFill="0" applyBorder="1" applyAlignment="1" applyProtection="1">
      <x:alignment horizontal="general" vertical="center" textRotation="0" wrapText="1" indent="0" relativeIndent="0" justifyLastLine="0" shrinkToFit="0" readingOrder="0"/>
      <x:protection locked="1" hidden="0"/>
    </x:xf>
    <x:xf numFmtId="49" fontId="15"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2" fontId="15" fillId="12" borderId="12" xfId="0" applyNumberFormat="1" applyFill="0" applyBorder="1" applyAlignment="1" applyProtection="1">
      <x:alignment horizontal="right" vertical="center" textRotation="0" wrapText="0" indent="0" relativeIndent="0" justifyLastLine="0" shrinkToFit="0" readingOrder="0"/>
      <x:protection locked="1" hidden="0"/>
    </x:xf>
    <x:xf numFmtId="49" fontId="15" fillId="12" borderId="17" xfId="0" applyNumberFormat="1" applyFill="0" applyBorder="1" applyAlignment="1" applyProtection="1">
      <x:alignment horizontal="general" vertical="center" textRotation="0" wrapText="0" indent="0" relativeIndent="0" justifyLastLine="0" shrinkToFit="0" readingOrder="0"/>
      <x:protection locked="1" hidden="0"/>
    </x:xf>
    <x:xf numFmtId="4" fontId="15" fillId="12" borderId="17"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12" borderId="18" xfId="0" applyNumberFormat="1" applyFill="0" applyBorder="1" applyAlignment="1" applyProtection="1">
      <x:alignment horizontal="right" vertical="center" textRotation="0" wrapText="0" indent="0" relativeIndent="0" justifyLastLine="0" shrinkToFit="0" readingOrder="0"/>
      <x:protection locked="1" hidden="0"/>
    </x:xf>
    <x:xf numFmtId="167" fontId="15"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12" borderId="12" xfId="0" applyNumberFormat="1" applyFill="0" applyBorder="1" applyAlignment="1" applyProtection="1">
      <x:alignment horizontal="general" vertical="center" textRotation="0" wrapText="0" indent="0" relativeIndent="0" justifyLastLine="0" shrinkToFit="0" readingOrder="0"/>
      <x:protection locked="1" hidden="0"/>
    </x:xf>
    <x:xf numFmtId="11" fontId="16" fillId="8" borderId="17" xfId="0" applyNumberFormat="1" applyFill="0" applyBorder="1" applyAlignment="1" applyProtection="1">
      <x:alignment horizontal="general" vertical="center" textRotation="0" wrapText="0" indent="0" relativeIndent="0" justifyLastLine="0" shrinkToFit="0" readingOrder="0"/>
      <x:protection locked="0" hidden="0"/>
    </x:xf>
    <x:xf numFmtId="166" fontId="16" fillId="11" borderId="0" xfId="0" applyNumberFormat="1" applyFill="0" applyBorder="0" applyAlignment="1" applyProtection="1">
      <x:alignment horizontal="general" vertical="center" textRotation="0" wrapText="0" indent="0" relativeIndent="0" justifyLastLine="0" shrinkToFit="0" readingOrder="0"/>
      <x:protection locked="1" hidden="0"/>
    </x:xf>
    <x:xf numFmtId="172" fontId="15" fillId="3" borderId="17" xfId="0" applyNumberFormat="1" applyFill="0" applyBorder="1" applyAlignment="1" applyProtection="1">
      <x:alignment horizontal="general" vertical="center" textRotation="0" wrapText="0" indent="0" relativeIndent="0" justifyLastLine="0" shrinkToFit="0" readingOrder="0"/>
      <x:protection locked="0" hidden="0"/>
    </x:xf>
    <x:xf numFmtId="4" fontId="15" fillId="3" borderId="17" xfId="0" applyNumberFormat="1" applyFill="0" applyBorder="1" applyAlignment="1" applyProtection="1">
      <x:alignment horizontal="general" vertical="center" textRotation="0" wrapText="0" indent="0" relativeIndent="0" justifyLastLine="0" shrinkToFit="0" readingOrder="0"/>
      <x:protection locked="0" hidden="0"/>
    </x:xf>
    <x:xf numFmtId="172" fontId="15" fillId="3" borderId="18" xfId="0" applyNumberFormat="1" applyFill="0" applyBorder="1" applyAlignment="1" applyProtection="1">
      <x:alignment horizontal="right" vertical="center" textRotation="0" wrapText="0" indent="0" relativeIndent="0" justifyLastLine="0" shrinkToFit="0" readingOrder="0"/>
      <x:protection locked="0" hidden="0"/>
    </x:xf>
    <x:xf numFmtId="172" fontId="15"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167" fontId="15" fillId="9"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49" fontId="15" fillId="3" borderId="17" xfId="0" applyNumberFormat="1" applyFill="0" applyBorder="1" applyAlignment="1" applyProtection="1">
      <x:alignment horizontal="general" vertical="center" textRotation="0" wrapText="0" indent="0" relativeIndent="0" justifyLastLine="0" shrinkToFit="0" readingOrder="0"/>
      <x:protection locked="1" hidden="0"/>
    </x:xf>
    <x:xf numFmtId="4" fontId="15" fillId="3" borderId="17" xfId="0" applyNumberFormat="1" applyFill="0" applyBorder="1" applyAlignment="1" applyProtection="1">
      <x:alignment horizontal="general" vertical="center" textRotation="0" wrapText="0" indent="0" relativeIndent="0" justifyLastLine="0" shrinkToFit="0" readingOrder="0"/>
      <x:protection locked="1" hidden="0"/>
    </x:xf>
    <x:xf numFmtId="49" fontId="15" fillId="3" borderId="18" xfId="0" applyNumberFormat="1" applyFill="0" applyBorder="1" applyAlignment="1" applyProtection="1">
      <x:alignment horizontal="right" vertical="center" textRotation="0" wrapText="0" indent="0" relativeIndent="0" justifyLastLine="0" shrinkToFit="0" readingOrder="0"/>
      <x:protection locked="1" hidden="0"/>
    </x:xf>
    <x:xf numFmtId="49" fontId="15" fillId="3" borderId="12" xfId="0" applyNumberFormat="1" applyFill="0" applyBorder="1" applyAlignment="1" applyProtection="1">
      <x:alignment horizontal="general" vertical="center" textRotation="0" wrapText="0" indent="0" relativeIndent="0" justifyLastLine="0" shrinkToFit="0" readingOrder="0"/>
      <x:protection locked="1" hidden="0"/>
    </x:xf>
    <x:xf numFmtId="49" fontId="16" fillId="3" borderId="12" xfId="0" applyNumberFormat="1" applyFill="0" applyBorder="1" applyAlignment="1" applyProtection="1">
      <x:alignment horizontal="general" vertical="center" textRotation="0" wrapText="0" indent="0" relativeIndent="0" justifyLastLine="0" shrinkToFit="0" readingOrder="0"/>
      <x:protection locked="1" hidden="0"/>
    </x:xf>
    <x:xf numFmtId="1" fontId="15" fillId="9" borderId="0" xfId="0" applyNumberFormat="1" applyFill="0" applyBorder="0" applyAlignment="1" applyProtection="1">
      <x:alignment horizontal="left" vertical="top" textRotation="0" wrapText="0" indent="0" relativeIndent="0" justifyLastLine="0" shrinkToFit="0" readingOrder="0"/>
      <x:protection locked="1" hidden="0"/>
    </x:xf>
    <x:xf numFmtId="166" fontId="15" fillId="11" borderId="0" xfId="0" applyNumberFormat="1" applyFill="0" applyBorder="0" applyAlignment="1" applyProtection="1">
      <x:alignment horizontal="left" vertical="top" textRotation="0" wrapText="0" indent="0" relativeIndent="0" justifyLastLine="0" shrinkToFit="0" readingOrder="0"/>
      <x:protection locked="1" hidden="0"/>
    </x:xf>
    <x:xf numFmtId="1" fontId="20" fillId="9" borderId="0" xfId="0" applyNumberFormat="1" applyFill="0" applyBorder="0" applyAlignment="1" applyProtection="1">
      <x:alignment horizontal="left" vertical="top" textRotation="0" wrapText="1" indent="0" relativeIndent="0" justifyLastLine="0" shrinkToFit="0" readingOrder="0"/>
      <x:protection locked="1" hidden="0"/>
    </x:xf>
    <x:xf numFmtId="166" fontId="20" fillId="11" borderId="0" xfId="0" applyNumberFormat="1" applyFill="0" applyBorder="0" applyAlignment="1" applyProtection="1">
      <x:alignment horizontal="left" vertical="top" textRotation="0" wrapText="1" indent="0" relativeIndent="0" justifyLastLine="0" shrinkToFit="0" readingOrder="0"/>
      <x:protection locked="1" hidden="0"/>
    </x:xf>
    <x:xf numFmtId="1" fontId="15" fillId="9" borderId="0" xfId="0" applyNumberFormat="1" applyFill="0" applyBorder="0" applyAlignment="1" applyProtection="1">
      <x:alignment horizontal="left" vertical="top" textRotation="0" wrapText="1" indent="0" relativeIndent="0" justifyLastLine="0" shrinkToFit="0" readingOrder="0"/>
      <x:protection locked="1" hidden="0"/>
    </x:xf>
    <x:xf numFmtId="166" fontId="15" fillId="11" borderId="0" xfId="0" applyNumberFormat="1" applyFill="0" applyBorder="0" applyAlignment="1" applyProtection="1">
      <x:alignment horizontal="left" vertical="top" textRotation="0" wrapText="1" indent="0" relativeIndent="0" justifyLastLine="0" shrinkToFit="0" readingOrder="0"/>
      <x:protection locked="1" hidden="0"/>
    </x:xf>
    <x:xf numFmtId="1" fontId="12" fillId="0" borderId="0" xfId="0" applyNumberFormat="1" applyFill="1" applyBorder="0" applyAlignment="1" applyProtection="1">
      <x:alignment horizontal="right" vertical="center" textRotation="0" wrapText="0" indent="0" relativeIndent="0" justifyLastLine="0" shrinkToFit="0" readingOrder="0"/>
      <x:protection locked="1" hidden="0"/>
    </x:xf>
    <x:xf numFmtId="0" fontId="24" fillId="0" borderId="0" xfId="0" applyNumberFormat="1" applyFill="1" applyBorder="0" applyAlignment="1" applyProtection="1">
      <x:alignment horizontal="left" vertical="bottom" textRotation="0" wrapText="0" indent="0" relativeIndent="0" justifyLastLine="0" shrinkToFit="0" readingOrder="0"/>
      <x:protection locked="1" hidden="0"/>
    </x:xf>
    <x:xf numFmtId="0" fontId="12" fillId="0" borderId="0" xfId="0" applyNumberFormat="1" applyFill="1" applyBorder="0" applyAlignment="1" applyProtection="1">
      <x:alignment horizontal="right" vertical="bottom" textRotation="0" wrapText="0" indent="0" relativeIndent="0" justifyLastLine="0" shrinkToFit="0" readingOrder="0"/>
      <x:protection locked="1" hidden="0"/>
    </x:xf>
    <x:xf numFmtId="166" fontId="33" fillId="11" borderId="0" xfId="0" applyNumberFormat="1" applyFill="0" applyBorder="0" applyAlignment="1" applyProtection="1">
      <x:alignment horizontal="general" vertical="bottom" textRotation="0" wrapText="0" indent="0" relativeIndent="0" justifyLastLine="0" shrinkToFit="0" readingOrder="0"/>
      <x:protection locked="1" hidden="0"/>
    </x:xf>
    <x:xf numFmtId="49" fontId="15" fillId="9" borderId="12" xfId="0" applyNumberFormat="1" applyFill="0" applyBorder="1" applyAlignment="1" applyProtection="1">
      <x:alignment horizontal="right" vertical="center" textRotation="0" wrapText="0" indent="0" relativeIndent="0" justifyLastLine="0" shrinkToFit="0" readingOrder="0"/>
      <x:protection locked="1" hidden="0"/>
    </x:xf>
    <x:xf numFmtId="0" fontId="26" fillId="10" borderId="21"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22"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26" xfId="0" applyNumberFormat="1" applyFill="0" applyBorder="1" applyAlignment="1" applyProtection="1">
      <x:alignment horizontal="left" vertical="bottom" textRotation="0" wrapText="0" indent="0" relativeIndent="0" justifyLastLine="0" shrinkToFit="0" readingOrder="0"/>
      <x:protection locked="0" hidden="0"/>
    </x:xf>
    <x:xf numFmtId="0" fontId="26" fillId="10" borderId="14" xfId="0" applyNumberFormat="1" applyFill="0" applyBorder="1" applyAlignment="1" applyProtection="1">
      <x:alignment horizontal="left" vertical="bottom" textRotation="0" wrapText="0" indent="0" relativeIndent="0" justifyLastLine="0" shrinkToFit="0" readingOrder="0"/>
      <x:protection locked="0" hidden="0"/>
    </x:xf>
    <x:xf numFmtId="172" fontId="26" fillId="10" borderId="14" xfId="0" applyNumberFormat="1" applyFill="0" applyBorder="1" applyAlignment="1" applyProtection="1">
      <x:alignment horizontal="left" vertical="bottom" textRotation="0" wrapText="0" indent="0" relativeIndent="0" justifyLastLine="0" shrinkToFit="0" readingOrder="0"/>
      <x:protection locked="0" hidden="0"/>
    </x:xf>
    <x:xf numFmtId="172" fontId="26" fillId="10" borderId="15" xfId="0" applyNumberFormat="1" applyFill="0" applyBorder="1" applyAlignment="1" applyProtection="1">
      <x:alignment horizontal="left" vertical="bottom" textRotation="0" wrapText="0" indent="0" relativeIndent="0" justifyLastLine="0" shrinkToFit="0" readingOrder="0"/>
      <x:protection locked="0" hidden="0"/>
    </x:xf>
    <x:xf numFmtId="167" fontId="26" fillId="10" borderId="19" xfId="0" applyNumberFormat="1" applyFill="0" applyBorder="1" applyAlignment="1" applyProtection="1">
      <x:alignment horizontal="left" vertical="bottom" textRotation="0" wrapText="0" indent="0" relativeIndent="0" justifyLastLine="0" shrinkToFit="0" readingOrder="0"/>
      <x:protection locked="1" hidden="0"/>
    </x:xf>
    <x:xf numFmtId="49" fontId="16" fillId="3" borderId="21" xfId="0" applyNumberFormat="1" applyFill="0" applyBorder="1" applyAlignment="1" applyProtection="1">
      <x:alignment horizontal="left" vertical="center" textRotation="0" wrapText="0" indent="0" relativeIndent="0" justifyLastLine="0" shrinkToFit="0" readingOrder="0"/>
      <x:protection locked="0" hidden="0"/>
    </x:xf>
    <x:xf numFmtId="49" fontId="16" fillId="3" borderId="22" xfId="0" applyNumberFormat="1" applyFill="0" applyBorder="1" applyAlignment="1" applyProtection="1">
      <x:alignment horizontal="left" vertical="center" textRotation="0" wrapText="0" indent="0" relativeIndent="0" justifyLastLine="0" shrinkToFit="0" readingOrder="0"/>
      <x:protection locked="0" hidden="0"/>
    </x:xf>
    <x:xf numFmtId="166" fontId="16" fillId="11" borderId="0" xfId="0" applyNumberFormat="1" applyFill="0" applyBorder="0" applyAlignment="1" applyProtection="1">
      <x:alignment horizontal="left" vertical="center" textRotation="0" wrapText="0" indent="0" relativeIndent="0" justifyLastLine="0" shrinkToFit="0" readingOrder="0"/>
      <x:protection locked="0" hidden="0"/>
    </x:xf>
    <x:xf numFmtId="0" fontId="3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5"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24" fillId="0" borderId="24" xfId="0" applyNumberFormat="1" applyFill="1" applyBorder="1" applyAlignment="1" applyProtection="1">
      <x:alignment horizontal="general" vertical="bottom" textRotation="0" wrapText="0" indent="0" relativeIndent="0" justifyLastLine="0" shrinkToFit="0" readingOrder="0"/>
      <x:protection locked="1" hidden="0"/>
    </x:xf>
    <x:xf numFmtId="168" fontId="15" fillId="9" borderId="20" xfId="0" applyNumberFormat="1" applyFill="0" applyBorder="1" applyAlignment="1" applyProtection="1">
      <x:alignment horizontal="left" vertical="center" textRotation="0" wrapText="0" indent="0" relativeIndent="0" justifyLastLine="0" shrinkToFit="0" readingOrder="0"/>
      <x:protection locked="1" hidden="0"/>
    </x:xf>
    <x:xf numFmtId="0" fontId="24" fillId="0" borderId="23" xfId="0" applyNumberFormat="1" applyFill="1" applyBorder="1" applyAlignment="1" applyProtection="1">
      <x:alignment horizontal="general" vertical="bottom" textRotation="0" wrapText="0" indent="0" relativeIndent="0" justifyLastLine="0" shrinkToFit="0" readingOrder="0"/>
      <x:protection locked="1" hidden="0"/>
    </x:xf>
    <x:xf numFmtId="168" fontId="15" fillId="9" borderId="12" xfId="0" applyNumberFormat="1" applyFill="0" applyBorder="1" applyAlignment="1" applyProtection="1">
      <x:alignment horizontal="left" vertical="center" textRotation="0" wrapText="0" indent="0" relativeIndent="0" justifyLastLine="0" shrinkToFit="0" readingOrder="0"/>
      <x:protection locked="1" hidden="0"/>
    </x:xf>
    <x:xf numFmtId="1" fontId="24"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1"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3"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6"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9" fontId="35"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44" fontId="35" fillId="4" borderId="0" xfId="0" applyNumberFormat="1" applyFill="0" applyBorder="0" applyAlignment="1" applyProtection="1">
      <x:alignment horizontal="general" vertical="bottom" textRotation="0" wrapText="0" indent="0" relativeIndent="0" justifyLastLine="0" shrinkToFit="0" readingOrder="0"/>
      <x:protection locked="1" hidden="0"/>
    </x:xf>
    <x:xf numFmtId="44" fontId="36" fillId="4" borderId="0" xfId="0" applyNumberFormat="1" applyFill="0" applyBorder="0" applyAlignment="1" applyProtection="1">
      <x:alignment horizontal="general" vertical="bottom" textRotation="0" wrapText="1" indent="0" relativeIndent="0" justifyLastLine="0" shrinkToFit="0" readingOrder="0"/>
      <x:protection locked="1" hidden="0"/>
    </x:xf>
    <x:xf numFmtId="44" fontId="36" fillId="4" borderId="0" xfId="0" applyNumberFormat="1" applyFill="0" applyBorder="0" applyAlignment="1" applyProtection="1">
      <x:alignment horizontal="general" vertical="bottom" textRotation="0" wrapText="0" indent="0" relativeIndent="0" justifyLastLine="0" shrinkToFit="0" readingOrder="0"/>
      <x:protection locked="1" hidden="0"/>
    </x:xf>
    <x:xf numFmtId="165" fontId="14" fillId="6" borderId="19" xfId="0" applyNumberFormat="1" applyFill="0" applyBorder="1" applyAlignment="1" applyProtection="1">
      <x:alignment horizontal="left" vertical="center" textRotation="0" wrapText="1" indent="0" relativeIndent="0" justifyLastLine="0" shrinkToFit="0" readingOrder="0"/>
      <x:protection locked="1" hidden="0"/>
    </x:xf>
    <x:xf numFmtId="0" fontId="24" fillId="9" borderId="19" xfId="0" applyNumberFormat="1" applyFill="0" applyBorder="1" applyAlignment="1" applyProtection="1">
      <x:alignment horizontal="left" vertical="center" textRotation="0" wrapText="0" indent="0" relativeIndent="0" justifyLastLine="0" shrinkToFit="0" readingOrder="0"/>
      <x:protection locked="1" hidden="0"/>
    </x:xf>
    <x:xf numFmtId="0" fontId="17" fillId="10" borderId="21" xfId="0" applyNumberFormat="1" applyFill="0" applyBorder="1" applyAlignment="1" applyProtection="1">
      <x:alignment horizontal="left" vertical="top" textRotation="0" wrapText="0" indent="0" relativeIndent="0" justifyLastLine="0" shrinkToFit="0" readingOrder="0"/>
      <x:protection locked="0" hidden="0"/>
    </x:xf>
    <x:xf numFmtId="0" fontId="26" fillId="10" borderId="22" xfId="0" applyNumberFormat="1" applyFill="0" applyBorder="1" applyAlignment="1" applyProtection="1">
      <x:alignment horizontal="left" vertical="top" textRotation="0" wrapText="0" indent="0" relativeIndent="0" justifyLastLine="0" shrinkToFit="0" readingOrder="0"/>
      <x:protection locked="0" hidden="0"/>
    </x:xf>
    <x:xf numFmtId="0" fontId="17" fillId="10" borderId="26" xfId="0" applyNumberFormat="1" applyFill="0" applyBorder="1" applyAlignment="1" applyProtection="1">
      <x:alignment horizontal="left" vertical="top" textRotation="0" wrapText="0" indent="0" relativeIndent="0" justifyLastLine="0" shrinkToFit="0" readingOrder="0"/>
      <x:protection locked="0" hidden="0"/>
    </x:xf>
    <x:xf numFmtId="166" fontId="17" fillId="11" borderId="0" xfId="0" applyNumberFormat="1" applyFill="0" applyBorder="0" applyAlignment="1" applyProtection="1">
      <x:alignment horizontal="left" vertical="top" textRotation="0" wrapText="0" indent="0" relativeIndent="0" justifyLastLine="0" shrinkToFit="0" readingOrder="0"/>
      <x:protection locked="0" hidden="0"/>
    </x:xf>
    <x:xf numFmtId="1" fontId="20" fillId="9" borderId="0" xfId="0" applyNumberFormat="1" applyFill="0" applyBorder="0" applyAlignment="1" applyProtection="1">
      <x:alignment horizontal="left" vertical="top" textRotation="0" wrapText="0" indent="0" relativeIndent="0" justifyLastLine="0" shrinkToFit="0" readingOrder="0"/>
      <x:protection locked="1" hidden="0"/>
    </x:xf>
    <x:xf numFmtId="166" fontId="20" fillId="11" borderId="0" xfId="0" applyNumberFormat="1" applyFill="0" applyBorder="0" applyAlignment="1" applyProtection="1">
      <x:alignment horizontal="left" vertical="top" textRotation="0" wrapText="0" indent="0" relativeIndent="0" justifyLastLine="0" shrinkToFit="0" readingOrder="0"/>
      <x:protection locked="1" hidden="0"/>
    </x:xf>
    <x:xf numFmtId="1" fontId="15" fillId="9" borderId="0" xfId="0" applyNumberFormat="1" applyFill="0" applyBorder="0" applyAlignment="1" applyProtection="1">
      <x:alignment horizontal="general" vertical="center" textRotation="0" wrapText="1" indent="0" relativeIndent="0" justifyLastLine="0" shrinkToFit="0" readingOrder="0"/>
      <x:protection locked="1" hidden="0"/>
    </x:xf>
    <x:xf numFmtId="166" fontId="15" fillId="11" borderId="0" xfId="0" applyNumberFormat="1" applyFill="0" applyBorder="0" applyAlignment="1" applyProtection="1">
      <x:alignment horizontal="general" vertical="center" textRotation="0" wrapText="1" indent="0" relativeIndent="0" justifyLastLine="0" shrinkToFit="0" readingOrder="0"/>
      <x:protection locked="1" hidden="0"/>
    </x:xf>
    <x:xf numFmtId="49" fontId="15" fillId="3" borderId="18" xfId="0" applyNumberFormat="1" applyFill="0" applyBorder="1" applyAlignment="1" applyProtection="1">
      <x:alignment horizontal="right" vertical="center" textRotation="0" wrapText="0" indent="0" relativeIndent="0" justifyLastLine="0" shrinkToFit="0" readingOrder="0"/>
      <x:protection locked="0" hidden="0"/>
    </x:xf>
    <x:xf numFmtId="49" fontId="15" fillId="3" borderId="12" xfId="0" applyNumberFormat="1" applyFill="0" applyBorder="1" applyAlignment="1" applyProtection="1">
      <x:alignment horizontal="general" vertical="center" textRotation="0" wrapText="0" indent="0" relativeIndent="0" justifyLastLine="0" shrinkToFit="0" readingOrder="0"/>
      <x:protection locked="0" hidden="0"/>
    </x:xf>
    <x:xf numFmtId="0" fontId="0" fillId="0" borderId="27" xfId="0" applyNumberFormat="1" applyFill="1" applyBorder="1" applyAlignment="1" applyProtection="1">
      <x:alignment horizontal="general" vertical="bottom" textRotation="0" wrapText="0" indent="0" relativeIndent="0" justifyLastLine="0" shrinkToFit="0" readingOrder="0"/>
      <x:protection locked="1" hidden="0"/>
    </x:xf>
    <x:xf numFmtId="49" fontId="0" fillId="0" borderId="0" xfId="0" applyNumberFormat="1" applyFill="1" applyBorder="0" applyAlignment="1" applyProtection="1">
      <x:alignment horizontal="general" vertical="bottom" textRotation="0" wrapText="0" indent="0" relativeIndent="0" justifyLastLine="0" shrinkToFit="0" readingOrder="0"/>
      <x:protection locked="1" hidden="0"/>
    </x:xf>
    <x:xf numFmtId="0" fontId="0" fillId="0" borderId="28" xfId="0" applyNumberFormat="1" applyFill="1" applyBorder="1" applyAlignment="1" applyProtection="1">
      <x:alignment horizontal="general" vertical="bottom" textRotation="0" wrapText="0" indent="0" relativeIndent="0" justifyLastLine="0" shrinkToFit="0" readingOrder="0"/>
      <x:protection locked="1" hidden="0"/>
    </x:xf>
  </x:cellXfs>
  <x:cellStyles count="7">
    <x:cellStyle name="40% - Accent1" xfId="5" builtinId="31"/>
    <x:cellStyle name="Calculation" xfId="4" builtinId="22"/>
    <x:cellStyle name="Heading 1" xfId="1" builtinId="16"/>
    <x:cellStyle name="Heading 3" xfId="2" builtinId="18"/>
    <x:cellStyle name="Heading 4" xfId="3" builtinId="19"/>
    <x:cellStyle name="Hyperlink" xfId="6" builtinId="8"/>
    <x:cellStyle name="Normal" xfId="0" builtinId="0"/>
  </x:cellStyles>
  <x:tableStyles count="0" defaultTableStyle="TableStyleMedium2" defaultPivotStyle="PivotStyleLight16"/>
  <x:colors>
    <x:mruColors>
      <x:color rgb="FFEDF3F3"/>
      <x:color rgb="FFD6DCE0"/>
      <x:color rgb="FF9DBEC3"/>
      <x:color rgb="FF4B7279"/>
    </x:mruColors>
  </x:colors>
  <x:extLst>
    <x:ext xmlns:x14="http://schemas.microsoft.com/office/spreadsheetml/2009/9/main" uri="{EB79DEF2-80B8-43e5-95BD-54CBDDF9020C}">
      <x14:slicerStyles defaultSlicerStyle="SlicerStyleLight1"/>
    </x:ext>
    <x:ext xmlns:x15="http://schemas.microsoft.com/office/spreadsheetml/2010/11/main" uri="{9260A510-F301-46a8-8635-F512D64BE5F5}">
      <x15:timelineStyles defaultTimelineStyle="TimeSlicerStyleLight1"/>
    </x:ext>
  </x:extLst>
</x: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38100" y="57150"/>
          <a:ext cx="1700784" cy="48689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Type="http://schemas.openxmlformats.org/officeDocument/2006/relationships/drawing" Target="../drawings/drawing1.xml" Id="rId3" /><Relationship Type="http://schemas.openxmlformats.org/officeDocument/2006/relationships/printerSettings" Target="../printerSettings/printerSettings1.bin" Id="rId2" /><Relationship Type="http://schemas.openxmlformats.org/officeDocument/2006/relationships/hyperlink" Target="mailto:seachef@seachef.com" TargetMode="External" Id="rId8" /></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x:worksheet xmlns:x14="http://schemas.microsoft.com/office/spreadsheetml/2009/9/main" xmlns:xm="http://schemas.microsoft.com/office/excel/2006/main"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outlinePr summaryBelow="1" summaryRight="1"/>
  </x:sheetPr>
  <x:dimension ref="A1:W58"/>
  <x:sheetViews>
    <x:sheetView showGridLines="0" tabSelected="1" zoomScale="90" zoomScaleNormal="90" workbookViewId="0">
      <x:selection activeCell="U3" sqref="U3 U3:U3"/>
    </x:sheetView>
  </x:sheetViews>
  <x:sheetFormatPr defaultColWidth="9.140625" defaultRowHeight="15" x14ac:dyDescent="0.25"/>
  <x:cols>
    <x:col min="1" max="1" width="7" style="147" customWidth="1"/>
    <x:col min="2" max="2" width="4.855469" style="147" hidden="1" customWidth="1"/>
    <x:col min="3" max="3" width="14.140625" style="147" customWidth="1"/>
    <x:col min="4" max="4" width="27.425781" style="147" customWidth="1"/>
    <x:col min="5" max="5" width="16.710938" style="147" hidden="1" customWidth="1"/>
    <x:col min="6" max="6" width="12.710938" style="147" customWidth="1"/>
    <x:col min="7" max="7" width="9.425781" style="147" customWidth="1"/>
    <x:col min="8" max="9" width="7.425781" style="147" customWidth="1"/>
    <x:col min="10" max="10" width="12.285156" style="147" customWidth="1"/>
    <x:col min="11" max="11" width="9.285156" style="147" customWidth="1"/>
    <x:col min="12" max="12" width="2.425781" style="147" hidden="1" customWidth="1"/>
    <x:col min="13" max="13" width="13.855469" style="147" customWidth="1"/>
    <x:col min="14" max="14" width="9.855469" style="147" customWidth="1"/>
    <x:col min="15" max="15" width="8.425781" style="147" customWidth="1"/>
    <x:col min="16" max="16" width="15.285156" style="147" customWidth="1"/>
    <x:col min="17" max="17" width="24.140625" style="147" customWidth="1"/>
    <x:col min="18" max="18" width="8.855469" style="147" hidden="1" customWidth="1"/>
    <x:col min="19" max="19" width="18.570312" style="147" customWidth="1"/>
    <x:col min="20" max="20" width="9.140625" style="147" hidden="1" customWidth="1"/>
    <x:col min="21" max="21" width="9.140625" style="148" customWidth="1"/>
    <x:col min="22" max="22" width="9.140625" style="147" customWidth="1"/>
    <x:col min="23" max="23" width="9.140625" style="147" hidden="1" customWidth="1"/>
    <x:col min="24" max="16384" width="9.140625" style="147" customWidth="1"/>
  </x:cols>
  <x:sheetData>
    <x:row r="1" spans="1:23" customFormat="1" ht="51" customHeight="1" x14ac:dyDescent="0.75">
      <x:c r="A1" s="150" t="s"/>
      <x:c r="B1" s="150" t="s"/>
      <x:c r="C1" s="150" t="s"/>
      <x:c r="D1" s="151" t="s"/>
      <x:c r="E1" s="152" t="s"/>
      <x:c r="F1" s="152" t="s"/>
      <x:c r="G1" s="152" t="s"/>
      <x:c r="H1" s="151" t="s"/>
      <x:c r="I1" s="151" t="s"/>
      <x:c r="J1" s="151" t="s"/>
      <x:c r="K1" s="152" t="s"/>
      <x:c r="L1" s="152" t="s"/>
      <x:c r="M1" s="153" t="s">
        <x:v>0</x:v>
      </x:c>
      <x:c r="N1" s="154" t="s"/>
      <x:c r="O1" s="154" t="s"/>
      <x:c r="P1" s="154" t="s"/>
      <x:c r="Q1" s="154" t="s"/>
      <x:c r="R1" s="154" t="s"/>
      <x:c r="S1" s="154" t="s"/>
      <x:c r="T1" s="154" t="s"/>
      <x:c r="U1" s="155" t="s"/>
    </x:row>
    <x:row r="2" spans="1:23" customFormat="1" ht="5.25" customHeight="1" x14ac:dyDescent="0.25">
      <x:c r="U2" s="148" t="s"/>
    </x:row>
    <x:row r="3" spans="1:23" customFormat="1" ht="15.75" customHeight="1" thickBot="1" x14ac:dyDescent="0.35">
      <x:c r="A3" s="149" t="s">
        <x:v>1</x:v>
      </x:c>
      <x:c r="B3" s="149" t="s"/>
      <x:c r="C3" s="149" t="s"/>
      <x:c r="D3" s="149" t="s"/>
      <x:c r="E3" s="149" t="s"/>
      <x:c r="U3" s="148" t="s"/>
    </x:row>
    <x:row r="4" spans="1:23" customFormat="1" ht="22.5" customHeight="1" thickTop="1" thickBot="1" x14ac:dyDescent="0.3">
      <x:c r="A4" s="156" t="s">
        <x:v>2</x:v>
      </x:c>
      <x:c r="B4" s="156" t="s"/>
      <x:c r="C4" s="156" t="s"/>
      <x:c r="D4" s="156" t="s"/>
      <x:c r="E4" s="156" t="s"/>
      <x:c r="F4" s="156" t="s"/>
      <x:c r="G4" s="156" t="s"/>
      <x:c r="H4" s="157" t="s"/>
      <x:c r="I4" s="157" t="s"/>
      <x:c r="J4" s="157" t="s"/>
      <x:c r="M4" s="158" t="s">
        <x:v>3</x:v>
      </x:c>
      <x:c r="N4" s="158" t="s"/>
      <x:c r="O4" s="159" t="s">
        <x:v>4</x:v>
      </x:c>
      <x:c r="P4" s="159" t="s"/>
      <x:c r="Q4" s="159" t="s"/>
      <x:c r="R4" s="157" t="s"/>
      <x:c r="S4" s="157" t="s"/>
      <x:c r="T4" s="157" t="s"/>
      <x:c r="U4" s="160" t="s"/>
    </x:row>
    <x:row r="5" spans="1:23" customFormat="1" ht="13.5" customHeight="1" thickBot="1" x14ac:dyDescent="0.3">
      <x:c r="A5" s="107" t="s">
        <x:v>5</x:v>
      </x:c>
      <x:c r="B5" s="107" t="s"/>
      <x:c r="C5" s="107" t="s"/>
      <x:c r="D5" s="107" t="s"/>
      <x:c r="E5" s="107" t="s"/>
      <x:c r="F5" s="107" t="s"/>
      <x:c r="G5" s="107" t="s"/>
      <x:c r="H5" s="100" t="s"/>
      <x:c r="I5" s="100" t="s"/>
      <x:c r="J5" s="100" t="s"/>
      <x:c r="L5" s="151" t="s"/>
      <x:c r="M5" s="110" t="s">
        <x:v>6</x:v>
      </x:c>
      <x:c r="N5" s="110" t="s"/>
      <x:c r="O5" s="159" t="s">
        <x:v>7</x:v>
      </x:c>
      <x:c r="P5" s="159" t="s"/>
      <x:c r="Q5" s="159" t="s"/>
      <x:c r="R5" s="157" t="s"/>
      <x:c r="S5" s="157" t="s"/>
      <x:c r="T5" s="157" t="s"/>
      <x:c r="U5" s="160" t="s"/>
    </x:row>
    <x:row r="6" spans="1:23" customFormat="1" ht="13.5" customHeight="1" thickBot="1" x14ac:dyDescent="0.3">
      <x:c r="A6" s="161" t="s">
        <x:v>8</x:v>
      </x:c>
      <x:c r="B6" s="161" t="s"/>
      <x:c r="C6" s="161" t="s"/>
      <x:c r="D6" s="161" t="s"/>
      <x:c r="E6" s="161" t="s"/>
      <x:c r="F6" s="161" t="s"/>
      <x:c r="G6" s="161" t="s"/>
      <x:c r="H6" s="162" t="s"/>
      <x:c r="I6" s="162" t="s"/>
      <x:c r="J6" s="162" t="s"/>
      <x:c r="K6" s="163" t="s"/>
      <x:c r="L6" s="163" t="s"/>
      <x:c r="M6" s="158" t="s">
        <x:v>9</x:v>
      </x:c>
      <x:c r="N6" s="158" t="s"/>
      <x:c r="O6" s="164">
        <x:v>43686</x:v>
      </x:c>
      <x:c r="P6" s="164" t="s"/>
      <x:c r="Q6" s="164" t="s"/>
      <x:c r="R6" s="157" t="s"/>
      <x:c r="S6" s="157" t="s"/>
      <x:c r="T6" s="157" t="s"/>
      <x:c r="U6" s="160" t="s"/>
    </x:row>
    <x:row r="7" spans="1:23" customFormat="1" ht="13.5" customHeight="1" thickBot="1" x14ac:dyDescent="0.3">
      <x:c r="A7" s="165" t="s">
        <x:v>10</x:v>
      </x:c>
      <x:c r="B7" s="165" t="s"/>
      <x:c r="C7" s="165" t="s"/>
      <x:c r="D7" s="165" t="s"/>
      <x:c r="E7" s="165" t="s"/>
      <x:c r="F7" s="165" t="s"/>
      <x:c r="G7" s="165" t="s"/>
      <x:c r="H7" s="162" t="s"/>
      <x:c r="I7" s="162" t="s"/>
      <x:c r="J7" s="162" t="s"/>
      <x:c r="K7" s="163" t="s"/>
      <x:c r="L7" s="163" t="s"/>
      <x:c r="M7" s="158" t="s"/>
      <x:c r="N7" s="158" t="s"/>
      <x:c r="O7" s="114" t="s"/>
      <x:c r="P7" s="114" t="s"/>
      <x:c r="Q7" s="114" t="s"/>
      <x:c r="R7" s="114" t="s"/>
      <x:c r="S7" s="157" t="s"/>
      <x:c r="T7" s="157" t="s"/>
      <x:c r="U7" s="160" t="s"/>
    </x:row>
    <x:row r="8" spans="1:23" customFormat="1" ht="13.5" customHeight="1" thickBot="1" x14ac:dyDescent="0.3">
      <x:c r="A8" s="165" t="s">
        <x:v>11</x:v>
      </x:c>
      <x:c r="B8" s="165" t="s"/>
      <x:c r="C8" s="165" t="s"/>
      <x:c r="D8" s="165" t="s"/>
      <x:c r="E8" s="165" t="s"/>
      <x:c r="F8" s="165" t="s"/>
      <x:c r="G8" s="165" t="s"/>
      <x:c r="H8" s="162" t="s"/>
      <x:c r="I8" s="162" t="s"/>
      <x:c r="J8" s="162" t="s"/>
      <x:c r="K8" s="166" t="s"/>
      <x:c r="L8" s="166" t="s"/>
      <x:c r="M8" s="158" t="s">
        <x:v>12</x:v>
      </x:c>
      <x:c r="N8" s="158" t="s"/>
      <x:c r="O8" s="167">
        <x:v>43686</x:v>
      </x:c>
      <x:c r="P8" s="167" t="s"/>
      <x:c r="Q8" s="157" t="s"/>
      <x:c r="R8" s="168" t="s"/>
      <x:c r="S8" s="168" t="s"/>
      <x:c r="T8" s="168" t="s"/>
      <x:c r="U8" s="169" t="s"/>
    </x:row>
    <x:row r="9" spans="1:23" customFormat="1" ht="15" customHeight="1" thickBot="1" x14ac:dyDescent="0.3">
      <x:c r="A9" s="165" t="s">
        <x:v>13</x:v>
      </x:c>
      <x:c r="B9" s="165" t="s"/>
      <x:c r="C9" s="165" t="s"/>
      <x:c r="D9" s="165" t="s"/>
      <x:c r="E9" s="165" t="s"/>
      <x:c r="F9" s="165" t="s"/>
      <x:c r="G9" s="165" t="s"/>
      <x:c r="H9" s="170" t="s"/>
      <x:c r="I9" s="171" t="s"/>
      <x:c r="J9" s="166" t="s"/>
      <x:c r="K9" s="166" t="s"/>
      <x:c r="L9" s="172" t="s">
        <x:v>14</x:v>
      </x:c>
      <x:c r="M9" s="172" t="s"/>
      <x:c r="N9" s="114" t="s"/>
      <x:c r="O9" s="114" t="s">
        <x:v>15</x:v>
      </x:c>
      <x:c r="P9" s="114" t="s"/>
      <x:c r="Q9" s="114" t="s"/>
      <x:c r="R9" s="168" t="s"/>
      <x:c r="S9" s="168" t="s"/>
    </x:row>
    <x:row r="10" spans="1:23" customFormat="1" ht="15" customHeight="1" thickBot="1" x14ac:dyDescent="0.3">
      <x:c r="A10" s="173" t="s">
        <x:v>16</x:v>
      </x:c>
      <x:c r="B10" s="173" t="s">
        <x:v>16</x:v>
      </x:c>
      <x:c r="C10" s="174" t="s">
        <x:v>17</x:v>
      </x:c>
      <x:c r="D10" s="165" t="s"/>
      <x:c r="E10" s="165" t="s"/>
      <x:c r="F10" s="162" t="s"/>
      <x:c r="G10" s="162" t="s"/>
      <x:c r="H10" s="162" t="s"/>
      <x:c r="I10" s="162" t="s"/>
      <x:c r="J10" s="162" t="s"/>
      <x:c r="K10" s="166" t="s"/>
      <x:c r="L10" s="166" t="s"/>
      <x:c r="M10" s="175" t="s">
        <x:v>18</x:v>
      </x:c>
      <x:c r="N10" s="175" t="s"/>
      <x:c r="O10" s="164">
        <x:v>43691.5</x:v>
      </x:c>
      <x:c r="P10" s="164" t="s"/>
      <x:c r="Q10" s="172" t="s"/>
      <x:c r="R10" s="168" t="s"/>
      <x:c r="S10" s="168" t="s"/>
      <x:c r="T10" s="168" t="s"/>
      <x:c r="U10" s="169" t="s"/>
    </x:row>
    <x:row r="11" spans="1:23" customFormat="1" ht="15" customHeight="1" thickBot="1" x14ac:dyDescent="0.3">
      <x:c r="A11" s="106" t="s">
        <x:v>19</x:v>
      </x:c>
      <x:c r="B11" s="162" t="s"/>
      <x:c r="C11" s="127" t="s">
        <x:v>20</x:v>
      </x:c>
      <x:c r="D11" s="127" t="s"/>
      <x:c r="E11" s="127" t="s"/>
      <x:c r="F11" s="127" t="s"/>
      <x:c r="G11" s="127" t="s"/>
      <x:c r="H11" s="162" t="s"/>
      <x:c r="I11" s="162" t="s"/>
      <x:c r="J11" s="162" t="s"/>
      <x:c r="K11" s="166" t="s"/>
      <x:c r="L11" s="166" t="s"/>
      <x:c r="M11" s="175" t="s">
        <x:v>21</x:v>
      </x:c>
      <x:c r="N11" s="175" t="s"/>
      <x:c r="O11" s="176" t="s">
        <x:v>22</x:v>
      </x:c>
      <x:c r="P11" s="177" t="s">
        <x:v>23</x:v>
      </x:c>
      <x:c r="Q11" s="178" t="n">
        <x:v>5</x:v>
      </x:c>
      <x:c r="R11" s="168" t="s"/>
      <x:c r="S11" s="168" t="s"/>
      <x:c r="T11" s="168" t="s"/>
      <x:c r="U11" s="169" t="s"/>
    </x:row>
    <x:row r="12" spans="1:23" customFormat="1" ht="15.75" customHeight="1" thickBot="1" x14ac:dyDescent="0.3">
      <x:c r="A12" s="125" t="s">
        <x:v>24</x:v>
      </x:c>
      <x:c r="B12" s="125" t="s"/>
      <x:c r="C12" s="125" t="s"/>
      <x:c r="D12" s="125" t="s"/>
      <x:c r="E12" s="179" t="s"/>
      <x:c r="F12" s="179" t="s"/>
      <x:c r="G12" s="179" t="s"/>
      <x:c r="H12" s="179" t="s"/>
      <x:c r="I12" s="179" t="s"/>
      <x:c r="J12" s="179" t="s"/>
      <x:c r="K12" s="163" t="s"/>
      <x:c r="L12" s="163" t="s"/>
      <x:c r="M12" s="158" t="s">
        <x:v>25</x:v>
      </x:c>
      <x:c r="N12" s="158" t="s"/>
      <x:c r="O12" s="180" t="s"/>
      <x:c r="P12" s="181" t="s"/>
      <x:c r="Q12" s="182" t="s"/>
      <x:c r="R12" s="168" t="s"/>
      <x:c r="S12" s="168" t="s"/>
      <x:c r="T12" s="168" t="s"/>
      <x:c r="U12" s="169" t="s"/>
    </x:row>
    <x:row r="13" spans="1:23" customFormat="1" ht="15.75" customHeight="1" thickBot="1" x14ac:dyDescent="0.3">
      <x:c r="A13" s="110" t="s">
        <x:v>26</x:v>
      </x:c>
      <x:c r="B13" s="110" t="s"/>
      <x:c r="C13" s="110" t="s"/>
      <x:c r="D13" s="159" t="s">
        <x:v>27</x:v>
      </x:c>
      <x:c r="E13" s="159" t="s"/>
      <x:c r="F13" s="159" t="s"/>
      <x:c r="G13" s="159" t="s"/>
      <x:c r="H13" s="159" t="s"/>
      <x:c r="I13" s="159" t="s"/>
      <x:c r="J13" s="159" t="s"/>
      <x:c r="K13" s="163" t="s"/>
      <x:c r="L13" s="163" t="s"/>
      <x:c r="M13" s="183" t="s"/>
      <x:c r="N13" s="183" t="s"/>
      <x:c r="O13" s="184" t="s"/>
      <x:c r="P13" s="184" t="s"/>
      <x:c r="Q13" s="184" t="s"/>
      <x:c r="R13" s="184" t="s"/>
      <x:c r="S13" s="168" t="s"/>
      <x:c r="T13" s="168" t="s"/>
      <x:c r="U13" s="169" t="s"/>
    </x:row>
    <x:row r="14" spans="1:23" customFormat="1" ht="16.5" customHeight="1" thickBot="1" x14ac:dyDescent="0.3">
      <x:c r="A14" s="110" t="s">
        <x:v>28</x:v>
      </x:c>
      <x:c r="B14" s="110" t="s"/>
      <x:c r="C14" s="110" t="s"/>
      <x:c r="D14" s="159" t="s">
        <x:v>29</x:v>
      </x:c>
      <x:c r="E14" s="159" t="s"/>
      <x:c r="F14" s="159" t="s"/>
      <x:c r="G14" s="159" t="s"/>
      <x:c r="H14" s="159" t="s"/>
      <x:c r="I14" s="159" t="s"/>
      <x:c r="J14" s="159" t="s"/>
      <x:c r="K14" s="163" t="s"/>
      <x:c r="L14" s="163" t="s"/>
      <x:c r="M14" s="110" t="s">
        <x:v>30</x:v>
      </x:c>
      <x:c r="N14" s="110" t="s"/>
      <x:c r="O14" s="185" t="s">
        <x:v>31</x:v>
      </x:c>
      <x:c r="P14" s="172" t="s"/>
      <x:c r="Q14" s="186" t="s"/>
      <x:c r="R14" s="157" t="s"/>
      <x:c r="S14" s="168" t="s"/>
      <x:c r="T14" s="168" t="s"/>
      <x:c r="U14" s="169" t="s"/>
    </x:row>
    <x:row r="15" spans="1:23" customFormat="1" ht="15.75" customHeight="1" thickBot="1" x14ac:dyDescent="0.3">
      <x:c r="A15" s="110" t="s">
        <x:v>32</x:v>
      </x:c>
      <x:c r="B15" s="110" t="s"/>
      <x:c r="C15" s="110" t="s"/>
      <x:c r="D15" s="159" t="s"/>
      <x:c r="E15" s="159" t="s"/>
      <x:c r="F15" s="159" t="s"/>
      <x:c r="G15" s="159" t="s"/>
      <x:c r="H15" s="159" t="s"/>
      <x:c r="I15" s="159" t="s"/>
      <x:c r="J15" s="159" t="s"/>
      <x:c r="K15" s="163" t="s"/>
      <x:c r="L15" s="163" t="s"/>
      <x:c r="M15" s="110" t="s">
        <x:v>33</x:v>
      </x:c>
      <x:c r="N15" s="110" t="s"/>
      <x:c r="O15" s="187" t="n">
        <x:v>0</x:v>
      </x:c>
      <x:c r="P15" s="22" t="s"/>
      <x:c r="Q15" s="186" t="s">
        <x:v>34</x:v>
      </x:c>
      <x:c r="R15" s="157" t="s"/>
      <x:c r="S15" s="168" t="s"/>
      <x:c r="T15" s="168" t="s"/>
      <x:c r="U15" s="169" t="s"/>
    </x:row>
    <x:row r="16" spans="1:23" customFormat="1" ht="15.75" customHeight="1" thickBot="1" x14ac:dyDescent="0.3">
      <x:c r="A16" s="110" t="s">
        <x:v>35</x:v>
      </x:c>
      <x:c r="B16" s="110" t="s"/>
      <x:c r="C16" s="110" t="s"/>
      <x:c r="D16" s="159" t="n">
        <x:v>6562622323</x:v>
      </x:c>
      <x:c r="E16" s="159" t="s"/>
      <x:c r="F16" s="159" t="s"/>
      <x:c r="G16" s="159" t="s"/>
      <x:c r="H16" s="159" t="s"/>
      <x:c r="I16" s="159" t="s"/>
      <x:c r="J16" s="159" t="s"/>
      <x:c r="K16" s="163" t="s"/>
      <x:c r="L16" s="163" t="s"/>
      <x:c r="M16" s="110" t="s">
        <x:v>36</x:v>
      </x:c>
      <x:c r="N16" s="110" t="s"/>
      <x:c r="O16" s="187" t="n">
        <x:v>0</x:v>
      </x:c>
      <x:c r="P16" s="22" t="s"/>
      <x:c r="Q16" s="172" t="s"/>
      <x:c r="R16" s="157" t="s"/>
      <x:c r="S16" s="168" t="s"/>
      <x:c r="T16" s="168" t="s"/>
      <x:c r="U16" s="169" t="s"/>
    </x:row>
    <x:row r="17" spans="1:23" customFormat="1" ht="13.5" customHeight="1" thickBot="1" x14ac:dyDescent="0.3">
      <x:c r="A17" s="110" t="s">
        <x:v>37</x:v>
      </x:c>
      <x:c r="B17" s="110" t="s"/>
      <x:c r="C17" s="110" t="s"/>
      <x:c r="D17" s="159" t="s">
        <x:v>38</x:v>
      </x:c>
      <x:c r="E17" s="159" t="s"/>
      <x:c r="F17" s="159" t="s"/>
      <x:c r="G17" s="159" t="s"/>
      <x:c r="H17" s="159" t="s"/>
      <x:c r="I17" s="159" t="s"/>
      <x:c r="J17" s="159" t="s"/>
      <x:c r="K17" s="163" t="s"/>
      <x:c r="L17" s="163" t="s"/>
      <x:c r="M17" s="188" t="s"/>
      <x:c r="N17" s="188" t="s"/>
      <x:c r="O17" s="188" t="s"/>
      <x:c r="P17" s="188" t="s"/>
      <x:c r="Q17" s="188" t="s"/>
      <x:c r="R17" s="188" t="s"/>
      <x:c r="S17" s="188" t="s"/>
      <x:c r="T17" s="163" t="s"/>
      <x:c r="U17" s="189" t="s"/>
    </x:row>
    <x:row r="18" spans="1:23" customFormat="1" ht="13.5" customHeight="1" x14ac:dyDescent="0.25">
      <x:c r="A18" s="163" t="s"/>
      <x:c r="B18" s="163" t="s"/>
      <x:c r="C18" s="163" t="s"/>
      <x:c r="D18" s="190" t="s"/>
      <x:c r="E18" s="191" t="s"/>
      <x:c r="F18" s="191" t="s"/>
      <x:c r="G18" s="190" t="s"/>
      <x:c r="H18" s="191" t="s"/>
      <x:c r="I18" s="191" t="s"/>
      <x:c r="J18" s="191" t="s"/>
      <x:c r="K18" s="191" t="s"/>
      <x:c r="L18" s="191" t="s"/>
      <x:c r="M18" s="190" t="s"/>
      <x:c r="N18" s="192" t="s"/>
      <x:c r="O18" s="163" t="s"/>
      <x:c r="P18" s="190" t="s"/>
      <x:c r="Q18" s="193" t="s"/>
      <x:c r="R18" s="190" t="s"/>
      <x:c r="S18" s="193" t="s"/>
      <x:c r="T18" s="163" t="s"/>
      <x:c r="U18" s="189" t="s"/>
    </x:row>
    <x:row r="19" spans="1:23" customFormat="1" ht="27" customHeight="1" x14ac:dyDescent="0.25">
      <x:c r="A19" s="194" t="s">
        <x:v>39</x:v>
      </x:c>
      <x:c r="B19" s="195" t="s"/>
      <x:c r="C19" s="195" t="s">
        <x:v>40</x:v>
      </x:c>
      <x:c r="D19" s="195" t="s">
        <x:v>41</x:v>
      </x:c>
      <x:c r="E19" s="195" t="s"/>
      <x:c r="F19" s="196" t="s">
        <x:v>42</x:v>
      </x:c>
      <x:c r="G19" s="197" t="s">
        <x:v>43</x:v>
      </x:c>
      <x:c r="H19" s="197" t="s">
        <x:v>44</x:v>
      </x:c>
      <x:c r="I19" s="197" t="s">
        <x:v>45</x:v>
      </x:c>
      <x:c r="J19" s="197" t="s">
        <x:v>46</x:v>
      </x:c>
      <x:c r="K19" s="197" t="s">
        <x:v>47</x:v>
      </x:c>
      <x:c r="L19" s="197" t="str">
        <x:f> CONCATENATE("Unit Price ", "( ",Currency, " )")</x:f>
      </x:c>
      <x:c r="M19" s="197" t="s"/>
      <x:c r="N19" s="197" t="s">
        <x:v>48</x:v>
      </x:c>
      <x:c r="O19" s="197" t="s">
        <x:v>49</x:v>
      </x:c>
      <x:c r="P19" s="197" t="s">
        <x:v>50</x:v>
      </x:c>
      <x:c r="Q19" s="197" t="s">
        <x:v>51</x:v>
      </x:c>
      <x:c r="R19" s="197" t="s"/>
      <x:c r="S19" s="197" t="s">
        <x:v>52</x:v>
      </x:c>
      <x:c r="T19" s="197" t="s"/>
      <x:c r="U19" s="198" t="s"/>
    </x:row>
    <x:row r="20" spans="1:23" x14ac:dyDescent="0.25">
      <x:c r="A20" s="199" t="s"/>
      <x:c r="B20" s="199" t="n">
        <x:v>0</x:v>
      </x:c>
      <x:c r="C20" s="200" t="s">
        <x:v>53</x:v>
      </x:c>
      <x:c r="D20" s="201" t="s"/>
      <x:c r="E20" s="202" t="s"/>
      <x:c r="F20" s="200" t="s"/>
      <x:c r="G20" s="203" t="s"/>
      <x:c r="H20" s="200" t="s"/>
      <x:c r="I20" s="200" t="s"/>
      <x:c r="J20" s="202" t="s"/>
      <x:c r="K20" s="204" t="s"/>
      <x:c r="L20" s="205" t="s"/>
      <x:c r="M20" s="206" t="s"/>
      <x:c r="N20" s="202" t="s"/>
      <x:c r="O20" s="202" t="s"/>
      <x:c r="P20" s="207" t="s"/>
      <x:c r="Q20" s="208" t="s"/>
      <x:c r="R20" s="208" t="s"/>
      <x:c r="S20" s="208" t="s"/>
      <x:c r="T20" s="209" t="s"/>
      <x:c r="U20" s="210" t="s"/>
    </x:row>
    <x:row r="21" spans="1:23" x14ac:dyDescent="0.25">
      <x:c r="A21" s="76" t="n">
        <x:v>1</x:v>
      </x:c>
      <x:c r="B21" s="76" t="n">
        <x:v>5534882</x:v>
      </x:c>
      <x:c r="C21" s="77" t="s">
        <x:v>54</x:v>
      </x:c>
      <x:c r="D21" s="78" t="s">
        <x:v>55</x:v>
      </x:c>
      <x:c r="E21" s="79" t="s"/>
      <x:c r="F21" s="77" t="s"/>
      <x:c r="G21" s="92" t="n">
        <x:v>100</x:v>
      </x:c>
      <x:c r="H21" s="77" t="s">
        <x:v>56</x:v>
      </x:c>
      <x:c r="I21" s="77" t="s">
        <x:v>57</x:v>
      </x:c>
      <x:c r="J21" s="79" t="n">
        <x:v>0.57</x:v>
      </x:c>
      <x:c r="K21" s="211" t="n">
        <x:v>30</x:v>
      </x:c>
      <x:c r="L21" s="212" t="s"/>
      <x:c r="M21" s="213" t="n">
        <x:v>0.57</x:v>
      </x:c>
      <x:c r="N21" s="214" t="n">
        <x:v>0</x:v>
      </x:c>
      <x:c r="O21" s="214" t="n">
        <x:v>0</x:v>
      </x:c>
      <x:c r="P21" s="215">
        <x:f>ROUND(((K21*M21) - (K21*M21*N21/100)) + (((K21*M21) - (K21*M21*N21/100)) * O21/100), 2)</x:f>
      </x:c>
      <x:c r="Q21" s="216" t="s"/>
      <x:c r="R21" s="216" t="s"/>
      <x:c r="S21" s="81" t="s">
        <x:v>58</x:v>
      </x:c>
      <x:c r="T21" s="209" t="s"/>
      <x:c r="U21" s="210" t="s"/>
    </x:row>
    <x:row r="22" spans="1:23" x14ac:dyDescent="0.25">
      <x:c r="A22" s="76" t="n">
        <x:v>2</x:v>
      </x:c>
      <x:c r="B22" s="76" t="n">
        <x:v>5210866</x:v>
      </x:c>
      <x:c r="C22" s="77" t="s">
        <x:v>59</x:v>
      </x:c>
      <x:c r="D22" s="78" t="s">
        <x:v>60</x:v>
      </x:c>
      <x:c r="E22" s="79" t="s"/>
      <x:c r="F22" s="77" t="s"/>
      <x:c r="G22" s="92" t="n">
        <x:v>500</x:v>
      </x:c>
      <x:c r="H22" s="77" t="s">
        <x:v>56</x:v>
      </x:c>
      <x:c r="I22" s="77" t="s">
        <x:v>61</x:v>
      </x:c>
      <x:c r="J22" s="79" t="n">
        <x:v>2.78</x:v>
      </x:c>
      <x:c r="K22" s="211" t="n">
        <x:v>4</x:v>
      </x:c>
      <x:c r="L22" s="212" t="s"/>
      <x:c r="M22" s="213" t="n">
        <x:v>2.78</x:v>
      </x:c>
      <x:c r="N22" s="214" t="n">
        <x:v>0</x:v>
      </x:c>
      <x:c r="O22" s="214" t="n">
        <x:v>0</x:v>
      </x:c>
      <x:c r="P22" s="215" t="s">
        <x:f>ROUND(((K22*M22) - (K22*M22*N22/100)) + (((K22*M22) - (K22*M22*N22/100)) * O22/100), 2)</x:f>
      </x:c>
      <x:c r="Q22" s="216" t="s"/>
      <x:c r="R22" s="216" t="s"/>
      <x:c r="S22" s="81" t="s">
        <x:v>62</x:v>
      </x:c>
      <x:c r="T22" s="209" t="s"/>
      <x:c r="U22" s="210" t="s"/>
    </x:row>
    <x:row r="23" spans="1:23" x14ac:dyDescent="0.25">
      <x:c r="A23" s="76" t="n">
        <x:v>3</x:v>
      </x:c>
      <x:c r="B23" s="76" t="n">
        <x:v>5211298</x:v>
      </x:c>
      <x:c r="C23" s="77" t="s">
        <x:v>63</x:v>
      </x:c>
      <x:c r="D23" s="78" t="s">
        <x:v>64</x:v>
      </x:c>
      <x:c r="E23" s="79" t="s"/>
      <x:c r="F23" s="77" t="s"/>
      <x:c r="G23" s="92" t="n">
        <x:v>400</x:v>
      </x:c>
      <x:c r="H23" s="77" t="s">
        <x:v>56</x:v>
      </x:c>
      <x:c r="I23" s="77" t="s">
        <x:v>57</x:v>
      </x:c>
      <x:c r="J23" s="79" t="n">
        <x:v>1.13</x:v>
      </x:c>
      <x:c r="K23" s="211" t="n">
        <x:v>75</x:v>
      </x:c>
      <x:c r="L23" s="212" t="s"/>
      <x:c r="M23" s="213" t="n">
        <x:v>1.13</x:v>
      </x:c>
      <x:c r="N23" s="214" t="n">
        <x:v>0</x:v>
      </x:c>
      <x:c r="O23" s="214" t="n">
        <x:v>0</x:v>
      </x:c>
      <x:c r="P23" s="215">
        <x:f>ROUND(((K23*M23) - (K23*M23*N23/100)) + (((K23*M23) - (K23*M23*N23/100)) * O23/100), 2)</x:f>
      </x:c>
      <x:c r="Q23" s="216" t="s"/>
      <x:c r="R23" s="216" t="s"/>
      <x:c r="S23" s="81" t="s">
        <x:v>65</x:v>
      </x:c>
      <x:c r="T23" s="209" t="s"/>
      <x:c r="U23" s="210" t="s"/>
    </x:row>
    <x:row r="24" spans="1:23" x14ac:dyDescent="0.25">
      <x:c r="A24" s="76" t="n">
        <x:v>4</x:v>
      </x:c>
      <x:c r="B24" s="76" t="n">
        <x:v>5210586</x:v>
      </x:c>
      <x:c r="C24" s="77" t="s">
        <x:v>66</x:v>
      </x:c>
      <x:c r="D24" s="78" t="s">
        <x:v>67</x:v>
      </x:c>
      <x:c r="E24" s="79" t="s"/>
      <x:c r="F24" s="77" t="s"/>
      <x:c r="G24" s="92" t="n">
        <x:v>1</x:v>
      </x:c>
      <x:c r="H24" s="77" t="s">
        <x:v>68</x:v>
      </x:c>
      <x:c r="I24" s="77" t="s">
        <x:v>57</x:v>
      </x:c>
      <x:c r="J24" s="79" t="n">
        <x:v>1.06</x:v>
      </x:c>
      <x:c r="K24" s="211" t="n">
        <x:v>200</x:v>
      </x:c>
      <x:c r="L24" s="212" t="s"/>
      <x:c r="M24" s="213" t="n">
        <x:v>1.06</x:v>
      </x:c>
      <x:c r="N24" s="214" t="n">
        <x:v>0</x:v>
      </x:c>
      <x:c r="O24" s="214" t="n">
        <x:v>0</x:v>
      </x:c>
      <x:c r="P24" s="215">
        <x:f>ROUND(((K24*M24) - (K24*M24*N24/100)) + (((K24*M24) - (K24*M24*N24/100)) * O24/100), 2)</x:f>
      </x:c>
      <x:c r="Q24" s="216" t="s"/>
      <x:c r="R24" s="216" t="s"/>
      <x:c r="S24" s="81" t="s">
        <x:v>69</x:v>
      </x:c>
      <x:c r="T24" s="209" t="s"/>
      <x:c r="U24" s="210" t="s"/>
    </x:row>
    <x:row r="25" spans="1:23" x14ac:dyDescent="0.25">
      <x:c r="A25" s="76" t="n">
        <x:v>5</x:v>
      </x:c>
      <x:c r="B25" s="76" t="n">
        <x:v>5210879</x:v>
      </x:c>
      <x:c r="C25" s="77" t="s">
        <x:v>70</x:v>
      </x:c>
      <x:c r="D25" s="78" t="s">
        <x:v>71</x:v>
      </x:c>
      <x:c r="E25" s="79" t="s"/>
      <x:c r="F25" s="77" t="s"/>
      <x:c r="G25" s="92" t="n">
        <x:v>500</x:v>
      </x:c>
      <x:c r="H25" s="77" t="s">
        <x:v>56</x:v>
      </x:c>
      <x:c r="I25" s="77" t="s">
        <x:v>72</x:v>
      </x:c>
      <x:c r="J25" s="79" t="n">
        <x:v>2.99</x:v>
      </x:c>
      <x:c r="K25" s="211" t="n">
        <x:v>10</x:v>
      </x:c>
      <x:c r="L25" s="212" t="s"/>
      <x:c r="M25" s="213" t="n">
        <x:v>2.99</x:v>
      </x:c>
      <x:c r="N25" s="214" t="n">
        <x:v>0</x:v>
      </x:c>
      <x:c r="O25" s="214" t="n">
        <x:v>0</x:v>
      </x:c>
      <x:c r="P25" s="215">
        <x:f>ROUND(((K25*M25) - (K25*M25*N25/100)) + (((K25*M25) - (K25*M25*N25/100)) * O25/100), 2)</x:f>
      </x:c>
      <x:c r="Q25" s="216" t="s"/>
      <x:c r="R25" s="216" t="s"/>
      <x:c r="S25" s="81" t="s">
        <x:v>73</x:v>
      </x:c>
      <x:c r="T25" s="209" t="s"/>
      <x:c r="U25" s="210" t="s"/>
    </x:row>
    <x:row r="26" spans="1:23" x14ac:dyDescent="0.25">
      <x:c r="A26" s="76" t="n">
        <x:v>6</x:v>
      </x:c>
      <x:c r="B26" s="76" t="n">
        <x:v>5317835</x:v>
      </x:c>
      <x:c r="C26" s="77" t="s">
        <x:v>74</x:v>
      </x:c>
      <x:c r="D26" s="78" t="s">
        <x:v>75</x:v>
      </x:c>
      <x:c r="E26" s="79" t="s"/>
      <x:c r="F26" s="77" t="s"/>
      <x:c r="G26" s="92" t="n">
        <x:v>100</x:v>
      </x:c>
      <x:c r="H26" s="77" t="s">
        <x:v>56</x:v>
      </x:c>
      <x:c r="I26" s="77" t="s">
        <x:v>57</x:v>
      </x:c>
      <x:c r="J26" s="79" t="n">
        <x:v>2.06</x:v>
      </x:c>
      <x:c r="K26" s="211" t="n">
        <x:v>25</x:v>
      </x:c>
      <x:c r="L26" s="212" t="s"/>
      <x:c r="M26" s="213" t="n">
        <x:v>2.06</x:v>
      </x:c>
      <x:c r="N26" s="214" t="n">
        <x:v>0</x:v>
      </x:c>
      <x:c r="O26" s="214" t="n">
        <x:v>0</x:v>
      </x:c>
      <x:c r="P26" s="215">
        <x:f>ROUND(((K26*M26) - (K26*M26*N26/100)) + (((K26*M26) - (K26*M26*N26/100)) * O26/100), 2)</x:f>
      </x:c>
      <x:c r="Q26" s="216" t="s"/>
      <x:c r="R26" s="216" t="s"/>
      <x:c r="S26" s="81" t="s">
        <x:v>76</x:v>
      </x:c>
      <x:c r="T26" s="209" t="s"/>
      <x:c r="U26" s="210" t="s"/>
    </x:row>
    <x:row r="27" spans="1:23" x14ac:dyDescent="0.25">
      <x:c r="A27" s="76" t="n">
        <x:v>7</x:v>
      </x:c>
      <x:c r="B27" s="76" t="n">
        <x:v>7646812</x:v>
      </x:c>
      <x:c r="C27" s="77" t="s">
        <x:v>77</x:v>
      </x:c>
      <x:c r="D27" s="78" t="s">
        <x:v>78</x:v>
      </x:c>
      <x:c r="E27" s="79" t="s"/>
      <x:c r="F27" s="77" t="s"/>
      <x:c r="G27" s="92" t="n">
        <x:v>100</x:v>
      </x:c>
      <x:c r="H27" s="77" t="s">
        <x:v>56</x:v>
      </x:c>
      <x:c r="I27" s="77" t="s">
        <x:v>79</x:v>
      </x:c>
      <x:c r="J27" s="79" t="n">
        <x:v>1.38</x:v>
      </x:c>
      <x:c r="K27" s="211" t="n">
        <x:v>25</x:v>
      </x:c>
      <x:c r="L27" s="212" t="s"/>
      <x:c r="M27" s="213" t="n">
        <x:v>1.38</x:v>
      </x:c>
      <x:c r="N27" s="214" t="n">
        <x:v>0</x:v>
      </x:c>
      <x:c r="O27" s="214" t="n">
        <x:v>0</x:v>
      </x:c>
      <x:c r="P27" s="215">
        <x:f>ROUND(((K27*M27) - (K27*M27*N27/100)) + (((K27*M27) - (K27*M27*N27/100)) * O27/100), 2)</x:f>
      </x:c>
      <x:c r="Q27" s="216" t="s"/>
      <x:c r="R27" s="216" t="s"/>
      <x:c r="S27" s="81" t="s">
        <x:v>80</x:v>
      </x:c>
      <x:c r="T27" s="209" t="s"/>
      <x:c r="U27" s="210" t="s"/>
    </x:row>
    <x:row r="28" spans="1:23" x14ac:dyDescent="0.25">
      <x:c r="A28" s="76" t="n">
        <x:v>8</x:v>
      </x:c>
      <x:c r="B28" s="76" t="n">
        <x:v>7646813</x:v>
      </x:c>
      <x:c r="C28" s="77" t="s">
        <x:v>81</x:v>
      </x:c>
      <x:c r="D28" s="78" t="s">
        <x:v>82</x:v>
      </x:c>
      <x:c r="E28" s="79" t="s"/>
      <x:c r="F28" s="77" t="s"/>
      <x:c r="G28" s="92" t="n">
        <x:v>100</x:v>
      </x:c>
      <x:c r="H28" s="77" t="s">
        <x:v>56</x:v>
      </x:c>
      <x:c r="I28" s="77" t="s">
        <x:v>57</x:v>
      </x:c>
      <x:c r="J28" s="79" t="n">
        <x:v>1.8</x:v>
      </x:c>
      <x:c r="K28" s="211" t="n">
        <x:v>36</x:v>
      </x:c>
      <x:c r="L28" s="212" t="s"/>
      <x:c r="M28" s="213" t="n">
        <x:v>1.8</x:v>
      </x:c>
      <x:c r="N28" s="214" t="n">
        <x:v>0</x:v>
      </x:c>
      <x:c r="O28" s="214" t="n">
        <x:v>0</x:v>
      </x:c>
      <x:c r="P28" s="215">
        <x:f>ROUND(((K28*M28) - (K28*M28*N28/100)) + (((K28*M28) - (K28*M28*N28/100)) * O28/100), 2)</x:f>
      </x:c>
      <x:c r="Q28" s="216" t="s"/>
      <x:c r="R28" s="216" t="s"/>
      <x:c r="S28" s="81" t="s">
        <x:v>83</x:v>
      </x:c>
      <x:c r="T28" s="209" t="s"/>
      <x:c r="U28" s="210" t="s"/>
    </x:row>
    <x:row r="29" spans="1:23" x14ac:dyDescent="0.25">
      <x:c r="A29" s="76" t="n">
        <x:v>9</x:v>
      </x:c>
      <x:c r="B29" s="76" t="n">
        <x:v>5317209</x:v>
      </x:c>
      <x:c r="C29" s="77" t="s">
        <x:v>84</x:v>
      </x:c>
      <x:c r="D29" s="78" t="s">
        <x:v>85</x:v>
      </x:c>
      <x:c r="E29" s="79" t="s"/>
      <x:c r="F29" s="77" t="s"/>
      <x:c r="G29" s="92" t="n">
        <x:v>400</x:v>
      </x:c>
      <x:c r="H29" s="77" t="s">
        <x:v>56</x:v>
      </x:c>
      <x:c r="I29" s="77" t="s">
        <x:v>57</x:v>
      </x:c>
      <x:c r="J29" s="79" t="n">
        <x:v>60.88</x:v>
      </x:c>
      <x:c r="K29" s="211" t="n">
        <x:v>10</x:v>
      </x:c>
      <x:c r="L29" s="212" t="s"/>
      <x:c r="M29" s="213" t="n">
        <x:v>60.88</x:v>
      </x:c>
      <x:c r="N29" s="214" t="n">
        <x:v>0</x:v>
      </x:c>
      <x:c r="O29" s="214" t="n">
        <x:v>0</x:v>
      </x:c>
      <x:c r="P29" s="215">
        <x:f>ROUND(((K29*M29) - (K29*M29*N29/100)) + (((K29*M29) - (K29*M29*N29/100)) * O29/100), 2)</x:f>
      </x:c>
      <x:c r="Q29" s="216" t="s"/>
      <x:c r="R29" s="216" t="s"/>
      <x:c r="S29" s="81" t="s">
        <x:v>86</x:v>
      </x:c>
      <x:c r="T29" s="209" t="s"/>
      <x:c r="U29" s="210" t="s"/>
    </x:row>
    <x:row r="30" spans="1:23" x14ac:dyDescent="0.25">
      <x:c r="A30" s="76" t="n">
        <x:v>10</x:v>
      </x:c>
      <x:c r="B30" s="76" t="n">
        <x:v>5211286</x:v>
      </x:c>
      <x:c r="C30" s="77" t="s">
        <x:v>87</x:v>
      </x:c>
      <x:c r="D30" s="78" t="s">
        <x:v>88</x:v>
      </x:c>
      <x:c r="E30" s="79" t="s"/>
      <x:c r="F30" s="77" t="s"/>
      <x:c r="G30" s="92" t="n">
        <x:v>500</x:v>
      </x:c>
      <x:c r="H30" s="77" t="s">
        <x:v>56</x:v>
      </x:c>
      <x:c r="I30" s="77" t="s">
        <x:v>57</x:v>
      </x:c>
      <x:c r="J30" s="79" t="n">
        <x:v>1.6</x:v>
      </x:c>
      <x:c r="K30" s="211" t="n">
        <x:v>4</x:v>
      </x:c>
      <x:c r="L30" s="212" t="s"/>
      <x:c r="M30" s="213" t="n">
        <x:v>1.6</x:v>
      </x:c>
      <x:c r="N30" s="214" t="n">
        <x:v>0</x:v>
      </x:c>
      <x:c r="O30" s="214" t="n">
        <x:v>0</x:v>
      </x:c>
      <x:c r="P30" s="215">
        <x:f>ROUND(((K30*M30) - (K30*M30*N30/100)) + (((K30*M30) - (K30*M30*N30/100)) * O30/100), 2)</x:f>
      </x:c>
      <x:c r="Q30" s="216" t="s"/>
      <x:c r="R30" s="216" t="s"/>
      <x:c r="S30" s="81" t="s">
        <x:v>89</x:v>
      </x:c>
      <x:c r="T30" s="209" t="s"/>
      <x:c r="U30" s="210" t="s"/>
    </x:row>
    <x:row r="31" spans="1:23" x14ac:dyDescent="0.25">
      <x:c r="A31" s="76" t="n">
        <x:v>11</x:v>
      </x:c>
      <x:c r="B31" s="76" t="n">
        <x:v>5210942</x:v>
      </x:c>
      <x:c r="C31" s="77" t="s">
        <x:v>90</x:v>
      </x:c>
      <x:c r="D31" s="78" t="s">
        <x:v>91</x:v>
      </x:c>
      <x:c r="E31" s="79" t="s"/>
      <x:c r="F31" s="77" t="s"/>
      <x:c r="G31" s="92" t="n">
        <x:v>500</x:v>
      </x:c>
      <x:c r="H31" s="77" t="s">
        <x:v>56</x:v>
      </x:c>
      <x:c r="I31" s="77" t="s">
        <x:v>57</x:v>
      </x:c>
      <x:c r="J31" s="79" t="n">
        <x:v>4.54</x:v>
      </x:c>
      <x:c r="K31" s="211" t="n">
        <x:v>10</x:v>
      </x:c>
      <x:c r="L31" s="212" t="s"/>
      <x:c r="M31" s="213" t="n">
        <x:v>4.54</x:v>
      </x:c>
      <x:c r="N31" s="214" t="n">
        <x:v>0</x:v>
      </x:c>
      <x:c r="O31" s="214" t="n">
        <x:v>0</x:v>
      </x:c>
      <x:c r="P31" s="215">
        <x:f>ROUND(((K31*M31) - (K31*M31*N31/100)) + (((K31*M31) - (K31*M31*N31/100)) * O31/100), 2)</x:f>
      </x:c>
      <x:c r="Q31" s="216" t="s"/>
      <x:c r="R31" s="216" t="s"/>
      <x:c r="S31" s="81" t="s">
        <x:v>92</x:v>
      </x:c>
      <x:c r="T31" s="209" t="s"/>
      <x:c r="U31" s="210" t="s"/>
    </x:row>
    <x:row r="32" spans="1:23" x14ac:dyDescent="0.25">
      <x:c r="A32" s="76" t="n">
        <x:v>12</x:v>
      </x:c>
      <x:c r="B32" s="76" t="n">
        <x:v>5328367</x:v>
      </x:c>
      <x:c r="C32" s="77" t="s">
        <x:v>93</x:v>
      </x:c>
      <x:c r="D32" s="78" t="s">
        <x:v>94</x:v>
      </x:c>
      <x:c r="E32" s="79" t="s"/>
      <x:c r="F32" s="77" t="s"/>
      <x:c r="G32" s="92" t="n">
        <x:v>500</x:v>
      </x:c>
      <x:c r="H32" s="77" t="s">
        <x:v>56</x:v>
      </x:c>
      <x:c r="I32" s="77" t="s">
        <x:v>57</x:v>
      </x:c>
      <x:c r="J32" s="79" t="n">
        <x:v>3.4</x:v>
      </x:c>
      <x:c r="K32" s="211" t="n">
        <x:v>25</x:v>
      </x:c>
      <x:c r="L32" s="212" t="s"/>
      <x:c r="M32" s="213" t="n">
        <x:v>3.4</x:v>
      </x:c>
      <x:c r="N32" s="214" t="n">
        <x:v>0</x:v>
      </x:c>
      <x:c r="O32" s="214" t="n">
        <x:v>0</x:v>
      </x:c>
      <x:c r="P32" s="215">
        <x:f>ROUND(((K32*M32) - (K32*M32*N32/100)) + (((K32*M32) - (K32*M32*N32/100)) * O32/100), 2)</x:f>
      </x:c>
      <x:c r="Q32" s="216" t="s"/>
      <x:c r="R32" s="216" t="s"/>
      <x:c r="S32" s="81" t="s">
        <x:v>95</x:v>
      </x:c>
      <x:c r="T32" s="209" t="s"/>
      <x:c r="U32" s="210" t="s"/>
    </x:row>
    <x:row r="33" spans="1:23" x14ac:dyDescent="0.25">
      <x:c r="A33" s="76" t="n">
        <x:v>13</x:v>
      </x:c>
      <x:c r="B33" s="76" t="n">
        <x:v>5210423</x:v>
      </x:c>
      <x:c r="C33" s="77" t="s">
        <x:v>96</x:v>
      </x:c>
      <x:c r="D33" s="78" t="s">
        <x:v>97</x:v>
      </x:c>
      <x:c r="E33" s="79" t="s"/>
      <x:c r="F33" s="77" t="s"/>
      <x:c r="G33" s="92" t="n">
        <x:v>100</x:v>
      </x:c>
      <x:c r="H33" s="77" t="s">
        <x:v>56</x:v>
      </x:c>
      <x:c r="I33" s="77" t="s">
        <x:v>98</x:v>
      </x:c>
      <x:c r="J33" s="79" t="n">
        <x:v>1.03</x:v>
      </x:c>
      <x:c r="K33" s="211" t="n">
        <x:v>2</x:v>
      </x:c>
      <x:c r="L33" s="212" t="s"/>
      <x:c r="M33" s="213" t="n">
        <x:v>1.03</x:v>
      </x:c>
      <x:c r="N33" s="214" t="n">
        <x:v>0</x:v>
      </x:c>
      <x:c r="O33" s="214" t="n">
        <x:v>0</x:v>
      </x:c>
      <x:c r="P33" s="215">
        <x:f>ROUND(((K33*M33) - (K33*M33*N33/100)) + (((K33*M33) - (K33*M33*N33/100)) * O33/100), 2)</x:f>
      </x:c>
      <x:c r="Q33" s="216" t="s"/>
      <x:c r="R33" s="216" t="s"/>
      <x:c r="S33" s="81" t="s">
        <x:v>99</x:v>
      </x:c>
      <x:c r="T33" s="209" t="s"/>
      <x:c r="U33" s="210" t="s"/>
    </x:row>
    <x:row r="34" spans="1:23" x14ac:dyDescent="0.25">
      <x:c r="A34" s="76" t="n">
        <x:v>14</x:v>
      </x:c>
      <x:c r="B34" s="76" t="n">
        <x:v>5210427</x:v>
      </x:c>
      <x:c r="C34" s="77" t="s">
        <x:v>100</x:v>
      </x:c>
      <x:c r="D34" s="78" t="s">
        <x:v>101</x:v>
      </x:c>
      <x:c r="E34" s="79" t="s"/>
      <x:c r="F34" s="77" t="s"/>
      <x:c r="G34" s="92" t="n">
        <x:v>100</x:v>
      </x:c>
      <x:c r="H34" s="77" t="s">
        <x:v>56</x:v>
      </x:c>
      <x:c r="I34" s="77" t="s">
        <x:v>98</x:v>
      </x:c>
      <x:c r="J34" s="79" t="n">
        <x:v>1.03</x:v>
      </x:c>
      <x:c r="K34" s="211" t="n">
        <x:v>1</x:v>
      </x:c>
      <x:c r="L34" s="212" t="s"/>
      <x:c r="M34" s="213" t="n">
        <x:v>1.03</x:v>
      </x:c>
      <x:c r="N34" s="214" t="n">
        <x:v>0</x:v>
      </x:c>
      <x:c r="O34" s="214" t="n">
        <x:v>0</x:v>
      </x:c>
      <x:c r="P34" s="215">
        <x:f>ROUND(((K34*M34) - (K34*M34*N34/100)) + (((K34*M34) - (K34*M34*N34/100)) * O34/100), 2)</x:f>
      </x:c>
      <x:c r="Q34" s="216" t="s"/>
      <x:c r="R34" s="216" t="s"/>
      <x:c r="S34" s="81" t="s">
        <x:v>102</x:v>
      </x:c>
      <x:c r="T34" s="209" t="s"/>
      <x:c r="U34" s="210" t="s"/>
    </x:row>
    <x:row r="35" spans="1:23" x14ac:dyDescent="0.25">
      <x:c r="A35" s="76" t="n">
        <x:v>15</x:v>
      </x:c>
      <x:c r="B35" s="76" t="n">
        <x:v>5561760</x:v>
      </x:c>
      <x:c r="C35" s="77" t="s">
        <x:v>103</x:v>
      </x:c>
      <x:c r="D35" s="78" t="s">
        <x:v>104</x:v>
      </x:c>
      <x:c r="E35" s="79" t="s"/>
      <x:c r="F35" s="77" t="s"/>
      <x:c r="G35" s="92" t="n">
        <x:v>400</x:v>
      </x:c>
      <x:c r="H35" s="77" t="s">
        <x:v>56</x:v>
      </x:c>
      <x:c r="I35" s="77" t="s">
        <x:v>79</x:v>
      </x:c>
      <x:c r="J35" s="79" t="n">
        <x:v>3.14</x:v>
      </x:c>
      <x:c r="K35" s="211" t="n">
        <x:v>24</x:v>
      </x:c>
      <x:c r="L35" s="212" t="s"/>
      <x:c r="M35" s="213" t="n">
        <x:v>3.14</x:v>
      </x:c>
      <x:c r="N35" s="214" t="n">
        <x:v>0</x:v>
      </x:c>
      <x:c r="O35" s="214" t="n">
        <x:v>0</x:v>
      </x:c>
      <x:c r="P35" s="215">
        <x:f>ROUND(((K35*M35) - (K35*M35*N35/100)) + (((K35*M35) - (K35*M35*N35/100)) * O35/100), 2)</x:f>
      </x:c>
      <x:c r="Q35" s="216" t="s"/>
      <x:c r="R35" s="216" t="s"/>
      <x:c r="S35" s="81" t="s">
        <x:v>105</x:v>
      </x:c>
      <x:c r="T35" s="209" t="s"/>
      <x:c r="U35" s="210" t="s"/>
    </x:row>
    <x:row r="36" spans="1:23" x14ac:dyDescent="0.25">
      <x:c r="A36" s="76" t="n">
        <x:v>16</x:v>
      </x:c>
      <x:c r="B36" s="76" t="n">
        <x:v>5317258</x:v>
      </x:c>
      <x:c r="C36" s="77" t="s">
        <x:v>106</x:v>
      </x:c>
      <x:c r="D36" s="78" t="s">
        <x:v>107</x:v>
      </x:c>
      <x:c r="E36" s="79" t="s"/>
      <x:c r="F36" s="77" t="s"/>
      <x:c r="G36" s="92" t="n">
        <x:v>100</x:v>
      </x:c>
      <x:c r="H36" s="77" t="s">
        <x:v>56</x:v>
      </x:c>
      <x:c r="I36" s="77" t="s">
        <x:v>57</x:v>
      </x:c>
      <x:c r="J36" s="79" t="n">
        <x:v>0.7</x:v>
      </x:c>
      <x:c r="K36" s="211" t="n">
        <x:v>50</x:v>
      </x:c>
      <x:c r="L36" s="212" t="s"/>
      <x:c r="M36" s="213" t="n">
        <x:v>0.7</x:v>
      </x:c>
      <x:c r="N36" s="214" t="n">
        <x:v>0</x:v>
      </x:c>
      <x:c r="O36" s="214" t="n">
        <x:v>0</x:v>
      </x:c>
      <x:c r="P36" s="215">
        <x:f>ROUND(((K36*M36) - (K36*M36*N36/100)) + (((K36*M36) - (K36*M36*N36/100)) * O36/100), 2)</x:f>
      </x:c>
      <x:c r="Q36" s="216" t="s"/>
      <x:c r="R36" s="216" t="s"/>
      <x:c r="S36" s="81" t="s">
        <x:v>108</x:v>
      </x:c>
      <x:c r="T36" s="209" t="s"/>
      <x:c r="U36" s="210" t="s"/>
    </x:row>
    <x:row r="37" spans="1:23" x14ac:dyDescent="0.25">
      <x:c r="A37" s="76" t="n">
        <x:v>17</x:v>
      </x:c>
      <x:c r="B37" s="76" t="n">
        <x:v>5688807</x:v>
      </x:c>
      <x:c r="C37" s="77" t="s">
        <x:v>109</x:v>
      </x:c>
      <x:c r="D37" s="78" t="s">
        <x:v>110</x:v>
      </x:c>
      <x:c r="E37" s="79" t="s"/>
      <x:c r="F37" s="77" t="s"/>
      <x:c r="G37" s="92" t="n">
        <x:v>1</x:v>
      </x:c>
      <x:c r="H37" s="77" t="s">
        <x:v>68</x:v>
      </x:c>
      <x:c r="I37" s="77" t="s">
        <x:v>79</x:v>
      </x:c>
      <x:c r="J37" s="79" t="n">
        <x:v>1.13</x:v>
      </x:c>
      <x:c r="K37" s="211" t="n">
        <x:v>50</x:v>
      </x:c>
      <x:c r="L37" s="212" t="s"/>
      <x:c r="M37" s="213" t="n">
        <x:v>1.13</x:v>
      </x:c>
      <x:c r="N37" s="214" t="n">
        <x:v>0</x:v>
      </x:c>
      <x:c r="O37" s="214" t="n">
        <x:v>0</x:v>
      </x:c>
      <x:c r="P37" s="215">
        <x:f>ROUND(((K37*M37) - (K37*M37*N37/100)) + (((K37*M37) - (K37*M37*N37/100)) * O37/100), 2)</x:f>
      </x:c>
      <x:c r="Q37" s="216" t="s"/>
      <x:c r="R37" s="216" t="s"/>
      <x:c r="S37" s="81" t="s">
        <x:v>111</x:v>
      </x:c>
      <x:c r="T37" s="209" t="s"/>
      <x:c r="U37" s="210" t="s"/>
    </x:row>
    <x:row r="38" spans="1:23" x14ac:dyDescent="0.25">
      <x:c r="A38" s="76" t="n">
        <x:v>18</x:v>
      </x:c>
      <x:c r="B38" s="76" t="n">
        <x:v>5210437</x:v>
      </x:c>
      <x:c r="C38" s="77" t="s">
        <x:v>112</x:v>
      </x:c>
      <x:c r="D38" s="78" t="s">
        <x:v>113</x:v>
      </x:c>
      <x:c r="E38" s="79" t="s"/>
      <x:c r="F38" s="77" t="s"/>
      <x:c r="G38" s="92" t="n">
        <x:v>100</x:v>
      </x:c>
      <x:c r="H38" s="77" t="s">
        <x:v>114</x:v>
      </x:c>
      <x:c r="I38" s="77" t="s">
        <x:v>57</x:v>
      </x:c>
      <x:c r="J38" s="79" t="n">
        <x:v>1.13</x:v>
      </x:c>
      <x:c r="K38" s="211" t="n">
        <x:v>3</x:v>
      </x:c>
      <x:c r="L38" s="212" t="s"/>
      <x:c r="M38" s="213" t="n">
        <x:v>1.13</x:v>
      </x:c>
      <x:c r="N38" s="214" t="n">
        <x:v>0</x:v>
      </x:c>
      <x:c r="O38" s="214" t="n">
        <x:v>0</x:v>
      </x:c>
      <x:c r="P38" s="215">
        <x:f>ROUND(((K38*M38) - (K38*M38*N38/100)) + (((K38*M38) - (K38*M38*N38/100)) * O38/100), 2)</x:f>
      </x:c>
      <x:c r="Q38" s="216" t="s"/>
      <x:c r="R38" s="216" t="s"/>
      <x:c r="S38" s="81" t="s">
        <x:v>115</x:v>
      </x:c>
      <x:c r="T38" s="209" t="s"/>
      <x:c r="U38" s="210" t="s"/>
    </x:row>
    <x:row r="39" spans="1:23" x14ac:dyDescent="0.25">
      <x:c r="A39" s="76" t="n">
        <x:v>19</x:v>
      </x:c>
      <x:c r="B39" s="76" t="n">
        <x:v>5211054</x:v>
      </x:c>
      <x:c r="C39" s="77" t="s">
        <x:v>116</x:v>
      </x:c>
      <x:c r="D39" s="78" t="s">
        <x:v>117</x:v>
      </x:c>
      <x:c r="E39" s="79" t="s"/>
      <x:c r="F39" s="77" t="s"/>
      <x:c r="G39" s="92" t="n">
        <x:v>500</x:v>
      </x:c>
      <x:c r="H39" s="80" t="s">
        <x:v>56</x:v>
      </x:c>
      <x:c r="I39" s="80" t="s"/>
      <x:c r="J39" s="79" t="n">
        <x:v>0</x:v>
      </x:c>
      <x:c r="K39" s="211" t="n">
        <x:v>10</x:v>
      </x:c>
      <x:c r="L39" s="212" t="s"/>
      <x:c r="M39" s="213" t="n">
        <x:v>0</x:v>
      </x:c>
      <x:c r="N39" s="214" t="n">
        <x:v>0</x:v>
      </x:c>
      <x:c r="O39" s="214" t="n">
        <x:v>0</x:v>
      </x:c>
      <x:c r="P39" s="215">
        <x:f>ROUND(((K39*M39) - (K39*M39*N39/100)) + (((K39*M39) - (K39*M39*N39/100)) * O39/100), 2)</x:f>
      </x:c>
      <x:c r="Q39" s="216" t="s"/>
      <x:c r="R39" s="216" t="s"/>
      <x:c r="S39" s="81" t="s"/>
      <x:c r="T39" s="209" t="s"/>
      <x:c r="U39" s="210" t="s"/>
    </x:row>
    <x:row r="40" spans="1:23" x14ac:dyDescent="0.25">
      <x:c r="A40" s="76" t="n">
        <x:v>20</x:v>
      </x:c>
      <x:c r="B40" s="76" t="n">
        <x:v>5898313</x:v>
      </x:c>
      <x:c r="C40" s="77" t="s">
        <x:v>118</x:v>
      </x:c>
      <x:c r="D40" s="78" t="s">
        <x:v>119</x:v>
      </x:c>
      <x:c r="E40" s="79" t="s"/>
      <x:c r="F40" s="77" t="s"/>
      <x:c r="G40" s="92" t="n">
        <x:v>500</x:v>
      </x:c>
      <x:c r="H40" s="77" t="s">
        <x:v>56</x:v>
      </x:c>
      <x:c r="I40" s="77" t="s">
        <x:v>57</x:v>
      </x:c>
      <x:c r="J40" s="79" t="n">
        <x:v>2.01</x:v>
      </x:c>
      <x:c r="K40" s="211" t="n">
        <x:v>8</x:v>
      </x:c>
      <x:c r="L40" s="212" t="s"/>
      <x:c r="M40" s="213" t="n">
        <x:v>2.01</x:v>
      </x:c>
      <x:c r="N40" s="214" t="n">
        <x:v>0</x:v>
      </x:c>
      <x:c r="O40" s="214" t="n">
        <x:v>0</x:v>
      </x:c>
      <x:c r="P40" s="215">
        <x:f>ROUND(((K40*M40) - (K40*M40*N40/100)) + (((K40*M40) - (K40*M40*N40/100)) * O40/100), 2)</x:f>
      </x:c>
      <x:c r="Q40" s="216" t="s"/>
      <x:c r="R40" s="216" t="s"/>
      <x:c r="S40" s="81" t="s">
        <x:v>120</x:v>
      </x:c>
      <x:c r="T40" s="209" t="s"/>
      <x:c r="U40" s="210" t="s"/>
    </x:row>
    <x:row r="41" spans="1:23" x14ac:dyDescent="0.25">
      <x:c r="A41" s="76" t="n">
        <x:v>21</x:v>
      </x:c>
      <x:c r="B41" s="76" t="n">
        <x:v>5211075</x:v>
      </x:c>
      <x:c r="C41" s="77" t="s">
        <x:v>121</x:v>
      </x:c>
      <x:c r="D41" s="78" t="s">
        <x:v>122</x:v>
      </x:c>
      <x:c r="E41" s="79" t="s"/>
      <x:c r="F41" s="77" t="s"/>
      <x:c r="G41" s="92" t="n">
        <x:v>200</x:v>
      </x:c>
      <x:c r="H41" s="77" t="s">
        <x:v>56</x:v>
      </x:c>
      <x:c r="I41" s="77" t="s">
        <x:v>98</x:v>
      </x:c>
      <x:c r="J41" s="79" t="n">
        <x:v>1.6</x:v>
      </x:c>
      <x:c r="K41" s="211" t="n">
        <x:v>42</x:v>
      </x:c>
      <x:c r="L41" s="212" t="s"/>
      <x:c r="M41" s="213" t="n">
        <x:v>1.6</x:v>
      </x:c>
      <x:c r="N41" s="214" t="n">
        <x:v>0</x:v>
      </x:c>
      <x:c r="O41" s="214" t="n">
        <x:v>0</x:v>
      </x:c>
      <x:c r="P41" s="215">
        <x:f>ROUND(((K41*M41) - (K41*M41*N41/100)) + (((K41*M41) - (K41*M41*N41/100)) * O41/100), 2)</x:f>
      </x:c>
      <x:c r="Q41" s="216" t="s"/>
      <x:c r="R41" s="216" t="s"/>
      <x:c r="S41" s="81" t="s">
        <x:v>123</x:v>
      </x:c>
      <x:c r="T41" s="209" t="s"/>
      <x:c r="U41" s="210" t="s"/>
    </x:row>
    <x:row r="42" spans="1:23" x14ac:dyDescent="0.25">
      <x:c r="A42" s="76" t="n">
        <x:v>22</x:v>
      </x:c>
      <x:c r="B42" s="76" t="n">
        <x:v>5317754</x:v>
      </x:c>
      <x:c r="C42" s="77" t="s">
        <x:v>124</x:v>
      </x:c>
      <x:c r="D42" s="78" t="s">
        <x:v>125</x:v>
      </x:c>
      <x:c r="E42" s="79" t="s"/>
      <x:c r="F42" s="77" t="s"/>
      <x:c r="G42" s="92" t="n">
        <x:v>100</x:v>
      </x:c>
      <x:c r="H42" s="77" t="s">
        <x:v>56</x:v>
      </x:c>
      <x:c r="I42" s="77" t="s">
        <x:v>57</x:v>
      </x:c>
      <x:c r="J42" s="79" t="n">
        <x:v>0.8</x:v>
      </x:c>
      <x:c r="K42" s="211" t="n">
        <x:v>42</x:v>
      </x:c>
      <x:c r="L42" s="212" t="s"/>
      <x:c r="M42" s="213" t="n">
        <x:v>0.8</x:v>
      </x:c>
      <x:c r="N42" s="214" t="n">
        <x:v>0</x:v>
      </x:c>
      <x:c r="O42" s="214" t="n">
        <x:v>0</x:v>
      </x:c>
      <x:c r="P42" s="215">
        <x:f>ROUND(((K42*M42) - (K42*M42*N42/100)) + (((K42*M42) - (K42*M42*N42/100)) * O42/100), 2)</x:f>
      </x:c>
      <x:c r="Q42" s="216" t="s"/>
      <x:c r="R42" s="216" t="s"/>
      <x:c r="S42" s="81" t="s">
        <x:v>126</x:v>
      </x:c>
      <x:c r="T42" s="209" t="s"/>
      <x:c r="U42" s="210" t="s"/>
    </x:row>
    <x:row r="43" spans="1:23" x14ac:dyDescent="0.25">
      <x:c r="A43" s="76" t="n">
        <x:v>23</x:v>
      </x:c>
      <x:c r="B43" s="76" t="n">
        <x:v>5211117</x:v>
      </x:c>
      <x:c r="C43" s="77" t="s">
        <x:v>127</x:v>
      </x:c>
      <x:c r="D43" s="78" t="s">
        <x:v>128</x:v>
      </x:c>
      <x:c r="E43" s="79" t="s"/>
      <x:c r="F43" s="77" t="s"/>
      <x:c r="G43" s="92" t="n">
        <x:v>100</x:v>
      </x:c>
      <x:c r="H43" s="77" t="s">
        <x:v>56</x:v>
      </x:c>
      <x:c r="I43" s="77" t="s">
        <x:v>98</x:v>
      </x:c>
      <x:c r="J43" s="79" t="n">
        <x:v>1.96</x:v>
      </x:c>
      <x:c r="K43" s="211" t="n">
        <x:v>25</x:v>
      </x:c>
      <x:c r="L43" s="212" t="s"/>
      <x:c r="M43" s="213" t="n">
        <x:v>1.96</x:v>
      </x:c>
      <x:c r="N43" s="214" t="n">
        <x:v>0</x:v>
      </x:c>
      <x:c r="O43" s="214" t="n">
        <x:v>0</x:v>
      </x:c>
      <x:c r="P43" s="215">
        <x:f>ROUND(((K43*M43) - (K43*M43*N43/100)) + (((K43*M43) - (K43*M43*N43/100)) * O43/100), 2)</x:f>
      </x:c>
      <x:c r="Q43" s="216" t="s"/>
      <x:c r="R43" s="216" t="s"/>
      <x:c r="S43" s="81" t="s">
        <x:v>129</x:v>
      </x:c>
      <x:c r="T43" s="209" t="s"/>
      <x:c r="U43" s="210" t="s"/>
    </x:row>
    <x:row r="44" spans="1:23" x14ac:dyDescent="0.25">
      <x:c r="A44" s="76" t="n">
        <x:v>24</x:v>
      </x:c>
      <x:c r="B44" s="76" t="n">
        <x:v>5210471</x:v>
      </x:c>
      <x:c r="C44" s="77" t="s">
        <x:v>130</x:v>
      </x:c>
      <x:c r="D44" s="78" t="s">
        <x:v>131</x:v>
      </x:c>
      <x:c r="E44" s="79" t="s"/>
      <x:c r="F44" s="77" t="s"/>
      <x:c r="G44" s="92" t="n">
        <x:v>1</x:v>
      </x:c>
      <x:c r="H44" s="77" t="s">
        <x:v>132</x:v>
      </x:c>
      <x:c r="I44" s="77" t="s">
        <x:v>57</x:v>
      </x:c>
      <x:c r="J44" s="79" t="n">
        <x:v>0.75</x:v>
      </x:c>
      <x:c r="K44" s="211" t="n">
        <x:v>3</x:v>
      </x:c>
      <x:c r="L44" s="212" t="s"/>
      <x:c r="M44" s="213" t="n">
        <x:v>0.75</x:v>
      </x:c>
      <x:c r="N44" s="214" t="n">
        <x:v>0</x:v>
      </x:c>
      <x:c r="O44" s="214" t="n">
        <x:v>0</x:v>
      </x:c>
      <x:c r="P44" s="215">
        <x:f>ROUND(((K44*M44) - (K44*M44*N44/100)) + (((K44*M44) - (K44*M44*N44/100)) * O44/100), 2)</x:f>
      </x:c>
      <x:c r="Q44" s="216" t="s"/>
      <x:c r="R44" s="216" t="s"/>
      <x:c r="S44" s="81" t="s">
        <x:v>133</x:v>
      </x:c>
      <x:c r="T44" s="209" t="s"/>
      <x:c r="U44" s="210" t="s"/>
    </x:row>
    <x:row r="45" spans="1:23" x14ac:dyDescent="0.25">
      <x:c r="A45" s="76" t="n">
        <x:v>25</x:v>
      </x:c>
      <x:c r="B45" s="76" t="n">
        <x:v>5211122</x:v>
      </x:c>
      <x:c r="C45" s="77" t="s">
        <x:v>134</x:v>
      </x:c>
      <x:c r="D45" s="78" t="s">
        <x:v>135</x:v>
      </x:c>
      <x:c r="E45" s="79" t="s"/>
      <x:c r="F45" s="77" t="s"/>
      <x:c r="G45" s="92" t="n">
        <x:v>5</x:v>
      </x:c>
      <x:c r="H45" s="77" t="s">
        <x:v>56</x:v>
      </x:c>
      <x:c r="I45" s="77" t="s">
        <x:v>98</x:v>
      </x:c>
      <x:c r="J45" s="79" t="n">
        <x:v>3.97</x:v>
      </x:c>
      <x:c r="K45" s="211" t="n">
        <x:v>12</x:v>
      </x:c>
      <x:c r="L45" s="212" t="s"/>
      <x:c r="M45" s="213" t="n">
        <x:v>3.97</x:v>
      </x:c>
      <x:c r="N45" s="214" t="n">
        <x:v>0</x:v>
      </x:c>
      <x:c r="O45" s="214" t="n">
        <x:v>0</x:v>
      </x:c>
      <x:c r="P45" s="215">
        <x:f>ROUND(((K45*M45) - (K45*M45*N45/100)) + (((K45*M45) - (K45*M45*N45/100)) * O45/100), 2)</x:f>
      </x:c>
      <x:c r="Q45" s="216" t="s"/>
      <x:c r="R45" s="216" t="s"/>
      <x:c r="S45" s="81" t="s">
        <x:v>136</x:v>
      </x:c>
      <x:c r="T45" s="209" t="s"/>
      <x:c r="U45" s="210" t="s"/>
    </x:row>
    <x:row r="46" spans="1:23" x14ac:dyDescent="0.25">
      <x:c r="A46" s="76" t="n">
        <x:v>26</x:v>
      </x:c>
      <x:c r="B46" s="76" t="n">
        <x:v>5444527</x:v>
      </x:c>
      <x:c r="C46" s="77" t="s">
        <x:v>137</x:v>
      </x:c>
      <x:c r="D46" s="78" t="s">
        <x:v>138</x:v>
      </x:c>
      <x:c r="E46" s="79" t="s"/>
      <x:c r="F46" s="77" t="s"/>
      <x:c r="G46" s="92" t="n">
        <x:v>500</x:v>
      </x:c>
      <x:c r="H46" s="77" t="s">
        <x:v>56</x:v>
      </x:c>
      <x:c r="I46" s="77" t="s">
        <x:v>57</x:v>
      </x:c>
      <x:c r="J46" s="79" t="n">
        <x:v>7.32</x:v>
      </x:c>
      <x:c r="K46" s="211" t="n">
        <x:v>4</x:v>
      </x:c>
      <x:c r="L46" s="212" t="s"/>
      <x:c r="M46" s="213" t="n">
        <x:v>7.32</x:v>
      </x:c>
      <x:c r="N46" s="214" t="n">
        <x:v>0</x:v>
      </x:c>
      <x:c r="O46" s="214" t="n">
        <x:v>0</x:v>
      </x:c>
      <x:c r="P46" s="215">
        <x:f>ROUND(((K46*M46) - (K46*M46*N46/100)) + (((K46*M46) - (K46*M46*N46/100)) * O46/100), 2)</x:f>
      </x:c>
      <x:c r="Q46" s="216" t="s"/>
      <x:c r="R46" s="216" t="s"/>
      <x:c r="S46" s="81" t="s">
        <x:v>139</x:v>
      </x:c>
      <x:c r="T46" s="209" t="s"/>
      <x:c r="U46" s="210" t="s"/>
    </x:row>
    <x:row r="47" spans="1:23" x14ac:dyDescent="0.25">
      <x:c r="A47" s="76" t="n">
        <x:v>27</x:v>
      </x:c>
      <x:c r="B47" s="76" t="n">
        <x:v>5328373</x:v>
      </x:c>
      <x:c r="C47" s="77" t="s">
        <x:v>140</x:v>
      </x:c>
      <x:c r="D47" s="78" t="s">
        <x:v>141</x:v>
      </x:c>
      <x:c r="E47" s="79" t="s"/>
      <x:c r="F47" s="77" t="s"/>
      <x:c r="G47" s="92" t="n">
        <x:v>500</x:v>
      </x:c>
      <x:c r="H47" s="77" t="s">
        <x:v>56</x:v>
      </x:c>
      <x:c r="I47" s="77" t="s">
        <x:v>57</x:v>
      </x:c>
      <x:c r="J47" s="79" t="n">
        <x:v>4.28</x:v>
      </x:c>
      <x:c r="K47" s="211" t="n">
        <x:v>12</x:v>
      </x:c>
      <x:c r="L47" s="212" t="s"/>
      <x:c r="M47" s="213" t="n">
        <x:v>4.28</x:v>
      </x:c>
      <x:c r="N47" s="214" t="n">
        <x:v>0</x:v>
      </x:c>
      <x:c r="O47" s="214" t="n">
        <x:v>0</x:v>
      </x:c>
      <x:c r="P47" s="215">
        <x:f>ROUND(((K47*M47) - (K47*M47*N47/100)) + (((K47*M47) - (K47*M47*N47/100)) * O47/100), 2)</x:f>
      </x:c>
      <x:c r="Q47" s="216" t="s"/>
      <x:c r="R47" s="216" t="s"/>
      <x:c r="S47" s="81" t="s">
        <x:v>142</x:v>
      </x:c>
      <x:c r="T47" s="209" t="s"/>
      <x:c r="U47" s="210" t="s"/>
    </x:row>
    <x:row r="48" spans="1:23" x14ac:dyDescent="0.25">
      <x:c r="A48" s="76" t="n">
        <x:v>28</x:v>
      </x:c>
      <x:c r="B48" s="76" t="n">
        <x:v>5210494</x:v>
      </x:c>
      <x:c r="C48" s="77" t="s">
        <x:v>143</x:v>
      </x:c>
      <x:c r="D48" s="78" t="s">
        <x:v>144</x:v>
      </x:c>
      <x:c r="E48" s="79" t="s"/>
      <x:c r="F48" s="77" t="s"/>
      <x:c r="G48" s="92" t="n">
        <x:v>100</x:v>
      </x:c>
      <x:c r="H48" s="77" t="s">
        <x:v>114</x:v>
      </x:c>
      <x:c r="I48" s="77" t="s">
        <x:v>57</x:v>
      </x:c>
      <x:c r="J48" s="79" t="n">
        <x:v>1.13</x:v>
      </x:c>
      <x:c r="K48" s="211" t="n">
        <x:v>3</x:v>
      </x:c>
      <x:c r="L48" s="212" t="s"/>
      <x:c r="M48" s="213" t="n">
        <x:v>1.13</x:v>
      </x:c>
      <x:c r="N48" s="214" t="n">
        <x:v>0</x:v>
      </x:c>
      <x:c r="O48" s="214" t="n">
        <x:v>0</x:v>
      </x:c>
      <x:c r="P48" s="215">
        <x:f>ROUND(((K48*M48) - (K48*M48*N48/100)) + (((K48*M48) - (K48*M48*N48/100)) * O48/100), 2)</x:f>
      </x:c>
      <x:c r="Q48" s="216" t="s"/>
      <x:c r="R48" s="216" t="s"/>
      <x:c r="S48" s="81" t="s">
        <x:v>145</x:v>
      </x:c>
      <x:c r="T48" s="209" t="s"/>
      <x:c r="U48" s="210" t="s"/>
    </x:row>
    <x:row r="49" spans="1:23" x14ac:dyDescent="0.25">
      <x:c r="A49" s="76" t="n">
        <x:v>29</x:v>
      </x:c>
      <x:c r="B49" s="76" t="n">
        <x:v>5210530</x:v>
      </x:c>
      <x:c r="C49" s="77" t="s">
        <x:v>146</x:v>
      </x:c>
      <x:c r="D49" s="78" t="s">
        <x:v>147</x:v>
      </x:c>
      <x:c r="E49" s="79" t="s"/>
      <x:c r="F49" s="77" t="s"/>
      <x:c r="G49" s="92" t="n">
        <x:v>400</x:v>
      </x:c>
      <x:c r="H49" s="77" t="s">
        <x:v>56</x:v>
      </x:c>
      <x:c r="I49" s="77" t="s">
        <x:v>57</x:v>
      </x:c>
      <x:c r="J49" s="79" t="n">
        <x:v>0.74</x:v>
      </x:c>
      <x:c r="K49" s="211" t="n">
        <x:v>50</x:v>
      </x:c>
      <x:c r="L49" s="212" t="s"/>
      <x:c r="M49" s="213" t="n">
        <x:v>0.74</x:v>
      </x:c>
      <x:c r="N49" s="214" t="n">
        <x:v>0</x:v>
      </x:c>
      <x:c r="O49" s="214" t="n">
        <x:v>0</x:v>
      </x:c>
      <x:c r="P49" s="215">
        <x:f>ROUND(((K49*M49) - (K49*M49*N49/100)) + (((K49*M49) - (K49*M49*N49/100)) * O49/100), 2)</x:f>
      </x:c>
      <x:c r="Q49" s="216" t="s"/>
      <x:c r="R49" s="216" t="s"/>
      <x:c r="S49" s="81" t="s">
        <x:v>148</x:v>
      </x:c>
      <x:c r="T49" s="209" t="s"/>
      <x:c r="U49" s="210" t="s"/>
    </x:row>
    <x:row r="50" spans="1:23" x14ac:dyDescent="0.25">
      <x:c r="A50" s="76" t="n">
        <x:v>30</x:v>
      </x:c>
      <x:c r="B50" s="76" t="n">
        <x:v>6724151</x:v>
      </x:c>
      <x:c r="C50" s="77" t="s">
        <x:v>149</x:v>
      </x:c>
      <x:c r="D50" s="78" t="s">
        <x:v>150</x:v>
      </x:c>
      <x:c r="E50" s="79" t="s"/>
      <x:c r="F50" s="77" t="s"/>
      <x:c r="G50" s="92" t="n">
        <x:v>500</x:v>
      </x:c>
      <x:c r="H50" s="77" t="s">
        <x:v>56</x:v>
      </x:c>
      <x:c r="I50" s="77" t="s">
        <x:v>79</x:v>
      </x:c>
      <x:c r="J50" s="79" t="n">
        <x:v>6.34</x:v>
      </x:c>
      <x:c r="K50" s="211" t="n">
        <x:v>24</x:v>
      </x:c>
      <x:c r="L50" s="212" t="s"/>
      <x:c r="M50" s="213" t="n">
        <x:v>6.34</x:v>
      </x:c>
      <x:c r="N50" s="214" t="n">
        <x:v>0</x:v>
      </x:c>
      <x:c r="O50" s="214" t="n">
        <x:v>0</x:v>
      </x:c>
      <x:c r="P50" s="215">
        <x:f>ROUND(((K50*M50) - (K50*M50*N50/100)) + (((K50*M50) - (K50*M50*N50/100)) * O50/100), 2)</x:f>
      </x:c>
      <x:c r="Q50" s="216" t="s"/>
      <x:c r="R50" s="216" t="s"/>
      <x:c r="S50" s="81" t="s">
        <x:v>151</x:v>
      </x:c>
      <x:c r="T50" s="209" t="s"/>
      <x:c r="U50" s="210" t="s"/>
    </x:row>
    <x:row r="51" spans="1:23" x14ac:dyDescent="0.25">
      <x:c r="A51" s="76" t="n">
        <x:v>31</x:v>
      </x:c>
      <x:c r="B51" s="76" t="n">
        <x:v>5210618</x:v>
      </x:c>
      <x:c r="C51" s="77" t="s">
        <x:v>152</x:v>
      </x:c>
      <x:c r="D51" s="78" t="s">
        <x:v>153</x:v>
      </x:c>
      <x:c r="E51" s="79" t="s"/>
      <x:c r="F51" s="77" t="s"/>
      <x:c r="G51" s="92" t="n">
        <x:v>1</x:v>
      </x:c>
      <x:c r="H51" s="77" t="s">
        <x:v>154</x:v>
      </x:c>
      <x:c r="I51" s="77" t="s">
        <x:v>57</x:v>
      </x:c>
      <x:c r="J51" s="79" t="n">
        <x:v>7.58</x:v>
      </x:c>
      <x:c r="K51" s="211" t="n">
        <x:v>1</x:v>
      </x:c>
      <x:c r="L51" s="212" t="s"/>
      <x:c r="M51" s="213" t="n">
        <x:v>7.58</x:v>
      </x:c>
      <x:c r="N51" s="214" t="n">
        <x:v>0</x:v>
      </x:c>
      <x:c r="O51" s="214" t="n">
        <x:v>0</x:v>
      </x:c>
      <x:c r="P51" s="215">
        <x:f>ROUND(((K51*M51) - (K51*M51*N51/100)) + (((K51*M51) - (K51*M51*N51/100)) * O51/100), 2)</x:f>
      </x:c>
      <x:c r="Q51" s="216" t="s"/>
      <x:c r="R51" s="216" t="s"/>
      <x:c r="S51" s="81" t="s">
        <x:v>155</x:v>
      </x:c>
      <x:c r="T51" s="209" t="s"/>
      <x:c r="U51" s="210" t="s"/>
    </x:row>
    <x:row r="52" spans="1:23" x14ac:dyDescent="0.25">
      <x:c r="A52" s="76" t="n">
        <x:v>32</x:v>
      </x:c>
      <x:c r="B52" s="76" t="n">
        <x:v>5234089</x:v>
      </x:c>
      <x:c r="C52" s="77" t="s">
        <x:v>156</x:v>
      </x:c>
      <x:c r="D52" s="78" t="s">
        <x:v>157</x:v>
      </x:c>
      <x:c r="E52" s="79" t="s"/>
      <x:c r="F52" s="77" t="s"/>
      <x:c r="G52" s="92" t="n">
        <x:v>200</x:v>
      </x:c>
      <x:c r="H52" s="77" t="s">
        <x:v>56</x:v>
      </x:c>
      <x:c r="I52" s="77" t="s">
        <x:v>57</x:v>
      </x:c>
      <x:c r="J52" s="79" t="n">
        <x:v>9.64</x:v>
      </x:c>
      <x:c r="K52" s="211" t="n">
        <x:v>36</x:v>
      </x:c>
      <x:c r="L52" s="212" t="s"/>
      <x:c r="M52" s="213" t="n">
        <x:v>9.64</x:v>
      </x:c>
      <x:c r="N52" s="214" t="n">
        <x:v>0</x:v>
      </x:c>
      <x:c r="O52" s="214" t="n">
        <x:v>0</x:v>
      </x:c>
      <x:c r="P52" s="215">
        <x:f>ROUND(((K52*M52) - (K52*M52*N52/100)) + (((K52*M52) - (K52*M52*N52/100)) * O52/100), 2)</x:f>
      </x:c>
      <x:c r="Q52" s="216" t="s"/>
      <x:c r="R52" s="216" t="s"/>
      <x:c r="S52" s="81" t="s">
        <x:v>158</x:v>
      </x:c>
      <x:c r="T52" s="209" t="s"/>
      <x:c r="U52" s="210" t="s"/>
    </x:row>
    <x:row r="53" spans="1:23" x14ac:dyDescent="0.25">
      <x:c r="A53" s="76" t="n">
        <x:v>33</x:v>
      </x:c>
      <x:c r="B53" s="76" t="n">
        <x:v>5317218</x:v>
      </x:c>
      <x:c r="C53" s="77" t="s">
        <x:v>159</x:v>
      </x:c>
      <x:c r="D53" s="78" t="s">
        <x:v>160</x:v>
      </x:c>
      <x:c r="E53" s="79" t="s"/>
      <x:c r="F53" s="77" t="s"/>
      <x:c r="G53" s="92" t="n">
        <x:v>200</x:v>
      </x:c>
      <x:c r="H53" s="77" t="s">
        <x:v>56</x:v>
      </x:c>
      <x:c r="I53" s="77" t="s">
        <x:v>98</x:v>
      </x:c>
      <x:c r="J53" s="79" t="n">
        <x:v>4.69</x:v>
      </x:c>
      <x:c r="K53" s="211" t="n">
        <x:v>15</x:v>
      </x:c>
      <x:c r="L53" s="212" t="s"/>
      <x:c r="M53" s="213" t="n">
        <x:v>4.69</x:v>
      </x:c>
      <x:c r="N53" s="214" t="n">
        <x:v>0</x:v>
      </x:c>
      <x:c r="O53" s="214" t="n">
        <x:v>0</x:v>
      </x:c>
      <x:c r="P53" s="215">
        <x:f>ROUND(((K53*M53) - (K53*M53*N53/100)) + (((K53*M53) - (K53*M53*N53/100)) * O53/100), 2)</x:f>
      </x:c>
      <x:c r="Q53" s="216" t="s"/>
      <x:c r="R53" s="216" t="s"/>
      <x:c r="S53" s="81" t="s">
        <x:v>161</x:v>
      </x:c>
      <x:c r="T53" s="209" t="s"/>
      <x:c r="U53" s="210" t="s"/>
    </x:row>
    <x:row r="54" spans="1:23" x14ac:dyDescent="0.25">
      <x:c r="A54" s="76" t="n">
        <x:v>34</x:v>
      </x:c>
      <x:c r="B54" s="76" t="n">
        <x:v>5561763</x:v>
      </x:c>
      <x:c r="C54" s="77" t="s">
        <x:v>162</x:v>
      </x:c>
      <x:c r="D54" s="78" t="s">
        <x:v>163</x:v>
      </x:c>
      <x:c r="E54" s="79" t="s"/>
      <x:c r="F54" s="77" t="s"/>
      <x:c r="G54" s="92" t="n">
        <x:v>500</x:v>
      </x:c>
      <x:c r="H54" s="77" t="s">
        <x:v>56</x:v>
      </x:c>
      <x:c r="I54" s="77" t="s">
        <x:v>57</x:v>
      </x:c>
      <x:c r="J54" s="79" t="n">
        <x:v>7.32</x:v>
      </x:c>
      <x:c r="K54" s="211" t="n">
        <x:v>24</x:v>
      </x:c>
      <x:c r="L54" s="212" t="s"/>
      <x:c r="M54" s="213" t="n">
        <x:v>7.32</x:v>
      </x:c>
      <x:c r="N54" s="214" t="n">
        <x:v>0</x:v>
      </x:c>
      <x:c r="O54" s="214" t="n">
        <x:v>0</x:v>
      </x:c>
      <x:c r="P54" s="215">
        <x:f>ROUND(((K54*M54) - (K54*M54*N54/100)) + (((K54*M54) - (K54*M54*N54/100)) * O54/100), 2)</x:f>
      </x:c>
      <x:c r="Q54" s="216" t="s"/>
      <x:c r="R54" s="216" t="s"/>
      <x:c r="S54" s="81" t="s">
        <x:v>164</x:v>
      </x:c>
      <x:c r="T54" s="209" t="s"/>
      <x:c r="U54" s="210" t="s"/>
    </x:row>
    <x:row r="55" spans="1:23" x14ac:dyDescent="0.25">
      <x:c r="A55" s="76" t="n">
        <x:v>35</x:v>
      </x:c>
      <x:c r="B55" s="76" t="n">
        <x:v>5557768</x:v>
      </x:c>
      <x:c r="C55" s="77" t="s">
        <x:v>165</x:v>
      </x:c>
      <x:c r="D55" s="78" t="s">
        <x:v>166</x:v>
      </x:c>
      <x:c r="E55" s="79" t="s"/>
      <x:c r="F55" s="77" t="s"/>
      <x:c r="G55" s="92" t="n">
        <x:v>700</x:v>
      </x:c>
      <x:c r="H55" s="77" t="s">
        <x:v>114</x:v>
      </x:c>
      <x:c r="I55" s="77" t="s">
        <x:v>57</x:v>
      </x:c>
      <x:c r="J55" s="79" t="n">
        <x:v>3.76</x:v>
      </x:c>
      <x:c r="K55" s="211" t="n">
        <x:v>5</x:v>
      </x:c>
      <x:c r="L55" s="212" t="s"/>
      <x:c r="M55" s="213" t="n">
        <x:v>3.76</x:v>
      </x:c>
      <x:c r="N55" s="214" t="n">
        <x:v>0</x:v>
      </x:c>
      <x:c r="O55" s="214" t="n">
        <x:v>0</x:v>
      </x:c>
      <x:c r="P55" s="215">
        <x:f>ROUND(((K55*M55) - (K55*M55*N55/100)) + (((K55*M55) - (K55*M55*N55/100)) * O55/100), 2)</x:f>
      </x:c>
      <x:c r="Q55" s="216" t="s"/>
      <x:c r="R55" s="216" t="s"/>
      <x:c r="S55" s="81" t="s">
        <x:v>167</x:v>
      </x:c>
      <x:c r="T55" s="209" t="s"/>
      <x:c r="U55" s="210" t="s"/>
    </x:row>
    <x:row r="56" spans="1:23" x14ac:dyDescent="0.25">
      <x:c r="A56" s="76" t="n">
        <x:v>36</x:v>
      </x:c>
      <x:c r="B56" s="76" t="n">
        <x:v>5211166</x:v>
      </x:c>
      <x:c r="C56" s="77" t="s">
        <x:v>168</x:v>
      </x:c>
      <x:c r="D56" s="78" t="s">
        <x:v>169</x:v>
      </x:c>
      <x:c r="E56" s="79" t="s"/>
      <x:c r="F56" s="77" t="s"/>
      <x:c r="G56" s="92" t="n">
        <x:v>500</x:v>
      </x:c>
      <x:c r="H56" s="77" t="s">
        <x:v>56</x:v>
      </x:c>
      <x:c r="I56" s="77" t="s">
        <x:v>57</x:v>
      </x:c>
      <x:c r="J56" s="79" t="n">
        <x:v>4.28</x:v>
      </x:c>
      <x:c r="K56" s="211" t="n">
        <x:v>15</x:v>
      </x:c>
      <x:c r="L56" s="212" t="s"/>
      <x:c r="M56" s="213" t="n">
        <x:v>4.28</x:v>
      </x:c>
      <x:c r="N56" s="214" t="n">
        <x:v>0</x:v>
      </x:c>
      <x:c r="O56" s="214" t="n">
        <x:v>0</x:v>
      </x:c>
      <x:c r="P56" s="215">
        <x:f>ROUND(((K56*M56) - (K56*M56*N56/100)) + (((K56*M56) - (K56*M56*N56/100)) * O56/100), 2)</x:f>
      </x:c>
      <x:c r="Q56" s="216" t="s"/>
      <x:c r="R56" s="216" t="s"/>
      <x:c r="S56" s="81" t="s">
        <x:v>170</x:v>
      </x:c>
      <x:c r="T56" s="209" t="s"/>
      <x:c r="U56" s="210" t="s"/>
    </x:row>
    <x:row r="57" spans="1:23" x14ac:dyDescent="0.25">
      <x:c r="A57" s="76" t="n">
        <x:v>37</x:v>
      </x:c>
      <x:c r="B57" s="76" t="n">
        <x:v>5210831</x:v>
      </x:c>
      <x:c r="C57" s="77" t="s">
        <x:v>171</x:v>
      </x:c>
      <x:c r="D57" s="78" t="s">
        <x:v>172</x:v>
      </x:c>
      <x:c r="E57" s="79" t="s"/>
      <x:c r="F57" s="77" t="s"/>
      <x:c r="G57" s="92" t="n">
        <x:v>500</x:v>
      </x:c>
      <x:c r="H57" s="77" t="s">
        <x:v>56</x:v>
      </x:c>
      <x:c r="I57" s="77" t="s">
        <x:v>57</x:v>
      </x:c>
      <x:c r="J57" s="79" t="n">
        <x:v>5.62</x:v>
      </x:c>
      <x:c r="K57" s="211" t="n">
        <x:v>4</x:v>
      </x:c>
      <x:c r="L57" s="212" t="s"/>
      <x:c r="M57" s="213" t="n">
        <x:v>5.62</x:v>
      </x:c>
      <x:c r="N57" s="214" t="n">
        <x:v>0</x:v>
      </x:c>
      <x:c r="O57" s="214" t="n">
        <x:v>0</x:v>
      </x:c>
      <x:c r="P57" s="215">
        <x:f>ROUND(((K57*M57) - (K57*M57*N57/100)) + (((K57*M57) - (K57*M57*N57/100)) * O57/100), 2)</x:f>
      </x:c>
      <x:c r="Q57" s="216" t="s"/>
      <x:c r="R57" s="216" t="s"/>
      <x:c r="S57" s="81" t="s">
        <x:v>173</x:v>
      </x:c>
      <x:c r="T57" s="209" t="s"/>
      <x:c r="U57" s="210" t="s"/>
    </x:row>
    <x:row r="58" spans="1:23" x14ac:dyDescent="0.25">
      <x:c r="A58" s="76" t="n">
        <x:v>38</x:v>
      </x:c>
      <x:c r="B58" s="76" t="n">
        <x:v>6430463</x:v>
      </x:c>
      <x:c r="C58" s="77" t="s">
        <x:v>174</x:v>
      </x:c>
      <x:c r="D58" s="78" t="s">
        <x:v>175</x:v>
      </x:c>
      <x:c r="E58" s="79" t="s"/>
      <x:c r="F58" s="77" t="s"/>
      <x:c r="G58" s="92" t="n">
        <x:v>500</x:v>
      </x:c>
      <x:c r="H58" s="80" t="s">
        <x:v>56</x:v>
      </x:c>
      <x:c r="I58" s="80" t="s"/>
      <x:c r="J58" s="79" t="n">
        <x:v>0</x:v>
      </x:c>
      <x:c r="K58" s="211" t="n">
        <x:v>15</x:v>
      </x:c>
      <x:c r="L58" s="212" t="s"/>
      <x:c r="M58" s="213" t="n">
        <x:v>0</x:v>
      </x:c>
      <x:c r="N58" s="214" t="n">
        <x:v>0</x:v>
      </x:c>
      <x:c r="O58" s="214" t="n">
        <x:v>0</x:v>
      </x:c>
      <x:c r="P58" s="215">
        <x:f>ROUND(((K58*M58) - (K58*M58*N58/100)) + (((K58*M58) - (K58*M58*N58/100)) * O58/100), 2)</x:f>
      </x:c>
      <x:c r="Q58" s="216" t="s"/>
      <x:c r="R58" s="216" t="s"/>
      <x:c r="S58" s="81" t="s"/>
      <x:c r="T58" s="209" t="s"/>
      <x:c r="U58" s="210" t="s"/>
    </x:row>
    <x:row r="59" spans="1:23">
      <x:c r="A59" s="76" t="n">
        <x:v>39</x:v>
      </x:c>
      <x:c r="B59" s="76" t="n">
        <x:v>5210929</x:v>
      </x:c>
      <x:c r="C59" s="77" t="s">
        <x:v>176</x:v>
      </x:c>
      <x:c r="D59" s="78" t="s">
        <x:v>177</x:v>
      </x:c>
      <x:c r="E59" s="79" t="s"/>
      <x:c r="F59" s="77" t="s"/>
      <x:c r="G59" s="92" t="n">
        <x:v>500</x:v>
      </x:c>
      <x:c r="H59" s="77" t="s">
        <x:v>56</x:v>
      </x:c>
      <x:c r="I59" s="77" t="s">
        <x:v>57</x:v>
      </x:c>
      <x:c r="J59" s="79" t="n">
        <x:v>1.44</x:v>
      </x:c>
      <x:c r="K59" s="211" t="n">
        <x:v>12</x:v>
      </x:c>
      <x:c r="L59" s="212" t="s"/>
      <x:c r="M59" s="213" t="n">
        <x:v>1.44</x:v>
      </x:c>
      <x:c r="N59" s="214" t="n">
        <x:v>0</x:v>
      </x:c>
      <x:c r="O59" s="214" t="n">
        <x:v>0</x:v>
      </x:c>
      <x:c r="P59" s="215">
        <x:f>ROUND(((K59*M59) - (K59*M59*N59/100)) + (((K59*M59) - (K59*M59*N59/100)) * O59/100), 2)</x:f>
      </x:c>
      <x:c r="Q59" s="216" t="s"/>
      <x:c r="R59" s="216" t="s"/>
      <x:c r="S59" s="81" t="s">
        <x:v>178</x:v>
      </x:c>
      <x:c r="T59" s="209" t="s"/>
      <x:c r="U59" s="210" t="s"/>
    </x:row>
    <x:row r="60" spans="1:23">
      <x:c r="A60" s="76" t="n">
        <x:v>40</x:v>
      </x:c>
      <x:c r="B60" s="76" t="n">
        <x:v>5211052</x:v>
      </x:c>
      <x:c r="C60" s="77" t="s">
        <x:v>179</x:v>
      </x:c>
      <x:c r="D60" s="78" t="s">
        <x:v>180</x:v>
      </x:c>
      <x:c r="E60" s="79" t="s"/>
      <x:c r="F60" s="77" t="s"/>
      <x:c r="G60" s="92" t="n">
        <x:v>500</x:v>
      </x:c>
      <x:c r="H60" s="77" t="s">
        <x:v>56</x:v>
      </x:c>
      <x:c r="I60" s="77" t="s">
        <x:v>57</x:v>
      </x:c>
      <x:c r="J60" s="79" t="n">
        <x:v>5.26</x:v>
      </x:c>
      <x:c r="K60" s="211" t="n">
        <x:v>12</x:v>
      </x:c>
      <x:c r="L60" s="212" t="s"/>
      <x:c r="M60" s="213" t="n">
        <x:v>5.26</x:v>
      </x:c>
      <x:c r="N60" s="214" t="n">
        <x:v>0</x:v>
      </x:c>
      <x:c r="O60" s="214" t="n">
        <x:v>0</x:v>
      </x:c>
      <x:c r="P60" s="215">
        <x:f>ROUND(((K60*M60) - (K60*M60*N60/100)) + (((K60*M60) - (K60*M60*N60/100)) * O60/100), 2)</x:f>
      </x:c>
      <x:c r="Q60" s="216" t="s"/>
      <x:c r="R60" s="216" t="s"/>
      <x:c r="S60" s="81" t="s">
        <x:v>181</x:v>
      </x:c>
      <x:c r="T60" s="209" t="s"/>
      <x:c r="U60" s="210" t="s"/>
    </x:row>
    <x:row r="61" spans="1:23">
      <x:c r="A61" s="76" t="n">
        <x:v>41</x:v>
      </x:c>
      <x:c r="B61" s="76" t="n">
        <x:v>5211110</x:v>
      </x:c>
      <x:c r="C61" s="77" t="s">
        <x:v>182</x:v>
      </x:c>
      <x:c r="D61" s="78" t="s">
        <x:v>183</x:v>
      </x:c>
      <x:c r="E61" s="79" t="s"/>
      <x:c r="F61" s="77" t="s"/>
      <x:c r="G61" s="92" t="n">
        <x:v>1</x:v>
      </x:c>
      <x:c r="H61" s="77" t="s">
        <x:v>154</x:v>
      </x:c>
      <x:c r="I61" s="77" t="s">
        <x:v>57</x:v>
      </x:c>
      <x:c r="J61" s="79" t="n">
        <x:v>1.8</x:v>
      </x:c>
      <x:c r="K61" s="211" t="n">
        <x:v>5</x:v>
      </x:c>
      <x:c r="L61" s="212" t="s"/>
      <x:c r="M61" s="213" t="n">
        <x:v>1.8</x:v>
      </x:c>
      <x:c r="N61" s="214" t="n">
        <x:v>0</x:v>
      </x:c>
      <x:c r="O61" s="214" t="n">
        <x:v>0</x:v>
      </x:c>
      <x:c r="P61" s="215">
        <x:f>ROUND(((K61*M61) - (K61*M61*N61/100)) + (((K61*M61) - (K61*M61*N61/100)) * O61/100), 2)</x:f>
      </x:c>
      <x:c r="Q61" s="216" t="s"/>
      <x:c r="R61" s="216" t="s"/>
      <x:c r="S61" s="81" t="s">
        <x:v>184</x:v>
      </x:c>
      <x:c r="T61" s="209" t="s"/>
      <x:c r="U61" s="210" t="s"/>
    </x:row>
    <x:row r="62" spans="1:23">
      <x:c r="A62" s="76" t="n">
        <x:v>42</x:v>
      </x:c>
      <x:c r="B62" s="76" t="n">
        <x:v>5211112</x:v>
      </x:c>
      <x:c r="C62" s="77" t="s">
        <x:v>185</x:v>
      </x:c>
      <x:c r="D62" s="78" t="s">
        <x:v>186</x:v>
      </x:c>
      <x:c r="E62" s="79" t="s"/>
      <x:c r="F62" s="77" t="s"/>
      <x:c r="G62" s="92" t="n">
        <x:v>500</x:v>
      </x:c>
      <x:c r="H62" s="77" t="s">
        <x:v>56</x:v>
      </x:c>
      <x:c r="I62" s="77" t="s">
        <x:v>57</x:v>
      </x:c>
      <x:c r="J62" s="79" t="n">
        <x:v>2.06</x:v>
      </x:c>
      <x:c r="K62" s="211" t="n">
        <x:v>8</x:v>
      </x:c>
      <x:c r="L62" s="212" t="s"/>
      <x:c r="M62" s="213" t="n">
        <x:v>2.06</x:v>
      </x:c>
      <x:c r="N62" s="214" t="n">
        <x:v>0</x:v>
      </x:c>
      <x:c r="O62" s="214" t="n">
        <x:v>0</x:v>
      </x:c>
      <x:c r="P62" s="215">
        <x:f>ROUND(((K62*M62) - (K62*M62*N62/100)) + (((K62*M62) - (K62*M62*N62/100)) * O62/100), 2)</x:f>
      </x:c>
      <x:c r="Q62" s="216" t="s"/>
      <x:c r="R62" s="216" t="s"/>
      <x:c r="S62" s="81" t="s">
        <x:v>187</x:v>
      </x:c>
      <x:c r="T62" s="209" t="s"/>
      <x:c r="U62" s="210" t="s"/>
    </x:row>
    <x:row r="63" spans="1:23">
      <x:c r="A63" s="76" t="n">
        <x:v>43</x:v>
      </x:c>
      <x:c r="B63" s="76" t="n">
        <x:v>5211193</x:v>
      </x:c>
      <x:c r="C63" s="77" t="s">
        <x:v>188</x:v>
      </x:c>
      <x:c r="D63" s="78" t="s">
        <x:v>189</x:v>
      </x:c>
      <x:c r="E63" s="79" t="s"/>
      <x:c r="F63" s="77" t="s"/>
      <x:c r="G63" s="92" t="n">
        <x:v>500</x:v>
      </x:c>
      <x:c r="H63" s="80" t="s">
        <x:v>56</x:v>
      </x:c>
      <x:c r="I63" s="80" t="s"/>
      <x:c r="J63" s="79" t="n">
        <x:v>0</x:v>
      </x:c>
      <x:c r="K63" s="211" t="n">
        <x:v>10</x:v>
      </x:c>
      <x:c r="L63" s="212" t="s"/>
      <x:c r="M63" s="213" t="n">
        <x:v>0</x:v>
      </x:c>
      <x:c r="N63" s="214" t="n">
        <x:v>0</x:v>
      </x:c>
      <x:c r="O63" s="214" t="n">
        <x:v>0</x:v>
      </x:c>
      <x:c r="P63" s="215">
        <x:f>ROUND(((K63*M63) - (K63*M63*N63/100)) + (((K63*M63) - (K63*M63*N63/100)) * O63/100), 2)</x:f>
      </x:c>
      <x:c r="Q63" s="216" t="s"/>
      <x:c r="R63" s="216" t="s"/>
      <x:c r="S63" s="81" t="s"/>
      <x:c r="T63" s="209" t="s"/>
      <x:c r="U63" s="210" t="s"/>
    </x:row>
    <x:row r="64" spans="1:23">
      <x:c r="A64" s="76" t="n">
        <x:v>44</x:v>
      </x:c>
      <x:c r="B64" s="76" t="n">
        <x:v>5210880</x:v>
      </x:c>
      <x:c r="C64" s="77" t="s">
        <x:v>190</x:v>
      </x:c>
      <x:c r="D64" s="78" t="s">
        <x:v>191</x:v>
      </x:c>
      <x:c r="E64" s="79" t="s"/>
      <x:c r="F64" s="77" t="s"/>
      <x:c r="G64" s="92" t="n">
        <x:v>1</x:v>
      </x:c>
      <x:c r="H64" s="77" t="s">
        <x:v>132</x:v>
      </x:c>
      <x:c r="I64" s="77" t="s">
        <x:v>57</x:v>
      </x:c>
      <x:c r="J64" s="79" t="n">
        <x:v>2.06</x:v>
      </x:c>
      <x:c r="K64" s="211" t="n">
        <x:v>72</x:v>
      </x:c>
      <x:c r="L64" s="212" t="s"/>
      <x:c r="M64" s="213" t="n">
        <x:v>2.06</x:v>
      </x:c>
      <x:c r="N64" s="214" t="n">
        <x:v>0</x:v>
      </x:c>
      <x:c r="O64" s="214" t="n">
        <x:v>0</x:v>
      </x:c>
      <x:c r="P64" s="215">
        <x:f>ROUND(((K64*M64) - (K64*M64*N64/100)) + (((K64*M64) - (K64*M64*N64/100)) * O64/100), 2)</x:f>
      </x:c>
      <x:c r="Q64" s="216" t="s"/>
      <x:c r="R64" s="216" t="s"/>
      <x:c r="S64" s="81" t="s">
        <x:v>192</x:v>
      </x:c>
      <x:c r="T64" s="209" t="s"/>
      <x:c r="U64" s="210" t="s"/>
    </x:row>
    <x:row r="65" spans="1:23">
      <x:c r="A65" s="76" t="n">
        <x:v>45</x:v>
      </x:c>
      <x:c r="B65" s="76" t="n">
        <x:v>5210896</x:v>
      </x:c>
      <x:c r="C65" s="77" t="s">
        <x:v>193</x:v>
      </x:c>
      <x:c r="D65" s="78" t="s">
        <x:v>194</x:v>
      </x:c>
      <x:c r="E65" s="79" t="s"/>
      <x:c r="F65" s="77" t="s"/>
      <x:c r="G65" s="92" t="n">
        <x:v>1</x:v>
      </x:c>
      <x:c r="H65" s="77" t="s">
        <x:v>154</x:v>
      </x:c>
      <x:c r="I65" s="77" t="s">
        <x:v>98</x:v>
      </x:c>
      <x:c r="J65" s="79" t="n">
        <x:v>8.25</x:v>
      </x:c>
      <x:c r="K65" s="211" t="n">
        <x:v>4</x:v>
      </x:c>
      <x:c r="L65" s="212" t="s"/>
      <x:c r="M65" s="213" t="n">
        <x:v>8.25</x:v>
      </x:c>
      <x:c r="N65" s="214" t="n">
        <x:v>0</x:v>
      </x:c>
      <x:c r="O65" s="214" t="n">
        <x:v>0</x:v>
      </x:c>
      <x:c r="P65" s="215">
        <x:f>ROUND(((K65*M65) - (K65*M65*N65/100)) + (((K65*M65) - (K65*M65*N65/100)) * O65/100), 2)</x:f>
      </x:c>
      <x:c r="Q65" s="216" t="s"/>
      <x:c r="R65" s="216" t="s"/>
      <x:c r="S65" s="81" t="s">
        <x:v>195</x:v>
      </x:c>
      <x:c r="T65" s="209" t="s"/>
      <x:c r="U65" s="210" t="s"/>
    </x:row>
    <x:row r="66" spans="1:23">
      <x:c r="A66" s="76" t="n">
        <x:v>46</x:v>
      </x:c>
      <x:c r="B66" s="76" t="n">
        <x:v>5210897</x:v>
      </x:c>
      <x:c r="C66" s="77" t="s">
        <x:v>196</x:v>
      </x:c>
      <x:c r="D66" s="78" t="s">
        <x:v>197</x:v>
      </x:c>
      <x:c r="E66" s="79" t="s"/>
      <x:c r="F66" s="77" t="s"/>
      <x:c r="G66" s="92" t="n">
        <x:v>250</x:v>
      </x:c>
      <x:c r="H66" s="77" t="s">
        <x:v>56</x:v>
      </x:c>
      <x:c r="I66" s="77" t="s">
        <x:v>57</x:v>
      </x:c>
      <x:c r="J66" s="79" t="n">
        <x:v>1.8</x:v>
      </x:c>
      <x:c r="K66" s="211" t="n">
        <x:v>55</x:v>
      </x:c>
      <x:c r="L66" s="212" t="s"/>
      <x:c r="M66" s="213" t="n">
        <x:v>1.8</x:v>
      </x:c>
      <x:c r="N66" s="214" t="n">
        <x:v>0</x:v>
      </x:c>
      <x:c r="O66" s="214" t="n">
        <x:v>0</x:v>
      </x:c>
      <x:c r="P66" s="215">
        <x:f>ROUND(((K66*M66) - (K66*M66*N66/100)) + (((K66*M66) - (K66*M66*N66/100)) * O66/100), 2)</x:f>
      </x:c>
      <x:c r="Q66" s="216" t="s"/>
      <x:c r="R66" s="216" t="s"/>
      <x:c r="S66" s="81" t="s">
        <x:v>198</x:v>
      </x:c>
      <x:c r="T66" s="209" t="s"/>
      <x:c r="U66" s="210" t="s"/>
    </x:row>
    <x:row r="67" spans="1:23">
      <x:c r="A67" s="76" t="n">
        <x:v>47</x:v>
      </x:c>
      <x:c r="B67" s="76" t="n">
        <x:v>5317259</x:v>
      </x:c>
      <x:c r="C67" s="77" t="s">
        <x:v>199</x:v>
      </x:c>
      <x:c r="D67" s="78" t="s">
        <x:v>200</x:v>
      </x:c>
      <x:c r="E67" s="79" t="s"/>
      <x:c r="F67" s="77" t="s"/>
      <x:c r="G67" s="92" t="n">
        <x:v>1</x:v>
      </x:c>
      <x:c r="H67" s="77" t="s">
        <x:v>68</x:v>
      </x:c>
      <x:c r="I67" s="77" t="s">
        <x:v>57</x:v>
      </x:c>
      <x:c r="J67" s="79" t="n">
        <x:v>0.92</x:v>
      </x:c>
      <x:c r="K67" s="211" t="n">
        <x:v>56</x:v>
      </x:c>
      <x:c r="L67" s="212" t="s"/>
      <x:c r="M67" s="213" t="n">
        <x:v>0.92</x:v>
      </x:c>
      <x:c r="N67" s="214" t="n">
        <x:v>0</x:v>
      </x:c>
      <x:c r="O67" s="214" t="n">
        <x:v>0</x:v>
      </x:c>
      <x:c r="P67" s="215">
        <x:f>ROUND(((K67*M67) - (K67*M67*N67/100)) + (((K67*M67) - (K67*M67*N67/100)) * O67/100), 2)</x:f>
      </x:c>
      <x:c r="Q67" s="216" t="s"/>
      <x:c r="R67" s="216" t="s"/>
      <x:c r="S67" s="81" t="s">
        <x:v>201</x:v>
      </x:c>
      <x:c r="T67" s="209" t="s"/>
      <x:c r="U67" s="210" t="s"/>
    </x:row>
    <x:row r="68" spans="1:23">
      <x:c r="A68" s="76" t="n">
        <x:v>48</x:v>
      </x:c>
      <x:c r="B68" s="76" t="n">
        <x:v>5210921</x:v>
      </x:c>
      <x:c r="C68" s="77" t="s">
        <x:v>202</x:v>
      </x:c>
      <x:c r="D68" s="78" t="s">
        <x:v>203</x:v>
      </x:c>
      <x:c r="E68" s="79" t="s"/>
      <x:c r="F68" s="77" t="s"/>
      <x:c r="G68" s="92" t="n">
        <x:v>500</x:v>
      </x:c>
      <x:c r="H68" s="77" t="s">
        <x:v>56</x:v>
      </x:c>
      <x:c r="I68" s="77" t="s">
        <x:v>57</x:v>
      </x:c>
      <x:c r="J68" s="79" t="n">
        <x:v>0.8</x:v>
      </x:c>
      <x:c r="K68" s="211" t="n">
        <x:v>6</x:v>
      </x:c>
      <x:c r="L68" s="212" t="s"/>
      <x:c r="M68" s="213" t="n">
        <x:v>0.8</x:v>
      </x:c>
      <x:c r="N68" s="214" t="n">
        <x:v>0</x:v>
      </x:c>
      <x:c r="O68" s="214" t="n">
        <x:v>0</x:v>
      </x:c>
      <x:c r="P68" s="215">
        <x:f>ROUND(((K68*M68) - (K68*M68*N68/100)) + (((K68*M68) - (K68*M68*N68/100)) * O68/100), 2)</x:f>
      </x:c>
      <x:c r="Q68" s="216" t="s"/>
      <x:c r="R68" s="216" t="s"/>
      <x:c r="S68" s="81" t="s">
        <x:v>204</x:v>
      </x:c>
      <x:c r="T68" s="209" t="s"/>
      <x:c r="U68" s="210" t="s"/>
    </x:row>
    <x:row r="69" spans="1:23">
      <x:c r="A69" s="76" t="n">
        <x:v>49</x:v>
      </x:c>
      <x:c r="B69" s="76" t="n">
        <x:v>5210923</x:v>
      </x:c>
      <x:c r="C69" s="77" t="s">
        <x:v>205</x:v>
      </x:c>
      <x:c r="D69" s="78" t="s">
        <x:v>206</x:v>
      </x:c>
      <x:c r="E69" s="79" t="s"/>
      <x:c r="F69" s="77" t="s"/>
      <x:c r="G69" s="92" t="n">
        <x:v>1</x:v>
      </x:c>
      <x:c r="H69" s="77" t="s">
        <x:v>132</x:v>
      </x:c>
      <x:c r="I69" s="77" t="s">
        <x:v>207</x:v>
      </x:c>
      <x:c r="J69" s="79" t="n">
        <x:v>5.88</x:v>
      </x:c>
      <x:c r="K69" s="211" t="n">
        <x:v>7</x:v>
      </x:c>
      <x:c r="L69" s="212" t="s"/>
      <x:c r="M69" s="213" t="n">
        <x:v>5.88</x:v>
      </x:c>
      <x:c r="N69" s="214" t="n">
        <x:v>0</x:v>
      </x:c>
      <x:c r="O69" s="214" t="n">
        <x:v>0</x:v>
      </x:c>
      <x:c r="P69" s="215">
        <x:f>ROUND(((K69*M69) - (K69*M69*N69/100)) + (((K69*M69) - (K69*M69*N69/100)) * O69/100), 2)</x:f>
      </x:c>
      <x:c r="Q69" s="216" t="s"/>
      <x:c r="R69" s="216" t="s"/>
      <x:c r="S69" s="81" t="s">
        <x:v>208</x:v>
      </x:c>
      <x:c r="T69" s="209" t="s"/>
      <x:c r="U69" s="210" t="s"/>
    </x:row>
    <x:row r="70" spans="1:23">
      <x:c r="A70" s="76" t="n">
        <x:v>50</x:v>
      </x:c>
      <x:c r="B70" s="76" t="n">
        <x:v>5210826</x:v>
      </x:c>
      <x:c r="C70" s="77" t="s">
        <x:v>209</x:v>
      </x:c>
      <x:c r="D70" s="78" t="s">
        <x:v>210</x:v>
      </x:c>
      <x:c r="E70" s="79" t="s"/>
      <x:c r="F70" s="77" t="s"/>
      <x:c r="G70" s="92" t="n">
        <x:v>1</x:v>
      </x:c>
      <x:c r="H70" s="77" t="s">
        <x:v>68</x:v>
      </x:c>
      <x:c r="I70" s="77" t="s">
        <x:v>72</x:v>
      </x:c>
      <x:c r="J70" s="79" t="n">
        <x:v>1.7</x:v>
      </x:c>
      <x:c r="K70" s="211" t="n">
        <x:v>48</x:v>
      </x:c>
      <x:c r="L70" s="212" t="s"/>
      <x:c r="M70" s="213" t="n">
        <x:v>1.7</x:v>
      </x:c>
      <x:c r="N70" s="214" t="n">
        <x:v>0</x:v>
      </x:c>
      <x:c r="O70" s="214" t="n">
        <x:v>0</x:v>
      </x:c>
      <x:c r="P70" s="215">
        <x:f>ROUND(((K70*M70) - (K70*M70*N70/100)) + (((K70*M70) - (K70*M70*N70/100)) * O70/100), 2)</x:f>
      </x:c>
      <x:c r="Q70" s="216" t="s"/>
      <x:c r="R70" s="216" t="s"/>
      <x:c r="S70" s="81" t="s">
        <x:v>211</x:v>
      </x:c>
      <x:c r="T70" s="209" t="s"/>
      <x:c r="U70" s="210" t="s"/>
    </x:row>
    <x:row r="71" spans="1:23">
      <x:c r="A71" s="76" t="n">
        <x:v>51</x:v>
      </x:c>
      <x:c r="B71" s="76" t="n">
        <x:v>5210962</x:v>
      </x:c>
      <x:c r="C71" s="77" t="s">
        <x:v>212</x:v>
      </x:c>
      <x:c r="D71" s="78" t="s">
        <x:v>213</x:v>
      </x:c>
      <x:c r="E71" s="79" t="s"/>
      <x:c r="F71" s="77" t="s"/>
      <x:c r="G71" s="92" t="n">
        <x:v>500</x:v>
      </x:c>
      <x:c r="H71" s="77" t="s">
        <x:v>114</x:v>
      </x:c>
      <x:c r="I71" s="77" t="s">
        <x:v>57</x:v>
      </x:c>
      <x:c r="J71" s="79" t="n">
        <x:v>0.8</x:v>
      </x:c>
      <x:c r="K71" s="211" t="n">
        <x:v>8</x:v>
      </x:c>
      <x:c r="L71" s="212" t="s"/>
      <x:c r="M71" s="213" t="n">
        <x:v>0.8</x:v>
      </x:c>
      <x:c r="N71" s="214" t="n">
        <x:v>0</x:v>
      </x:c>
      <x:c r="O71" s="214" t="n">
        <x:v>0</x:v>
      </x:c>
      <x:c r="P71" s="215">
        <x:f>ROUND(((K71*M71) - (K71*M71*N71/100)) + (((K71*M71) - (K71*M71*N71/100)) * O71/100), 2)</x:f>
      </x:c>
      <x:c r="Q71" s="216" t="s"/>
      <x:c r="R71" s="216" t="s"/>
      <x:c r="S71" s="81" t="s">
        <x:v>214</x:v>
      </x:c>
      <x:c r="T71" s="209" t="s"/>
      <x:c r="U71" s="210" t="s"/>
    </x:row>
    <x:row r="72" spans="1:23">
      <x:c r="A72" s="76" t="n">
        <x:v>52</x:v>
      </x:c>
      <x:c r="B72" s="76" t="n">
        <x:v>5561769</x:v>
      </x:c>
      <x:c r="C72" s="77" t="s">
        <x:v>215</x:v>
      </x:c>
      <x:c r="D72" s="78" t="s">
        <x:v>216</x:v>
      </x:c>
      <x:c r="E72" s="79" t="s"/>
      <x:c r="F72" s="77" t="s"/>
      <x:c r="G72" s="92" t="n">
        <x:v>1</x:v>
      </x:c>
      <x:c r="H72" s="77" t="s">
        <x:v>132</x:v>
      </x:c>
      <x:c r="I72" s="77" t="s">
        <x:v>57</x:v>
      </x:c>
      <x:c r="J72" s="79" t="n">
        <x:v>17.47</x:v>
      </x:c>
      <x:c r="K72" s="211" t="n">
        <x:v>3</x:v>
      </x:c>
      <x:c r="L72" s="212" t="s"/>
      <x:c r="M72" s="213" t="n">
        <x:v>17.47</x:v>
      </x:c>
      <x:c r="N72" s="214" t="n">
        <x:v>0</x:v>
      </x:c>
      <x:c r="O72" s="214" t="n">
        <x:v>0</x:v>
      </x:c>
      <x:c r="P72" s="215">
        <x:f>ROUND(((K72*M72) - (K72*M72*N72/100)) + (((K72*M72) - (K72*M72*N72/100)) * O72/100), 2)</x:f>
      </x:c>
      <x:c r="Q72" s="216" t="s"/>
      <x:c r="R72" s="216" t="s"/>
      <x:c r="S72" s="81" t="s">
        <x:v>217</x:v>
      </x:c>
      <x:c r="T72" s="209" t="s"/>
      <x:c r="U72" s="210" t="s"/>
    </x:row>
    <x:row r="73" spans="1:23">
      <x:c r="A73" s="76" t="n">
        <x:v>53</x:v>
      </x:c>
      <x:c r="B73" s="76" t="n">
        <x:v>5210527</x:v>
      </x:c>
      <x:c r="C73" s="77" t="s">
        <x:v>218</x:v>
      </x:c>
      <x:c r="D73" s="78" t="s">
        <x:v>219</x:v>
      </x:c>
      <x:c r="E73" s="79" t="s"/>
      <x:c r="F73" s="77" t="s"/>
      <x:c r="G73" s="92" t="n">
        <x:v>100</x:v>
      </x:c>
      <x:c r="H73" s="77" t="s">
        <x:v>56</x:v>
      </x:c>
      <x:c r="I73" s="77" t="s">
        <x:v>220</x:v>
      </x:c>
      <x:c r="J73" s="79" t="n">
        <x:v>0.3</x:v>
      </x:c>
      <x:c r="K73" s="211" t="n">
        <x:v>216</x:v>
      </x:c>
      <x:c r="L73" s="212" t="s"/>
      <x:c r="M73" s="213" t="n">
        <x:v>0.3</x:v>
      </x:c>
      <x:c r="N73" s="214" t="n">
        <x:v>0</x:v>
      </x:c>
      <x:c r="O73" s="214" t="n">
        <x:v>0</x:v>
      </x:c>
      <x:c r="P73" s="215">
        <x:f>ROUND(((K73*M73) - (K73*M73*N73/100)) + (((K73*M73) - (K73*M73*N73/100)) * O73/100), 2)</x:f>
      </x:c>
      <x:c r="Q73" s="216" t="s"/>
      <x:c r="R73" s="216" t="s"/>
      <x:c r="S73" s="81" t="s">
        <x:v>221</x:v>
      </x:c>
      <x:c r="T73" s="209" t="s"/>
      <x:c r="U73" s="210" t="s"/>
    </x:row>
    <x:row r="74" spans="1:23">
      <x:c r="A74" s="76" t="n">
        <x:v>54</x:v>
      </x:c>
      <x:c r="B74" s="76" t="n">
        <x:v>9655218</x:v>
      </x:c>
      <x:c r="C74" s="77" t="s">
        <x:v>222</x:v>
      </x:c>
      <x:c r="D74" s="78" t="s">
        <x:v>223</x:v>
      </x:c>
      <x:c r="E74" s="79" t="s"/>
      <x:c r="F74" s="77" t="s"/>
      <x:c r="G74" s="92" t="n">
        <x:v>1</x:v>
      </x:c>
      <x:c r="H74" s="77" t="s">
        <x:v>132</x:v>
      </x:c>
      <x:c r="I74" s="77" t="s">
        <x:v>57</x:v>
      </x:c>
      <x:c r="J74" s="79" t="n">
        <x:v>5.98</x:v>
      </x:c>
      <x:c r="K74" s="211" t="n">
        <x:v>4</x:v>
      </x:c>
      <x:c r="L74" s="212" t="s"/>
      <x:c r="M74" s="213" t="n">
        <x:v>5.98</x:v>
      </x:c>
      <x:c r="N74" s="214" t="n">
        <x:v>0</x:v>
      </x:c>
      <x:c r="O74" s="214" t="n">
        <x:v>0</x:v>
      </x:c>
      <x:c r="P74" s="215">
        <x:f>ROUND(((K74*M74) - (K74*M74*N74/100)) + (((K74*M74) - (K74*M74*N74/100)) * O74/100), 2)</x:f>
      </x:c>
      <x:c r="Q74" s="216" t="s"/>
      <x:c r="R74" s="216" t="s"/>
      <x:c r="S74" s="81" t="s">
        <x:v>224</x:v>
      </x:c>
      <x:c r="T74" s="209" t="s"/>
      <x:c r="U74" s="210" t="s"/>
    </x:row>
    <x:row r="75" spans="1:23">
      <x:c r="A75" s="76" t="n">
        <x:v>55</x:v>
      </x:c>
      <x:c r="B75" s="76" t="n">
        <x:v>5211183</x:v>
      </x:c>
      <x:c r="C75" s="77" t="s">
        <x:v>225</x:v>
      </x:c>
      <x:c r="D75" s="78" t="s">
        <x:v>226</x:v>
      </x:c>
      <x:c r="E75" s="79" t="s"/>
      <x:c r="F75" s="77" t="s"/>
      <x:c r="G75" s="92" t="n">
        <x:v>1</x:v>
      </x:c>
      <x:c r="H75" s="77" t="s">
        <x:v>132</x:v>
      </x:c>
      <x:c r="I75" s="77" t="s">
        <x:v>72</x:v>
      </x:c>
      <x:c r="J75" s="79" t="n">
        <x:v>4.54</x:v>
      </x:c>
      <x:c r="K75" s="211" t="n">
        <x:v>5</x:v>
      </x:c>
      <x:c r="L75" s="212" t="s"/>
      <x:c r="M75" s="213" t="n">
        <x:v>4.54</x:v>
      </x:c>
      <x:c r="N75" s="214" t="n">
        <x:v>0</x:v>
      </x:c>
      <x:c r="O75" s="214" t="n">
        <x:v>0</x:v>
      </x:c>
      <x:c r="P75" s="215">
        <x:f>ROUND(((K75*M75) - (K75*M75*N75/100)) + (((K75*M75) - (K75*M75*N75/100)) * O75/100), 2)</x:f>
      </x:c>
      <x:c r="Q75" s="216" t="s"/>
      <x:c r="R75" s="216" t="s"/>
      <x:c r="S75" s="81" t="s">
        <x:v>227</x:v>
      </x:c>
      <x:c r="T75" s="209" t="s"/>
      <x:c r="U75" s="210" t="s"/>
    </x:row>
    <x:row r="76" spans="1:23">
      <x:c r="A76" s="76" t="n">
        <x:v>56</x:v>
      </x:c>
      <x:c r="B76" s="76" t="n">
        <x:v>5211002</x:v>
      </x:c>
      <x:c r="C76" s="77" t="s">
        <x:v>228</x:v>
      </x:c>
      <x:c r="D76" s="78" t="s">
        <x:v>229</x:v>
      </x:c>
      <x:c r="E76" s="79" t="s"/>
      <x:c r="F76" s="77" t="s"/>
      <x:c r="G76" s="92" t="n">
        <x:v>1</x:v>
      </x:c>
      <x:c r="H76" s="77" t="s">
        <x:v>132</x:v>
      </x:c>
      <x:c r="I76" s="77" t="s">
        <x:v>230</x:v>
      </x:c>
      <x:c r="J76" s="79" t="n">
        <x:v>4.54</x:v>
      </x:c>
      <x:c r="K76" s="211" t="n">
        <x:v>6</x:v>
      </x:c>
      <x:c r="L76" s="212" t="s"/>
      <x:c r="M76" s="213" t="n">
        <x:v>4.54</x:v>
      </x:c>
      <x:c r="N76" s="214" t="n">
        <x:v>0</x:v>
      </x:c>
      <x:c r="O76" s="214" t="n">
        <x:v>0</x:v>
      </x:c>
      <x:c r="P76" s="215">
        <x:f>ROUND(((K76*M76) - (K76*M76*N76/100)) + (((K76*M76) - (K76*M76*N76/100)) * O76/100), 2)</x:f>
      </x:c>
      <x:c r="Q76" s="216" t="s"/>
      <x:c r="R76" s="216" t="s"/>
      <x:c r="S76" s="81" t="s">
        <x:v>231</x:v>
      </x:c>
      <x:c r="T76" s="209" t="s"/>
      <x:c r="U76" s="210" t="s"/>
    </x:row>
    <x:row r="77" spans="1:23">
      <x:c r="A77" s="76" t="n">
        <x:v>57</x:v>
      </x:c>
      <x:c r="B77" s="76" t="n">
        <x:v>7735403</x:v>
      </x:c>
      <x:c r="C77" s="77" t="s">
        <x:v>232</x:v>
      </x:c>
      <x:c r="D77" s="78" t="s">
        <x:v>233</x:v>
      </x:c>
      <x:c r="E77" s="79" t="s"/>
      <x:c r="F77" s="77" t="s"/>
      <x:c r="G77" s="92" t="n">
        <x:v>1</x:v>
      </x:c>
      <x:c r="H77" s="77" t="s">
        <x:v>68</x:v>
      </x:c>
      <x:c r="I77" s="77" t="s">
        <x:v>57</x:v>
      </x:c>
      <x:c r="J77" s="79" t="n">
        <x:v>2.06</x:v>
      </x:c>
      <x:c r="K77" s="211" t="n">
        <x:v>52</x:v>
      </x:c>
      <x:c r="L77" s="212" t="s"/>
      <x:c r="M77" s="213" t="n">
        <x:v>2.06</x:v>
      </x:c>
      <x:c r="N77" s="214" t="n">
        <x:v>0</x:v>
      </x:c>
      <x:c r="O77" s="214" t="n">
        <x:v>0</x:v>
      </x:c>
      <x:c r="P77" s="215">
        <x:f>ROUND(((K77*M77) - (K77*M77*N77/100)) + (((K77*M77) - (K77*M77*N77/100)) * O77/100), 2)</x:f>
      </x:c>
      <x:c r="Q77" s="216" t="s"/>
      <x:c r="R77" s="216" t="s"/>
      <x:c r="S77" s="81" t="s">
        <x:v>234</x:v>
      </x:c>
      <x:c r="T77" s="209" t="s"/>
      <x:c r="U77" s="210" t="s"/>
    </x:row>
    <x:row r="78" spans="1:23">
      <x:c r="A78" s="76" t="n">
        <x:v>58</x:v>
      </x:c>
      <x:c r="B78" s="76" t="n">
        <x:v>5211043</x:v>
      </x:c>
      <x:c r="C78" s="77" t="s">
        <x:v>235</x:v>
      </x:c>
      <x:c r="D78" s="78" t="s">
        <x:v>236</x:v>
      </x:c>
      <x:c r="E78" s="79" t="s"/>
      <x:c r="F78" s="77" t="s"/>
      <x:c r="G78" s="92" t="n">
        <x:v>1</x:v>
      </x:c>
      <x:c r="H78" s="77" t="s">
        <x:v>132</x:v>
      </x:c>
      <x:c r="I78" s="77" t="s">
        <x:v>57</x:v>
      </x:c>
      <x:c r="J78" s="79" t="n">
        <x:v>1.25</x:v>
      </x:c>
      <x:c r="K78" s="211" t="n">
        <x:v>520</x:v>
      </x:c>
      <x:c r="L78" s="212" t="s"/>
      <x:c r="M78" s="213" t="n">
        <x:v>1.25</x:v>
      </x:c>
      <x:c r="N78" s="214" t="n">
        <x:v>0</x:v>
      </x:c>
      <x:c r="O78" s="214" t="n">
        <x:v>0</x:v>
      </x:c>
      <x:c r="P78" s="215">
        <x:f>ROUND(((K78*M78) - (K78*M78*N78/100)) + (((K78*M78) - (K78*M78*N78/100)) * O78/100), 2)</x:f>
      </x:c>
      <x:c r="Q78" s="216" t="s"/>
      <x:c r="R78" s="216" t="s"/>
      <x:c r="S78" s="81" t="s">
        <x:v>237</x:v>
      </x:c>
      <x:c r="T78" s="209" t="s"/>
      <x:c r="U78" s="210" t="s"/>
    </x:row>
    <x:row r="79" spans="1:23">
      <x:c r="A79" s="76" t="n">
        <x:v>59</x:v>
      </x:c>
      <x:c r="B79" s="76" t="n">
        <x:v>5317832</x:v>
      </x:c>
      <x:c r="C79" s="77" t="s">
        <x:v>238</x:v>
      </x:c>
      <x:c r="D79" s="78" t="s">
        <x:v>239</x:v>
      </x:c>
      <x:c r="E79" s="79" t="s"/>
      <x:c r="F79" s="77" t="s"/>
      <x:c r="G79" s="92" t="n">
        <x:v>1</x:v>
      </x:c>
      <x:c r="H79" s="77" t="s">
        <x:v>132</x:v>
      </x:c>
      <x:c r="I79" s="77" t="s">
        <x:v>57</x:v>
      </x:c>
      <x:c r="J79" s="79" t="n">
        <x:v>1.25</x:v>
      </x:c>
      <x:c r="K79" s="211" t="n">
        <x:v>36</x:v>
      </x:c>
      <x:c r="L79" s="212" t="s"/>
      <x:c r="M79" s="213" t="n">
        <x:v>1.25</x:v>
      </x:c>
      <x:c r="N79" s="214" t="n">
        <x:v>0</x:v>
      </x:c>
      <x:c r="O79" s="214" t="n">
        <x:v>0</x:v>
      </x:c>
      <x:c r="P79" s="215">
        <x:f>ROUND(((K79*M79) - (K79*M79*N79/100)) + (((K79*M79) - (K79*M79*N79/100)) * O79/100), 2)</x:f>
      </x:c>
      <x:c r="Q79" s="216" t="s"/>
      <x:c r="R79" s="216" t="s"/>
      <x:c r="S79" s="81" t="s">
        <x:v>240</x:v>
      </x:c>
      <x:c r="T79" s="209" t="s"/>
      <x:c r="U79" s="210" t="s"/>
    </x:row>
    <x:row r="80" spans="1:23">
      <x:c r="A80" s="76" t="n">
        <x:v>60</x:v>
      </x:c>
      <x:c r="B80" s="76" t="n">
        <x:v>5211044</x:v>
      </x:c>
      <x:c r="C80" s="77" t="s">
        <x:v>241</x:v>
      </x:c>
      <x:c r="D80" s="78" t="s">
        <x:v>242</x:v>
      </x:c>
      <x:c r="E80" s="79" t="s"/>
      <x:c r="F80" s="77" t="s"/>
      <x:c r="G80" s="92" t="n">
        <x:v>1</x:v>
      </x:c>
      <x:c r="H80" s="77" t="s">
        <x:v>154</x:v>
      </x:c>
      <x:c r="I80" s="77" t="s">
        <x:v>57</x:v>
      </x:c>
      <x:c r="J80" s="79" t="n">
        <x:v>16.91</x:v>
      </x:c>
      <x:c r="K80" s="211" t="n">
        <x:v>10</x:v>
      </x:c>
      <x:c r="L80" s="212" t="s"/>
      <x:c r="M80" s="213" t="n">
        <x:v>16.91</x:v>
      </x:c>
      <x:c r="N80" s="214" t="n">
        <x:v>0</x:v>
      </x:c>
      <x:c r="O80" s="214" t="n">
        <x:v>0</x:v>
      </x:c>
      <x:c r="P80" s="215">
        <x:f>ROUND(((K80*M80) - (K80*M80*N80/100)) + (((K80*M80) - (K80*M80*N80/100)) * O80/100), 2)</x:f>
      </x:c>
      <x:c r="Q80" s="216" t="s"/>
      <x:c r="R80" s="216" t="s"/>
      <x:c r="S80" s="81" t="s">
        <x:v>243</x:v>
      </x:c>
      <x:c r="T80" s="209" t="s"/>
      <x:c r="U80" s="210" t="s"/>
    </x:row>
    <x:row r="81" spans="1:23">
      <x:c r="A81" s="76" t="n">
        <x:v>61</x:v>
      </x:c>
      <x:c r="B81" s="76" t="n">
        <x:v>5211051</x:v>
      </x:c>
      <x:c r="C81" s="77" t="s">
        <x:v>244</x:v>
      </x:c>
      <x:c r="D81" s="78" t="s">
        <x:v>245</x:v>
      </x:c>
      <x:c r="E81" s="79" t="s"/>
      <x:c r="F81" s="77" t="s"/>
      <x:c r="G81" s="92" t="n">
        <x:v>1</x:v>
      </x:c>
      <x:c r="H81" s="77" t="s">
        <x:v>154</x:v>
      </x:c>
      <x:c r="I81" s="77" t="s">
        <x:v>57</x:v>
      </x:c>
      <x:c r="J81" s="79" t="n">
        <x:v>8.14</x:v>
      </x:c>
      <x:c r="K81" s="211" t="n">
        <x:v>4</x:v>
      </x:c>
      <x:c r="L81" s="212" t="s"/>
      <x:c r="M81" s="213" t="n">
        <x:v>8.14</x:v>
      </x:c>
      <x:c r="N81" s="214" t="n">
        <x:v>0</x:v>
      </x:c>
      <x:c r="O81" s="214" t="n">
        <x:v>0</x:v>
      </x:c>
      <x:c r="P81" s="215">
        <x:f>ROUND(((K81*M81) - (K81*M81*N81/100)) + (((K81*M81) - (K81*M81*N81/100)) * O81/100), 2)</x:f>
      </x:c>
      <x:c r="Q81" s="216" t="s"/>
      <x:c r="R81" s="216" t="s"/>
      <x:c r="S81" s="81" t="s">
        <x:v>246</x:v>
      </x:c>
      <x:c r="T81" s="209" t="s"/>
      <x:c r="U81" s="210" t="s"/>
    </x:row>
    <x:row r="82" spans="1:23">
      <x:c r="A82" s="76" t="n">
        <x:v>62</x:v>
      </x:c>
      <x:c r="B82" s="76" t="n">
        <x:v>5211074</x:v>
      </x:c>
      <x:c r="C82" s="77" t="s">
        <x:v>247</x:v>
      </x:c>
      <x:c r="D82" s="78" t="s">
        <x:v>248</x:v>
      </x:c>
      <x:c r="E82" s="79" t="s"/>
      <x:c r="F82" s="77" t="s"/>
      <x:c r="G82" s="92" t="n">
        <x:v>1</x:v>
      </x:c>
      <x:c r="H82" s="77" t="s">
        <x:v>154</x:v>
      </x:c>
      <x:c r="I82" s="77" t="s">
        <x:v>57</x:v>
      </x:c>
      <x:c r="J82" s="79" t="n">
        <x:v>9.9</x:v>
      </x:c>
      <x:c r="K82" s="211" t="n">
        <x:v>16</x:v>
      </x:c>
      <x:c r="L82" s="212" t="s"/>
      <x:c r="M82" s="213" t="n">
        <x:v>9.9</x:v>
      </x:c>
      <x:c r="N82" s="214" t="n">
        <x:v>0</x:v>
      </x:c>
      <x:c r="O82" s="214" t="n">
        <x:v>0</x:v>
      </x:c>
      <x:c r="P82" s="215">
        <x:f>ROUND(((K82*M82) - (K82*M82*N82/100)) + (((K82*M82) - (K82*M82*N82/100)) * O82/100), 2)</x:f>
      </x:c>
      <x:c r="Q82" s="216" t="s"/>
      <x:c r="R82" s="216" t="s"/>
      <x:c r="S82" s="81" t="s">
        <x:v>249</x:v>
      </x:c>
      <x:c r="T82" s="209" t="s"/>
      <x:c r="U82" s="210" t="s"/>
    </x:row>
    <x:row r="83" spans="1:23">
      <x:c r="A83" s="76" t="n">
        <x:v>63</x:v>
      </x:c>
      <x:c r="B83" s="76" t="n">
        <x:v>5211090</x:v>
      </x:c>
      <x:c r="C83" s="77" t="s">
        <x:v>250</x:v>
      </x:c>
      <x:c r="D83" s="78" t="s">
        <x:v>251</x:v>
      </x:c>
      <x:c r="E83" s="79" t="s"/>
      <x:c r="F83" s="77" t="s"/>
      <x:c r="G83" s="92" t="n">
        <x:v>1</x:v>
      </x:c>
      <x:c r="H83" s="77" t="s">
        <x:v>132</x:v>
      </x:c>
      <x:c r="I83" s="77" t="s">
        <x:v>57</x:v>
      </x:c>
      <x:c r="J83" s="79" t="n">
        <x:v>1.38</x:v>
      </x:c>
      <x:c r="K83" s="211" t="n">
        <x:v>12</x:v>
      </x:c>
      <x:c r="L83" s="212" t="s"/>
      <x:c r="M83" s="213" t="n">
        <x:v>1.38</x:v>
      </x:c>
      <x:c r="N83" s="214" t="n">
        <x:v>0</x:v>
      </x:c>
      <x:c r="O83" s="214" t="n">
        <x:v>0</x:v>
      </x:c>
      <x:c r="P83" s="215">
        <x:f>ROUND(((K83*M83) - (K83*M83*N83/100)) + (((K83*M83) - (K83*M83*N83/100)) * O83/100), 2)</x:f>
      </x:c>
      <x:c r="Q83" s="216" t="s"/>
      <x:c r="R83" s="216" t="s"/>
      <x:c r="S83" s="81" t="s">
        <x:v>252</x:v>
      </x:c>
      <x:c r="T83" s="209" t="s"/>
      <x:c r="U83" s="210" t="s"/>
    </x:row>
    <x:row r="84" spans="1:23">
      <x:c r="A84" s="76" t="n">
        <x:v>64</x:v>
      </x:c>
      <x:c r="B84" s="76" t="n">
        <x:v>5211128</x:v>
      </x:c>
      <x:c r="C84" s="77" t="s">
        <x:v>253</x:v>
      </x:c>
      <x:c r="D84" s="78" t="s">
        <x:v>254</x:v>
      </x:c>
      <x:c r="E84" s="79" t="s"/>
      <x:c r="F84" s="77" t="s"/>
      <x:c r="G84" s="92" t="n">
        <x:v>250</x:v>
      </x:c>
      <x:c r="H84" s="77" t="s">
        <x:v>56</x:v>
      </x:c>
      <x:c r="I84" s="77" t="s">
        <x:v>57</x:v>
      </x:c>
      <x:c r="J84" s="79" t="n">
        <x:v>1.7</x:v>
      </x:c>
      <x:c r="K84" s="211" t="n">
        <x:v>42</x:v>
      </x:c>
      <x:c r="L84" s="212" t="s"/>
      <x:c r="M84" s="213" t="n">
        <x:v>1.7</x:v>
      </x:c>
      <x:c r="N84" s="214" t="n">
        <x:v>0</x:v>
      </x:c>
      <x:c r="O84" s="214" t="n">
        <x:v>0</x:v>
      </x:c>
      <x:c r="P84" s="215">
        <x:f>ROUND(((K84*M84) - (K84*M84*N84/100)) + (((K84*M84) - (K84*M84*N84/100)) * O84/100), 2)</x:f>
      </x:c>
      <x:c r="Q84" s="216" t="s"/>
      <x:c r="R84" s="216" t="s"/>
      <x:c r="S84" s="81" t="s">
        <x:v>255</x:v>
      </x:c>
      <x:c r="T84" s="209" t="s"/>
      <x:c r="U84" s="210" t="s"/>
    </x:row>
    <x:row r="85" spans="1:23">
      <x:c r="A85" s="76" t="n">
        <x:v>65</x:v>
      </x:c>
      <x:c r="B85" s="76" t="n">
        <x:v>5557776</x:v>
      </x:c>
      <x:c r="C85" s="77" t="s">
        <x:v>256</x:v>
      </x:c>
      <x:c r="D85" s="78" t="s">
        <x:v>257</x:v>
      </x:c>
      <x:c r="E85" s="79" t="s"/>
      <x:c r="F85" s="77" t="s"/>
      <x:c r="G85" s="92" t="n">
        <x:v>1</x:v>
      </x:c>
      <x:c r="H85" s="77" t="s">
        <x:v>68</x:v>
      </x:c>
      <x:c r="I85" s="77" t="s">
        <x:v>72</x:v>
      </x:c>
      <x:c r="J85" s="79" t="n">
        <x:v>2.06</x:v>
      </x:c>
      <x:c r="K85" s="211" t="n">
        <x:v>90</x:v>
      </x:c>
      <x:c r="L85" s="212" t="s"/>
      <x:c r="M85" s="213" t="n">
        <x:v>2.06</x:v>
      </x:c>
      <x:c r="N85" s="214" t="n">
        <x:v>0</x:v>
      </x:c>
      <x:c r="O85" s="214" t="n">
        <x:v>0</x:v>
      </x:c>
      <x:c r="P85" s="215">
        <x:f>ROUND(((K85*M85) - (K85*M85*N85/100)) + (((K85*M85) - (K85*M85*N85/100)) * O85/100), 2)</x:f>
      </x:c>
      <x:c r="Q85" s="216" t="s"/>
      <x:c r="R85" s="216" t="s"/>
      <x:c r="S85" s="81" t="s">
        <x:v>258</x:v>
      </x:c>
      <x:c r="T85" s="209" t="s"/>
      <x:c r="U85" s="210" t="s"/>
    </x:row>
    <x:row r="86" spans="1:23">
      <x:c r="A86" s="76" t="n">
        <x:v>66</x:v>
      </x:c>
      <x:c r="B86" s="76" t="n">
        <x:v>5210834</x:v>
      </x:c>
      <x:c r="C86" s="77" t="s">
        <x:v>259</x:v>
      </x:c>
      <x:c r="D86" s="78" t="s">
        <x:v>260</x:v>
      </x:c>
      <x:c r="E86" s="79" t="s"/>
      <x:c r="F86" s="77" t="s"/>
      <x:c r="G86" s="92" t="n">
        <x:v>100</x:v>
      </x:c>
      <x:c r="H86" s="77" t="s">
        <x:v>154</x:v>
      </x:c>
      <x:c r="I86" s="77" t="s">
        <x:v>57</x:v>
      </x:c>
      <x:c r="J86" s="79" t="n">
        <x:v>14.12</x:v>
      </x:c>
      <x:c r="K86" s="211" t="n">
        <x:v>30</x:v>
      </x:c>
      <x:c r="L86" s="212" t="s"/>
      <x:c r="M86" s="213" t="n">
        <x:v>14.12</x:v>
      </x:c>
      <x:c r="N86" s="214" t="n">
        <x:v>0</x:v>
      </x:c>
      <x:c r="O86" s="214" t="n">
        <x:v>0</x:v>
      </x:c>
      <x:c r="P86" s="215">
        <x:f>ROUND(((K86*M86) - (K86*M86*N86/100)) + (((K86*M86) - (K86*M86*N86/100)) * O86/100), 2)</x:f>
      </x:c>
      <x:c r="Q86" s="216" t="s"/>
      <x:c r="R86" s="216" t="s"/>
      <x:c r="S86" s="81" t="s">
        <x:v>261</x:v>
      </x:c>
      <x:c r="T86" s="209" t="s"/>
      <x:c r="U86" s="210" t="s"/>
    </x:row>
    <x:row r="87" spans="1:23">
      <x:c r="A87" s="76" t="n">
        <x:v>67</x:v>
      </x:c>
      <x:c r="B87" s="76" t="n">
        <x:v>5210839</x:v>
      </x:c>
      <x:c r="C87" s="77" t="s">
        <x:v>262</x:v>
      </x:c>
      <x:c r="D87" s="78" t="s">
        <x:v>263</x:v>
      </x:c>
      <x:c r="E87" s="79" t="s"/>
      <x:c r="F87" s="77" t="s"/>
      <x:c r="G87" s="92" t="n">
        <x:v>100</x:v>
      </x:c>
      <x:c r="H87" s="77" t="s">
        <x:v>154</x:v>
      </x:c>
      <x:c r="I87" s="77" t="s">
        <x:v>57</x:v>
      </x:c>
      <x:c r="J87" s="79" t="n">
        <x:v>11.29</x:v>
      </x:c>
      <x:c r="K87" s="211" t="n">
        <x:v>10</x:v>
      </x:c>
      <x:c r="L87" s="212" t="s"/>
      <x:c r="M87" s="213" t="n">
        <x:v>11.29</x:v>
      </x:c>
      <x:c r="N87" s="214" t="n">
        <x:v>0</x:v>
      </x:c>
      <x:c r="O87" s="214" t="n">
        <x:v>0</x:v>
      </x:c>
      <x:c r="P87" s="215">
        <x:f>ROUND(((K87*M87) - (K87*M87*N87/100)) + (((K87*M87) - (K87*M87*N87/100)) * O87/100), 2)</x:f>
      </x:c>
      <x:c r="Q87" s="216" t="s"/>
      <x:c r="R87" s="216" t="s"/>
      <x:c r="S87" s="81" t="s">
        <x:v>264</x:v>
      </x:c>
      <x:c r="T87" s="209" t="s"/>
      <x:c r="U87" s="210" t="s"/>
    </x:row>
    <x:row r="88" spans="1:23">
      <x:c r="A88" s="76" t="n">
        <x:v>68</x:v>
      </x:c>
      <x:c r="B88" s="76" t="n">
        <x:v>5210889</x:v>
      </x:c>
      <x:c r="C88" s="77" t="s">
        <x:v>265</x:v>
      </x:c>
      <x:c r="D88" s="78" t="s">
        <x:v>266</x:v>
      </x:c>
      <x:c r="E88" s="79" t="s"/>
      <x:c r="F88" s="77" t="s"/>
      <x:c r="G88" s="92" t="n">
        <x:v>100</x:v>
      </x:c>
      <x:c r="H88" s="77" t="s">
        <x:v>56</x:v>
      </x:c>
      <x:c r="I88" s="77" t="s">
        <x:v>57</x:v>
      </x:c>
      <x:c r="J88" s="79" t="n">
        <x:v>3.97</x:v>
      </x:c>
      <x:c r="K88" s="211" t="n">
        <x:v>50</x:v>
      </x:c>
      <x:c r="L88" s="212" t="s"/>
      <x:c r="M88" s="213" t="n">
        <x:v>3.97</x:v>
      </x:c>
      <x:c r="N88" s="214" t="n">
        <x:v>0</x:v>
      </x:c>
      <x:c r="O88" s="214" t="n">
        <x:v>0</x:v>
      </x:c>
      <x:c r="P88" s="215">
        <x:f>ROUND(((K88*M88) - (K88*M88*N88/100)) + (((K88*M88) - (K88*M88*N88/100)) * O88/100), 2)</x:f>
      </x:c>
      <x:c r="Q88" s="216" t="s"/>
      <x:c r="R88" s="216" t="s"/>
      <x:c r="S88" s="81" t="s">
        <x:v>267</x:v>
      </x:c>
      <x:c r="T88" s="209" t="s"/>
      <x:c r="U88" s="210" t="s"/>
    </x:row>
    <x:row r="89" spans="1:23">
      <x:c r="A89" s="76" t="n">
        <x:v>69</x:v>
      </x:c>
      <x:c r="B89" s="76" t="n">
        <x:v>5210943</x:v>
      </x:c>
      <x:c r="C89" s="77" t="s">
        <x:v>268</x:v>
      </x:c>
      <x:c r="D89" s="78" t="s">
        <x:v>269</x:v>
      </x:c>
      <x:c r="E89" s="79" t="s"/>
      <x:c r="F89" s="77" t="s"/>
      <x:c r="G89" s="92" t="n">
        <x:v>1</x:v>
      </x:c>
      <x:c r="H89" s="77" t="s">
        <x:v>154</x:v>
      </x:c>
      <x:c r="I89" s="77" t="s">
        <x:v>57</x:v>
      </x:c>
      <x:c r="J89" s="79" t="n">
        <x:v>3.4</x:v>
      </x:c>
      <x:c r="K89" s="211" t="n">
        <x:v>20</x:v>
      </x:c>
      <x:c r="L89" s="212" t="s"/>
      <x:c r="M89" s="213" t="n">
        <x:v>3.4</x:v>
      </x:c>
      <x:c r="N89" s="214" t="n">
        <x:v>0</x:v>
      </x:c>
      <x:c r="O89" s="214" t="n">
        <x:v>0</x:v>
      </x:c>
      <x:c r="P89" s="215">
        <x:f>ROUND(((K89*M89) - (K89*M89*N89/100)) + (((K89*M89) - (K89*M89*N89/100)) * O89/100), 2)</x:f>
      </x:c>
      <x:c r="Q89" s="216" t="s"/>
      <x:c r="R89" s="216" t="s"/>
      <x:c r="S89" s="81" t="s">
        <x:v>270</x:v>
      </x:c>
      <x:c r="T89" s="209" t="s"/>
      <x:c r="U89" s="210" t="s"/>
    </x:row>
    <x:row r="90" spans="1:23">
      <x:c r="A90" s="76" t="n">
        <x:v>70</x:v>
      </x:c>
      <x:c r="B90" s="76" t="n">
        <x:v>5210944</x:v>
      </x:c>
      <x:c r="C90" s="77" t="s">
        <x:v>271</x:v>
      </x:c>
      <x:c r="D90" s="78" t="s">
        <x:v>272</x:v>
      </x:c>
      <x:c r="E90" s="79" t="s"/>
      <x:c r="F90" s="77" t="s"/>
      <x:c r="G90" s="92" t="n">
        <x:v>1</x:v>
      </x:c>
      <x:c r="H90" s="77" t="s">
        <x:v>154</x:v>
      </x:c>
      <x:c r="I90" s="77" t="s">
        <x:v>72</x:v>
      </x:c>
      <x:c r="J90" s="79" t="n">
        <x:v>5.1</x:v>
      </x:c>
      <x:c r="K90" s="211" t="n">
        <x:v>2</x:v>
      </x:c>
      <x:c r="L90" s="212" t="s"/>
      <x:c r="M90" s="213" t="n">
        <x:v>5.1</x:v>
      </x:c>
      <x:c r="N90" s="214" t="n">
        <x:v>0</x:v>
      </x:c>
      <x:c r="O90" s="214" t="n">
        <x:v>0</x:v>
      </x:c>
      <x:c r="P90" s="215">
        <x:f>ROUND(((K90*M90) - (K90*M90*N90/100)) + (((K90*M90) - (K90*M90*N90/100)) * O90/100), 2)</x:f>
      </x:c>
      <x:c r="Q90" s="216" t="s"/>
      <x:c r="R90" s="216" t="s"/>
      <x:c r="S90" s="81" t="s">
        <x:v>273</x:v>
      </x:c>
      <x:c r="T90" s="209" t="s"/>
      <x:c r="U90" s="210" t="s"/>
    </x:row>
    <x:row r="91" spans="1:23">
      <x:c r="A91" s="76" t="n">
        <x:v>71</x:v>
      </x:c>
      <x:c r="B91" s="76" t="n">
        <x:v>6665186</x:v>
      </x:c>
      <x:c r="C91" s="77" t="s">
        <x:v>274</x:v>
      </x:c>
      <x:c r="D91" s="78" t="s">
        <x:v>275</x:v>
      </x:c>
      <x:c r="E91" s="79" t="s"/>
      <x:c r="F91" s="77" t="s"/>
      <x:c r="G91" s="92" t="n">
        <x:v>100</x:v>
      </x:c>
      <x:c r="H91" s="77" t="s">
        <x:v>154</x:v>
      </x:c>
      <x:c r="I91" s="77" t="s">
        <x:v>57</x:v>
      </x:c>
      <x:c r="J91" s="79" t="n">
        <x:v>16.91</x:v>
      </x:c>
      <x:c r="K91" s="211" t="n">
        <x:v>5</x:v>
      </x:c>
      <x:c r="L91" s="212" t="s"/>
      <x:c r="M91" s="213" t="n">
        <x:v>16.91</x:v>
      </x:c>
      <x:c r="N91" s="214" t="n">
        <x:v>0</x:v>
      </x:c>
      <x:c r="O91" s="214" t="n">
        <x:v>0</x:v>
      </x:c>
      <x:c r="P91" s="215">
        <x:f>ROUND(((K91*M91) - (K91*M91*N91/100)) + (((K91*M91) - (K91*M91*N91/100)) * O91/100), 2)</x:f>
      </x:c>
      <x:c r="Q91" s="216" t="s"/>
      <x:c r="R91" s="216" t="s"/>
      <x:c r="S91" s="81" t="s">
        <x:v>276</x:v>
      </x:c>
      <x:c r="T91" s="209" t="s"/>
      <x:c r="U91" s="210" t="s"/>
    </x:row>
    <x:row r="92" spans="1:23">
      <x:c r="A92" s="76" t="n">
        <x:v>72</x:v>
      </x:c>
      <x:c r="B92" s="76" t="n">
        <x:v>5211042</x:v>
      </x:c>
      <x:c r="C92" s="77" t="s">
        <x:v>277</x:v>
      </x:c>
      <x:c r="D92" s="78" t="s">
        <x:v>278</x:v>
      </x:c>
      <x:c r="E92" s="79" t="s"/>
      <x:c r="F92" s="77" t="s"/>
      <x:c r="G92" s="92" t="n">
        <x:v>100</x:v>
      </x:c>
      <x:c r="H92" s="77" t="s">
        <x:v>154</x:v>
      </x:c>
      <x:c r="I92" s="77" t="s">
        <x:v>57</x:v>
      </x:c>
      <x:c r="J92" s="79" t="n">
        <x:v>16.91</x:v>
      </x:c>
      <x:c r="K92" s="211" t="n">
        <x:v>30</x:v>
      </x:c>
      <x:c r="L92" s="212" t="s"/>
      <x:c r="M92" s="213" t="n">
        <x:v>16.91</x:v>
      </x:c>
      <x:c r="N92" s="214" t="n">
        <x:v>0</x:v>
      </x:c>
      <x:c r="O92" s="214" t="n">
        <x:v>0</x:v>
      </x:c>
      <x:c r="P92" s="215">
        <x:f>ROUND(((K92*M92) - (K92*M92*N92/100)) + (((K92*M92) - (K92*M92*N92/100)) * O92/100), 2)</x:f>
      </x:c>
      <x:c r="Q92" s="216" t="s"/>
      <x:c r="R92" s="216" t="s"/>
      <x:c r="S92" s="81" t="s">
        <x:v>279</x:v>
      </x:c>
      <x:c r="T92" s="209" t="s"/>
      <x:c r="U92" s="210" t="s"/>
    </x:row>
    <x:row r="93" spans="1:23">
      <x:c r="A93" s="76" t="n">
        <x:v>73</x:v>
      </x:c>
      <x:c r="B93" s="76" t="n">
        <x:v>6305079</x:v>
      </x:c>
      <x:c r="C93" s="77" t="s">
        <x:v>280</x:v>
      </x:c>
      <x:c r="D93" s="78" t="s">
        <x:v>281</x:v>
      </x:c>
      <x:c r="E93" s="79" t="s"/>
      <x:c r="F93" s="77" t="s"/>
      <x:c r="G93" s="92" t="n">
        <x:v>100</x:v>
      </x:c>
      <x:c r="H93" s="77" t="s">
        <x:v>154</x:v>
      </x:c>
      <x:c r="I93" s="77" t="s">
        <x:v>57</x:v>
      </x:c>
      <x:c r="J93" s="79" t="n">
        <x:v>6.24</x:v>
      </x:c>
      <x:c r="K93" s="211" t="n">
        <x:v>10</x:v>
      </x:c>
      <x:c r="L93" s="212" t="s"/>
      <x:c r="M93" s="213" t="n">
        <x:v>6.24</x:v>
      </x:c>
      <x:c r="N93" s="214" t="n">
        <x:v>0</x:v>
      </x:c>
      <x:c r="O93" s="214" t="n">
        <x:v>0</x:v>
      </x:c>
      <x:c r="P93" s="215">
        <x:f>ROUND(((K93*M93) - (K93*M93*N93/100)) + (((K93*M93) - (K93*M93*N93/100)) * O93/100), 2)</x:f>
      </x:c>
      <x:c r="Q93" s="216" t="s"/>
      <x:c r="R93" s="216" t="s"/>
      <x:c r="S93" s="81" t="s">
        <x:v>282</x:v>
      </x:c>
      <x:c r="T93" s="209" t="s"/>
      <x:c r="U93" s="210" t="s"/>
    </x:row>
    <x:row r="94" spans="1:23">
      <x:c r="A94" s="76" t="n">
        <x:v>74</x:v>
      </x:c>
      <x:c r="B94" s="76" t="n">
        <x:v>5211089</x:v>
      </x:c>
      <x:c r="C94" s="77" t="s">
        <x:v>283</x:v>
      </x:c>
      <x:c r="D94" s="78" t="s">
        <x:v>284</x:v>
      </x:c>
      <x:c r="E94" s="79" t="s"/>
      <x:c r="F94" s="77" t="s"/>
      <x:c r="G94" s="92" t="n">
        <x:v>100</x:v>
      </x:c>
      <x:c r="H94" s="77" t="s">
        <x:v>154</x:v>
      </x:c>
      <x:c r="I94" s="77" t="s">
        <x:v>57</x:v>
      </x:c>
      <x:c r="J94" s="79" t="n">
        <x:v>18.04</x:v>
      </x:c>
      <x:c r="K94" s="211" t="n">
        <x:v>20</x:v>
      </x:c>
      <x:c r="L94" s="212" t="s"/>
      <x:c r="M94" s="213" t="n">
        <x:v>18.04</x:v>
      </x:c>
      <x:c r="N94" s="214" t="n">
        <x:v>0</x:v>
      </x:c>
      <x:c r="O94" s="214" t="n">
        <x:v>0</x:v>
      </x:c>
      <x:c r="P94" s="215">
        <x:f>ROUND(((K94*M94) - (K94*M94*N94/100)) + (((K94*M94) - (K94*M94*N94/100)) * O94/100), 2)</x:f>
      </x:c>
      <x:c r="Q94" s="216" t="s"/>
      <x:c r="R94" s="216" t="s"/>
      <x:c r="S94" s="81" t="s">
        <x:v>285</x:v>
      </x:c>
      <x:c r="T94" s="209" t="s"/>
      <x:c r="U94" s="210" t="s"/>
    </x:row>
    <x:row r="95" spans="1:23">
      <x:c r="A95" s="76" t="n">
        <x:v>75</x:v>
      </x:c>
      <x:c r="B95" s="76" t="n">
        <x:v>5211100</x:v>
      </x:c>
      <x:c r="C95" s="77" t="s">
        <x:v>286</x:v>
      </x:c>
      <x:c r="D95" s="78" t="s">
        <x:v>287</x:v>
      </x:c>
      <x:c r="E95" s="79" t="s"/>
      <x:c r="F95" s="77" t="s"/>
      <x:c r="G95" s="92" t="n">
        <x:v>100</x:v>
      </x:c>
      <x:c r="H95" s="77" t="s">
        <x:v>154</x:v>
      </x:c>
      <x:c r="I95" s="77" t="s">
        <x:v>57</x:v>
      </x:c>
      <x:c r="J95" s="79" t="n">
        <x:v>4.28</x:v>
      </x:c>
      <x:c r="K95" s="211" t="n">
        <x:v>30</x:v>
      </x:c>
      <x:c r="L95" s="212" t="s"/>
      <x:c r="M95" s="213" t="n">
        <x:v>4.28</x:v>
      </x:c>
      <x:c r="N95" s="214" t="n">
        <x:v>0</x:v>
      </x:c>
      <x:c r="O95" s="214" t="n">
        <x:v>0</x:v>
      </x:c>
      <x:c r="P95" s="215">
        <x:f>ROUND(((K95*M95) - (K95*M95*N95/100)) + (((K95*M95) - (K95*M95*N95/100)) * O95/100), 2)</x:f>
      </x:c>
      <x:c r="Q95" s="216" t="s"/>
      <x:c r="R95" s="216" t="s"/>
      <x:c r="S95" s="81" t="s">
        <x:v>288</x:v>
      </x:c>
      <x:c r="T95" s="209" t="s"/>
      <x:c r="U95" s="210" t="s"/>
    </x:row>
    <x:row r="96" spans="1:23">
      <x:c r="A96" s="76" t="n">
        <x:v>76</x:v>
      </x:c>
      <x:c r="B96" s="76" t="n">
        <x:v>6650343</x:v>
      </x:c>
      <x:c r="C96" s="77" t="s">
        <x:v>289</x:v>
      </x:c>
      <x:c r="D96" s="78" t="s">
        <x:v>290</x:v>
      </x:c>
      <x:c r="E96" s="79" t="s"/>
      <x:c r="F96" s="77" t="s"/>
      <x:c r="G96" s="92" t="n">
        <x:v>100</x:v>
      </x:c>
      <x:c r="H96" s="77" t="s">
        <x:v>154</x:v>
      </x:c>
      <x:c r="I96" s="77" t="s">
        <x:v>57</x:v>
      </x:c>
      <x:c r="J96" s="79" t="n">
        <x:v>8.45</x:v>
      </x:c>
      <x:c r="K96" s="211" t="n">
        <x:v>3</x:v>
      </x:c>
      <x:c r="L96" s="212" t="s"/>
      <x:c r="M96" s="213" t="n">
        <x:v>8.45</x:v>
      </x:c>
      <x:c r="N96" s="214" t="n">
        <x:v>0</x:v>
      </x:c>
      <x:c r="O96" s="214" t="n">
        <x:v>0</x:v>
      </x:c>
      <x:c r="P96" s="215">
        <x:f>ROUND(((K96*M96) - (K96*M96*N96/100)) + (((K96*M96) - (K96*M96*N96/100)) * O96/100), 2)</x:f>
      </x:c>
      <x:c r="Q96" s="216" t="s"/>
      <x:c r="R96" s="216" t="s"/>
      <x:c r="S96" s="81" t="s">
        <x:v>291</x:v>
      </x:c>
      <x:c r="T96" s="209" t="s"/>
      <x:c r="U96" s="210" t="s"/>
    </x:row>
    <x:row r="97" spans="1:23">
      <x:c r="A97" s="76" t="n">
        <x:v>77</x:v>
      </x:c>
      <x:c r="B97" s="76" t="n">
        <x:v>5211190</x:v>
      </x:c>
      <x:c r="C97" s="77" t="s">
        <x:v>292</x:v>
      </x:c>
      <x:c r="D97" s="78" t="s">
        <x:v>293</x:v>
      </x:c>
      <x:c r="E97" s="79" t="s"/>
      <x:c r="F97" s="77" t="s"/>
      <x:c r="G97" s="92" t="n">
        <x:v>100</x:v>
      </x:c>
      <x:c r="H97" s="77" t="s">
        <x:v>154</x:v>
      </x:c>
      <x:c r="I97" s="77" t="s">
        <x:v>57</x:v>
      </x:c>
      <x:c r="J97" s="79" t="n">
        <x:v>22.01</x:v>
      </x:c>
      <x:c r="K97" s="211" t="n">
        <x:v>20</x:v>
      </x:c>
      <x:c r="L97" s="212" t="s"/>
      <x:c r="M97" s="213" t="n">
        <x:v>22.01</x:v>
      </x:c>
      <x:c r="N97" s="214" t="n">
        <x:v>0</x:v>
      </x:c>
      <x:c r="O97" s="214" t="n">
        <x:v>0</x:v>
      </x:c>
      <x:c r="P97" s="215">
        <x:f>ROUND(((K97*M97) - (K97*M97*N97/100)) + (((K97*M97) - (K97*M97*N97/100)) * O97/100), 2)</x:f>
      </x:c>
      <x:c r="Q97" s="216" t="s"/>
      <x:c r="R97" s="216" t="s"/>
      <x:c r="S97" s="81" t="s">
        <x:v>294</x:v>
      </x:c>
      <x:c r="T97" s="209" t="s"/>
      <x:c r="U97" s="210" t="s"/>
    </x:row>
    <x:row r="98" spans="1:23">
      <x:c r="A98" s="76" t="n">
        <x:v>78</x:v>
      </x:c>
      <x:c r="B98" s="76" t="n">
        <x:v>5210632</x:v>
      </x:c>
      <x:c r="C98" s="77" t="s">
        <x:v>295</x:v>
      </x:c>
      <x:c r="D98" s="78" t="s">
        <x:v>296</x:v>
      </x:c>
      <x:c r="E98" s="79" t="s"/>
      <x:c r="F98" s="77" t="s"/>
      <x:c r="G98" s="92" t="n">
        <x:v>1</x:v>
      </x:c>
      <x:c r="H98" s="77" t="s">
        <x:v>68</x:v>
      </x:c>
      <x:c r="I98" s="77" t="s">
        <x:v>72</x:v>
      </x:c>
      <x:c r="J98" s="79" t="n">
        <x:v>50</x:v>
      </x:c>
      <x:c r="K98" s="211" t="n">
        <x:v>4000</x:v>
      </x:c>
      <x:c r="L98" s="212" t="s"/>
      <x:c r="M98" s="213" t="n">
        <x:v>50</x:v>
      </x:c>
      <x:c r="N98" s="214" t="n">
        <x:v>0</x:v>
      </x:c>
      <x:c r="O98" s="214" t="n">
        <x:v>0</x:v>
      </x:c>
      <x:c r="P98" s="215">
        <x:f>ROUND(((K98*M98) - (K98*M98*N98/100)) + (((K98*M98) - (K98*M98*N98/100)) * O98/100), 2)</x:f>
      </x:c>
      <x:c r="Q98" s="216" t="s"/>
      <x:c r="R98" s="216" t="s"/>
      <x:c r="S98" s="81" t="s">
        <x:v>297</x:v>
      </x:c>
      <x:c r="T98" s="209" t="s"/>
      <x:c r="U98" s="210" t="s"/>
    </x:row>
    <x:row r="99" spans="1:23">
      <x:c r="A99" s="76" t="n">
        <x:v>79</x:v>
      </x:c>
      <x:c r="B99" s="76" t="n">
        <x:v>5210917</x:v>
      </x:c>
      <x:c r="C99" s="77" t="s">
        <x:v>298</x:v>
      </x:c>
      <x:c r="D99" s="78" t="s">
        <x:v>299</x:v>
      </x:c>
      <x:c r="E99" s="79" t="s"/>
      <x:c r="F99" s="77" t="s"/>
      <x:c r="G99" s="92" t="n">
        <x:v>1</x:v>
      </x:c>
      <x:c r="H99" s="77" t="s">
        <x:v>132</x:v>
      </x:c>
      <x:c r="I99" s="77" t="s">
        <x:v>72</x:v>
      </x:c>
      <x:c r="J99" s="79" t="n">
        <x:v>4.54</x:v>
      </x:c>
      <x:c r="K99" s="211" t="n">
        <x:v>3</x:v>
      </x:c>
      <x:c r="L99" s="212" t="s"/>
      <x:c r="M99" s="213" t="n">
        <x:v>4.54</x:v>
      </x:c>
      <x:c r="N99" s="214" t="n">
        <x:v>0</x:v>
      </x:c>
      <x:c r="O99" s="214" t="n">
        <x:v>0</x:v>
      </x:c>
      <x:c r="P99" s="215">
        <x:f>ROUND(((K99*M99) - (K99*M99*N99/100)) + (((K99*M99) - (K99*M99*N99/100)) * O99/100), 2)</x:f>
      </x:c>
      <x:c r="Q99" s="216" t="s"/>
      <x:c r="R99" s="216" t="s"/>
      <x:c r="S99" s="81" t="s">
        <x:v>300</x:v>
      </x:c>
      <x:c r="T99" s="209" t="s"/>
      <x:c r="U99" s="210" t="s"/>
    </x:row>
    <x:row r="100" spans="1:23">
      <x:c r="A100" s="76" t="n">
        <x:v>80</x:v>
      </x:c>
      <x:c r="B100" s="76" t="n">
        <x:v>5210924</x:v>
      </x:c>
      <x:c r="C100" s="77" t="s">
        <x:v>301</x:v>
      </x:c>
      <x:c r="D100" s="78" t="s">
        <x:v>302</x:v>
      </x:c>
      <x:c r="E100" s="79" t="s"/>
      <x:c r="F100" s="77" t="s"/>
      <x:c r="G100" s="92" t="n">
        <x:v>1</x:v>
      </x:c>
      <x:c r="H100" s="77" t="s">
        <x:v>132</x:v>
      </x:c>
      <x:c r="I100" s="77" t="s">
        <x:v>72</x:v>
      </x:c>
      <x:c r="J100" s="79" t="n">
        <x:v>20.21</x:v>
      </x:c>
      <x:c r="K100" s="211" t="n">
        <x:v>150</x:v>
      </x:c>
      <x:c r="L100" s="212" t="s"/>
      <x:c r="M100" s="213" t="n">
        <x:v>20.21</x:v>
      </x:c>
      <x:c r="N100" s="214" t="n">
        <x:v>0</x:v>
      </x:c>
      <x:c r="O100" s="214" t="n">
        <x:v>0</x:v>
      </x:c>
      <x:c r="P100" s="215">
        <x:f>ROUND(((K100*M100) - (K100*M100*N100/100)) + (((K100*M100) - (K100*M100*N100/100)) * O100/100), 2)</x:f>
      </x:c>
      <x:c r="Q100" s="216" t="s"/>
      <x:c r="R100" s="216" t="s"/>
      <x:c r="S100" s="81" t="s">
        <x:v>303</x:v>
      </x:c>
      <x:c r="T100" s="209" t="s"/>
      <x:c r="U100" s="210" t="s"/>
    </x:row>
    <x:row r="101" spans="1:23">
      <x:c r="A101" s="76" t="n">
        <x:v>81</x:v>
      </x:c>
      <x:c r="B101" s="76" t="n">
        <x:v>5210456</x:v>
      </x:c>
      <x:c r="C101" s="77" t="s">
        <x:v>304</x:v>
      </x:c>
      <x:c r="D101" s="78" t="s">
        <x:v>305</x:v>
      </x:c>
      <x:c r="E101" s="79" t="s"/>
      <x:c r="F101" s="77" t="s"/>
      <x:c r="G101" s="92" t="n">
        <x:v>1</x:v>
      </x:c>
      <x:c r="H101" s="77" t="s">
        <x:v>132</x:v>
      </x:c>
      <x:c r="I101" s="77" t="s">
        <x:v>98</x:v>
      </x:c>
      <x:c r="J101" s="79" t="n">
        <x:v>3.81</x:v>
      </x:c>
      <x:c r="K101" s="211" t="n">
        <x:v>5</x:v>
      </x:c>
      <x:c r="L101" s="212" t="s"/>
      <x:c r="M101" s="213" t="n">
        <x:v>3.81</x:v>
      </x:c>
      <x:c r="N101" s="214" t="n">
        <x:v>0</x:v>
      </x:c>
      <x:c r="O101" s="214" t="n">
        <x:v>0</x:v>
      </x:c>
      <x:c r="P101" s="215">
        <x:f>ROUND(((K101*M101) - (K101*M101*N101/100)) + (((K101*M101) - (K101*M101*N101/100)) * O101/100), 2)</x:f>
      </x:c>
      <x:c r="Q101" s="216" t="s"/>
      <x:c r="R101" s="216" t="s"/>
      <x:c r="S101" s="81" t="s">
        <x:v>306</x:v>
      </x:c>
      <x:c r="T101" s="209" t="s"/>
      <x:c r="U101" s="210" t="s"/>
    </x:row>
    <x:row r="102" spans="1:23">
      <x:c r="A102" s="76" t="n">
        <x:v>82</x:v>
      </x:c>
      <x:c r="B102" s="76" t="n">
        <x:v>5211099</x:v>
      </x:c>
      <x:c r="C102" s="77" t="s">
        <x:v>307</x:v>
      </x:c>
      <x:c r="D102" s="78" t="s">
        <x:v>308</x:v>
      </x:c>
      <x:c r="E102" s="79" t="s"/>
      <x:c r="F102" s="77" t="s"/>
      <x:c r="G102" s="92" t="n">
        <x:v>1</x:v>
      </x:c>
      <x:c r="H102" s="77" t="s">
        <x:v>154</x:v>
      </x:c>
      <x:c r="I102" s="77" t="s">
        <x:v>220</x:v>
      </x:c>
      <x:c r="J102" s="79" t="n">
        <x:v>11.86</x:v>
      </x:c>
      <x:c r="K102" s="211" t="n">
        <x:v>10</x:v>
      </x:c>
      <x:c r="L102" s="212" t="s"/>
      <x:c r="M102" s="213" t="n">
        <x:v>11.86</x:v>
      </x:c>
      <x:c r="N102" s="214" t="n">
        <x:v>0</x:v>
      </x:c>
      <x:c r="O102" s="214" t="n">
        <x:v>0</x:v>
      </x:c>
      <x:c r="P102" s="215">
        <x:f>ROUND(((K102*M102) - (K102*M102*N102/100)) + (((K102*M102) - (K102*M102*N102/100)) * O102/100), 2)</x:f>
      </x:c>
      <x:c r="Q102" s="216" t="s"/>
      <x:c r="R102" s="216" t="s"/>
      <x:c r="S102" s="81" t="s">
        <x:v>309</x:v>
      </x:c>
      <x:c r="T102" s="209" t="s"/>
      <x:c r="U102" s="210" t="s"/>
    </x:row>
    <x:row r="103" spans="1:23">
      <x:c r="A103" s="76" t="n">
        <x:v>83</x:v>
      </x:c>
      <x:c r="B103" s="76" t="n">
        <x:v>5210853</x:v>
      </x:c>
      <x:c r="C103" s="77" t="s">
        <x:v>310</x:v>
      </x:c>
      <x:c r="D103" s="78" t="s">
        <x:v>311</x:v>
      </x:c>
      <x:c r="E103" s="79" t="s"/>
      <x:c r="F103" s="77" t="s"/>
      <x:c r="G103" s="92" t="n">
        <x:v>1</x:v>
      </x:c>
      <x:c r="H103" s="77" t="s">
        <x:v>154</x:v>
      </x:c>
      <x:c r="I103" s="77" t="s">
        <x:v>57</x:v>
      </x:c>
      <x:c r="J103" s="79" t="n">
        <x:v>2.06</x:v>
      </x:c>
      <x:c r="K103" s="211" t="n">
        <x:v>15</x:v>
      </x:c>
      <x:c r="L103" s="212" t="s"/>
      <x:c r="M103" s="213" t="n">
        <x:v>2.06</x:v>
      </x:c>
      <x:c r="N103" s="214" t="n">
        <x:v>0</x:v>
      </x:c>
      <x:c r="O103" s="214" t="n">
        <x:v>0</x:v>
      </x:c>
      <x:c r="P103" s="215">
        <x:f>ROUND(((K103*M103) - (K103*M103*N103/100)) + (((K103*M103) - (K103*M103*N103/100)) * O103/100), 2)</x:f>
      </x:c>
      <x:c r="Q103" s="216" t="s"/>
      <x:c r="R103" s="216" t="s"/>
      <x:c r="S103" s="81" t="s">
        <x:v>312</x:v>
      </x:c>
      <x:c r="T103" s="209" t="s"/>
      <x:c r="U103" s="210" t="s"/>
    </x:row>
    <x:row r="104" spans="1:23">
      <x:c r="A104" s="76" t="n">
        <x:v>84</x:v>
      </x:c>
      <x:c r="B104" s="76" t="n">
        <x:v>6136106</x:v>
      </x:c>
      <x:c r="C104" s="77" t="s">
        <x:v>313</x:v>
      </x:c>
      <x:c r="D104" s="78" t="s">
        <x:v>314</x:v>
      </x:c>
      <x:c r="E104" s="79" t="s"/>
      <x:c r="F104" s="77" t="s"/>
      <x:c r="G104" s="92" t="n">
        <x:v>500</x:v>
      </x:c>
      <x:c r="H104" s="77" t="s">
        <x:v>56</x:v>
      </x:c>
      <x:c r="I104" s="77" t="s">
        <x:v>57</x:v>
      </x:c>
      <x:c r="J104" s="79" t="n">
        <x:v>0.7</x:v>
      </x:c>
      <x:c r="K104" s="211" t="n">
        <x:v>10</x:v>
      </x:c>
      <x:c r="L104" s="212" t="s"/>
      <x:c r="M104" s="213" t="n">
        <x:v>0.7</x:v>
      </x:c>
      <x:c r="N104" s="214" t="n">
        <x:v>0</x:v>
      </x:c>
      <x:c r="O104" s="214" t="n">
        <x:v>0</x:v>
      </x:c>
      <x:c r="P104" s="215">
        <x:f>ROUND(((K104*M104) - (K104*M104*N104/100)) + (((K104*M104) - (K104*M104*N104/100)) * O104/100), 2)</x:f>
      </x:c>
      <x:c r="Q104" s="216" t="s"/>
      <x:c r="R104" s="216" t="s"/>
      <x:c r="S104" s="81" t="s">
        <x:v>315</x:v>
      </x:c>
      <x:c r="T104" s="209" t="s"/>
      <x:c r="U104" s="210" t="s"/>
    </x:row>
    <x:row r="105" spans="1:23">
      <x:c r="A105" s="76" t="n">
        <x:v>85</x:v>
      </x:c>
      <x:c r="B105" s="76" t="n">
        <x:v>5211111</x:v>
      </x:c>
      <x:c r="C105" s="77" t="s">
        <x:v>316</x:v>
      </x:c>
      <x:c r="D105" s="78" t="s">
        <x:v>317</x:v>
      </x:c>
      <x:c r="E105" s="79" t="s"/>
      <x:c r="F105" s="77" t="s"/>
      <x:c r="G105" s="92" t="n">
        <x:v>1</x:v>
      </x:c>
      <x:c r="H105" s="77" t="s">
        <x:v>154</x:v>
      </x:c>
      <x:c r="I105" s="77" t="s">
        <x:v>57</x:v>
      </x:c>
      <x:c r="J105" s="79" t="n">
        <x:v>1.38</x:v>
      </x:c>
      <x:c r="K105" s="211" t="n">
        <x:v>3</x:v>
      </x:c>
      <x:c r="L105" s="212" t="s"/>
      <x:c r="M105" s="213" t="n">
        <x:v>1.38</x:v>
      </x:c>
      <x:c r="N105" s="214" t="n">
        <x:v>0</x:v>
      </x:c>
      <x:c r="O105" s="214" t="n">
        <x:v>0</x:v>
      </x:c>
      <x:c r="P105" s="215">
        <x:f>ROUND(((K105*M105) - (K105*M105*N105/100)) + (((K105*M105) - (K105*M105*N105/100)) * O105/100), 2)</x:f>
      </x:c>
      <x:c r="Q105" s="216" t="s"/>
      <x:c r="R105" s="216" t="s"/>
      <x:c r="S105" s="81" t="s">
        <x:v>318</x:v>
      </x:c>
      <x:c r="T105" s="209" t="s"/>
      <x:c r="U105" s="210" t="s"/>
    </x:row>
    <x:row r="106" spans="1:23">
      <x:c r="A106" s="76" t="n">
        <x:v>86</x:v>
      </x:c>
      <x:c r="B106" s="76" t="n">
        <x:v>5211202</x:v>
      </x:c>
      <x:c r="C106" s="77" t="s">
        <x:v>319</x:v>
      </x:c>
      <x:c r="D106" s="78" t="s">
        <x:v>320</x:v>
      </x:c>
      <x:c r="E106" s="79" t="s"/>
      <x:c r="F106" s="77" t="s"/>
      <x:c r="G106" s="92" t="n">
        <x:v>1</x:v>
      </x:c>
      <x:c r="H106" s="77" t="s">
        <x:v>154</x:v>
      </x:c>
      <x:c r="I106" s="77" t="s">
        <x:v>57</x:v>
      </x:c>
      <x:c r="J106" s="79" t="n">
        <x:v>0.97</x:v>
      </x:c>
      <x:c r="K106" s="211" t="n">
        <x:v>250</x:v>
      </x:c>
      <x:c r="L106" s="212" t="s"/>
      <x:c r="M106" s="213" t="n">
        <x:v>0.97</x:v>
      </x:c>
      <x:c r="N106" s="214" t="n">
        <x:v>0</x:v>
      </x:c>
      <x:c r="O106" s="214" t="n">
        <x:v>0</x:v>
      </x:c>
      <x:c r="P106" s="215">
        <x:f>ROUND(((K106*M106) - (K106*M106*N106/100)) + (((K106*M106) - (K106*M106*N106/100)) * O106/100), 2)</x:f>
      </x:c>
      <x:c r="Q106" s="216" t="s"/>
      <x:c r="R106" s="216" t="s"/>
      <x:c r="S106" s="81" t="s">
        <x:v>321</x:v>
      </x:c>
      <x:c r="T106" s="209" t="s"/>
      <x:c r="U106" s="210" t="s"/>
    </x:row>
    <x:row r="107" spans="1:23">
      <x:c r="A107" s="76" t="n">
        <x:v>87</x:v>
      </x:c>
      <x:c r="B107" s="76" t="n">
        <x:v>5317838</x:v>
      </x:c>
      <x:c r="C107" s="77" t="s">
        <x:v>322</x:v>
      </x:c>
      <x:c r="D107" s="78" t="s">
        <x:v>323</x:v>
      </x:c>
      <x:c r="E107" s="79" t="s"/>
      <x:c r="F107" s="77" t="s"/>
      <x:c r="G107" s="92" t="n">
        <x:v>1</x:v>
      </x:c>
      <x:c r="H107" s="77" t="s">
        <x:v>154</x:v>
      </x:c>
      <x:c r="I107" s="77" t="s">
        <x:v>72</x:v>
      </x:c>
      <x:c r="J107" s="79" t="n">
        <x:v>2.73</x:v>
      </x:c>
      <x:c r="K107" s="211" t="n">
        <x:v>6</x:v>
      </x:c>
      <x:c r="L107" s="212" t="s"/>
      <x:c r="M107" s="213" t="n">
        <x:v>2.73</x:v>
      </x:c>
      <x:c r="N107" s="214" t="n">
        <x:v>0</x:v>
      </x:c>
      <x:c r="O107" s="214" t="n">
        <x:v>0</x:v>
      </x:c>
      <x:c r="P107" s="215">
        <x:f>ROUND(((K107*M107) - (K107*M107*N107/100)) + (((K107*M107) - (K107*M107*N107/100)) * O107/100), 2)</x:f>
      </x:c>
      <x:c r="Q107" s="216" t="s"/>
      <x:c r="R107" s="216" t="s"/>
      <x:c r="S107" s="81" t="s">
        <x:v>324</x:v>
      </x:c>
      <x:c r="T107" s="209" t="s"/>
      <x:c r="U107" s="210" t="s"/>
    </x:row>
    <x:row r="108" spans="1:23">
      <x:c r="A108" s="76" t="n">
        <x:v>88</x:v>
      </x:c>
      <x:c r="B108" s="76" t="n">
        <x:v>5210536</x:v>
      </x:c>
      <x:c r="C108" s="77" t="s">
        <x:v>325</x:v>
      </x:c>
      <x:c r="D108" s="78" t="s">
        <x:v>326</x:v>
      </x:c>
      <x:c r="E108" s="79" t="s"/>
      <x:c r="F108" s="77" t="s"/>
      <x:c r="G108" s="92" t="n">
        <x:v>1</x:v>
      </x:c>
      <x:c r="H108" s="77" t="s">
        <x:v>154</x:v>
      </x:c>
      <x:c r="I108" s="77" t="s">
        <x:v>72</x:v>
      </x:c>
      <x:c r="J108" s="79" t="n">
        <x:v>1.98</x:v>
      </x:c>
      <x:c r="K108" s="211" t="n">
        <x:v>50</x:v>
      </x:c>
      <x:c r="L108" s="212" t="s"/>
      <x:c r="M108" s="213" t="n">
        <x:v>1.98</x:v>
      </x:c>
      <x:c r="N108" s="214" t="n">
        <x:v>0</x:v>
      </x:c>
      <x:c r="O108" s="214" t="n">
        <x:v>0</x:v>
      </x:c>
      <x:c r="P108" s="215">
        <x:f>ROUND(((K108*M108) - (K108*M108*N108/100)) + (((K108*M108) - (K108*M108*N108/100)) * O108/100), 2)</x:f>
      </x:c>
      <x:c r="Q108" s="216" t="s"/>
      <x:c r="R108" s="216" t="s"/>
      <x:c r="S108" s="81" t="s">
        <x:v>327</x:v>
      </x:c>
      <x:c r="T108" s="209" t="s"/>
      <x:c r="U108" s="210" t="s"/>
    </x:row>
    <x:row r="109" spans="1:23">
      <x:c r="A109" s="76" t="n">
        <x:v>89</x:v>
      </x:c>
      <x:c r="B109" s="76" t="n">
        <x:v>5210538</x:v>
      </x:c>
      <x:c r="C109" s="77" t="s">
        <x:v>328</x:v>
      </x:c>
      <x:c r="D109" s="78" t="s">
        <x:v>329</x:v>
      </x:c>
      <x:c r="E109" s="79" t="s"/>
      <x:c r="F109" s="77" t="s"/>
      <x:c r="G109" s="92" t="n">
        <x:v>1</x:v>
      </x:c>
      <x:c r="H109" s="77" t="s">
        <x:v>154</x:v>
      </x:c>
      <x:c r="I109" s="77" t="s">
        <x:v>72</x:v>
      </x:c>
      <x:c r="J109" s="79" t="n">
        <x:v>10.52</x:v>
      </x:c>
      <x:c r="K109" s="211" t="n">
        <x:v>3</x:v>
      </x:c>
      <x:c r="L109" s="212" t="s"/>
      <x:c r="M109" s="213" t="n">
        <x:v>10.52</x:v>
      </x:c>
      <x:c r="N109" s="214" t="n">
        <x:v>0</x:v>
      </x:c>
      <x:c r="O109" s="214" t="n">
        <x:v>0</x:v>
      </x:c>
      <x:c r="P109" s="215">
        <x:f>ROUND(((K109*M109) - (K109*M109*N109/100)) + (((K109*M109) - (K109*M109*N109/100)) * O109/100), 2)</x:f>
      </x:c>
      <x:c r="Q109" s="216" t="s"/>
      <x:c r="R109" s="216" t="s"/>
      <x:c r="S109" s="81" t="s">
        <x:v>330</x:v>
      </x:c>
      <x:c r="T109" s="209" t="s"/>
      <x:c r="U109" s="210" t="s"/>
    </x:row>
    <x:row r="110" spans="1:23">
      <x:c r="A110" s="76" t="n">
        <x:v>90</x:v>
      </x:c>
      <x:c r="B110" s="76" t="n">
        <x:v>5210544</x:v>
      </x:c>
      <x:c r="C110" s="77" t="s">
        <x:v>331</x:v>
      </x:c>
      <x:c r="D110" s="78" t="s">
        <x:v>332</x:v>
      </x:c>
      <x:c r="E110" s="79" t="s"/>
      <x:c r="F110" s="77" t="s"/>
      <x:c r="G110" s="92" t="n">
        <x:v>1</x:v>
      </x:c>
      <x:c r="H110" s="77" t="s">
        <x:v>154</x:v>
      </x:c>
      <x:c r="I110" s="77" t="s">
        <x:v>72</x:v>
      </x:c>
      <x:c r="J110" s="79" t="n">
        <x:v>1.82</x:v>
      </x:c>
      <x:c r="K110" s="211" t="n">
        <x:v>36</x:v>
      </x:c>
      <x:c r="L110" s="212" t="s"/>
      <x:c r="M110" s="213" t="n">
        <x:v>1.82</x:v>
      </x:c>
      <x:c r="N110" s="214" t="n">
        <x:v>0</x:v>
      </x:c>
      <x:c r="O110" s="214" t="n">
        <x:v>0</x:v>
      </x:c>
      <x:c r="P110" s="215">
        <x:f>ROUND(((K110*M110) - (K110*M110*N110/100)) + (((K110*M110) - (K110*M110*N110/100)) * O110/100), 2)</x:f>
      </x:c>
      <x:c r="Q110" s="216" t="s"/>
      <x:c r="R110" s="216" t="s"/>
      <x:c r="S110" s="81" t="s">
        <x:v>333</x:v>
      </x:c>
      <x:c r="T110" s="209" t="s"/>
      <x:c r="U110" s="210" t="s"/>
    </x:row>
    <x:row r="111" spans="1:23">
      <x:c r="A111" s="76" t="n">
        <x:v>91</x:v>
      </x:c>
      <x:c r="B111" s="76" t="n">
        <x:v>5210589</x:v>
      </x:c>
      <x:c r="C111" s="77" t="s">
        <x:v>334</x:v>
      </x:c>
      <x:c r="D111" s="78" t="s">
        <x:v>335</x:v>
      </x:c>
      <x:c r="E111" s="79" t="s"/>
      <x:c r="F111" s="77" t="s"/>
      <x:c r="G111" s="92" t="n">
        <x:v>1</x:v>
      </x:c>
      <x:c r="H111" s="77" t="s">
        <x:v>154</x:v>
      </x:c>
      <x:c r="I111" s="77" t="s">
        <x:v>72</x:v>
      </x:c>
      <x:c r="J111" s="79" t="n">
        <x:v>3.3</x:v>
      </x:c>
      <x:c r="K111" s="211" t="n">
        <x:v>30</x:v>
      </x:c>
      <x:c r="L111" s="212" t="s"/>
      <x:c r="M111" s="213" t="n">
        <x:v>3.3</x:v>
      </x:c>
      <x:c r="N111" s="214" t="n">
        <x:v>0</x:v>
      </x:c>
      <x:c r="O111" s="214" t="n">
        <x:v>0</x:v>
      </x:c>
      <x:c r="P111" s="215">
        <x:f>ROUND(((K111*M111) - (K111*M111*N111/100)) + (((K111*M111) - (K111*M111*N111/100)) * O111/100), 2)</x:f>
      </x:c>
      <x:c r="Q111" s="216" t="s"/>
      <x:c r="R111" s="216" t="s"/>
      <x:c r="S111" s="81" t="s">
        <x:v>336</x:v>
      </x:c>
      <x:c r="T111" s="209" t="s"/>
      <x:c r="U111" s="210" t="s"/>
    </x:row>
    <x:row r="112" spans="1:23">
      <x:c r="A112" s="76" t="n">
        <x:v>92</x:v>
      </x:c>
      <x:c r="B112" s="76" t="n">
        <x:v>5317256</x:v>
      </x:c>
      <x:c r="C112" s="77" t="s">
        <x:v>337</x:v>
      </x:c>
      <x:c r="D112" s="78" t="s">
        <x:v>338</x:v>
      </x:c>
      <x:c r="E112" s="79" t="s"/>
      <x:c r="F112" s="77" t="s"/>
      <x:c r="G112" s="92" t="n">
        <x:v>1</x:v>
      </x:c>
      <x:c r="H112" s="77" t="s">
        <x:v>154</x:v>
      </x:c>
      <x:c r="I112" s="77" t="s">
        <x:v>72</x:v>
      </x:c>
      <x:c r="J112" s="79" t="n">
        <x:v>3.4</x:v>
      </x:c>
      <x:c r="K112" s="211" t="n">
        <x:v>3</x:v>
      </x:c>
      <x:c r="L112" s="212" t="s"/>
      <x:c r="M112" s="213" t="n">
        <x:v>3.4</x:v>
      </x:c>
      <x:c r="N112" s="214" t="n">
        <x:v>0</x:v>
      </x:c>
      <x:c r="O112" s="214" t="n">
        <x:v>0</x:v>
      </x:c>
      <x:c r="P112" s="215">
        <x:f>ROUND(((K112*M112) - (K112*M112*N112/100)) + (((K112*M112) - (K112*M112*N112/100)) * O112/100), 2)</x:f>
      </x:c>
      <x:c r="Q112" s="216" t="s"/>
      <x:c r="R112" s="216" t="s"/>
      <x:c r="S112" s="81" t="s">
        <x:v>339</x:v>
      </x:c>
      <x:c r="T112" s="209" t="s"/>
      <x:c r="U112" s="210" t="s"/>
    </x:row>
    <x:row r="113" spans="1:23">
      <x:c r="A113" s="76" t="n">
        <x:v>93</x:v>
      </x:c>
      <x:c r="B113" s="76" t="n">
        <x:v>5685789</x:v>
      </x:c>
      <x:c r="C113" s="77" t="s">
        <x:v>340</x:v>
      </x:c>
      <x:c r="D113" s="78" t="s">
        <x:v>341</x:v>
      </x:c>
      <x:c r="E113" s="79" t="s"/>
      <x:c r="F113" s="77" t="s"/>
      <x:c r="G113" s="92" t="n">
        <x:v>1</x:v>
      </x:c>
      <x:c r="H113" s="77" t="s">
        <x:v>154</x:v>
      </x:c>
      <x:c r="I113" s="77" t="s">
        <x:v>72</x:v>
      </x:c>
      <x:c r="J113" s="79" t="n">
        <x:v>3.97</x:v>
      </x:c>
      <x:c r="K113" s="211" t="n">
        <x:v>12</x:v>
      </x:c>
      <x:c r="L113" s="212" t="s"/>
      <x:c r="M113" s="213" t="n">
        <x:v>3.97</x:v>
      </x:c>
      <x:c r="N113" s="214" t="n">
        <x:v>0</x:v>
      </x:c>
      <x:c r="O113" s="214" t="n">
        <x:v>0</x:v>
      </x:c>
      <x:c r="P113" s="215">
        <x:f>ROUND(((K113*M113) - (K113*M113*N113/100)) + (((K113*M113) - (K113*M113*N113/100)) * O113/100), 2)</x:f>
      </x:c>
      <x:c r="Q113" s="216" t="s"/>
      <x:c r="R113" s="216" t="s"/>
      <x:c r="S113" s="81" t="s">
        <x:v>342</x:v>
      </x:c>
      <x:c r="T113" s="209" t="s"/>
      <x:c r="U113" s="210" t="s"/>
    </x:row>
    <x:row r="114" spans="1:23">
      <x:c r="A114" s="76" t="n">
        <x:v>94</x:v>
      </x:c>
      <x:c r="B114" s="76" t="n">
        <x:v>5328371</x:v>
      </x:c>
      <x:c r="C114" s="77" t="s">
        <x:v>343</x:v>
      </x:c>
      <x:c r="D114" s="78" t="s">
        <x:v>344</x:v>
      </x:c>
      <x:c r="E114" s="79" t="s"/>
      <x:c r="F114" s="77" t="s"/>
      <x:c r="G114" s="92" t="n">
        <x:v>1</x:v>
      </x:c>
      <x:c r="H114" s="77" t="s">
        <x:v>154</x:v>
      </x:c>
      <x:c r="I114" s="77" t="s">
        <x:v>72</x:v>
      </x:c>
      <x:c r="J114" s="79" t="n">
        <x:v>1.96</x:v>
      </x:c>
      <x:c r="K114" s="211" t="n">
        <x:v>8</x:v>
      </x:c>
      <x:c r="L114" s="212" t="s"/>
      <x:c r="M114" s="213" t="n">
        <x:v>1.96</x:v>
      </x:c>
      <x:c r="N114" s="214" t="n">
        <x:v>0</x:v>
      </x:c>
      <x:c r="O114" s="214" t="n">
        <x:v>0</x:v>
      </x:c>
      <x:c r="P114" s="215">
        <x:f>ROUND(((K114*M114) - (K114*M114*N114/100)) + (((K114*M114) - (K114*M114*N114/100)) * O114/100), 2)</x:f>
      </x:c>
      <x:c r="Q114" s="216" t="s"/>
      <x:c r="R114" s="216" t="s"/>
      <x:c r="S114" s="81" t="s">
        <x:v>345</x:v>
      </x:c>
      <x:c r="T114" s="209" t="s"/>
      <x:c r="U114" s="210" t="s"/>
    </x:row>
    <x:row r="115" spans="1:23">
      <x:c r="A115" s="76" t="n">
        <x:v>95</x:v>
      </x:c>
      <x:c r="B115" s="76" t="n">
        <x:v>5210645</x:v>
      </x:c>
      <x:c r="C115" s="77" t="s">
        <x:v>346</x:v>
      </x:c>
      <x:c r="D115" s="78" t="s">
        <x:v>347</x:v>
      </x:c>
      <x:c r="E115" s="79" t="s"/>
      <x:c r="F115" s="77" t="s"/>
      <x:c r="G115" s="92" t="n">
        <x:v>1</x:v>
      </x:c>
      <x:c r="H115" s="77" t="s">
        <x:v>154</x:v>
      </x:c>
      <x:c r="I115" s="77" t="s">
        <x:v>72</x:v>
      </x:c>
      <x:c r="J115" s="79" t="n">
        <x:v>6.24</x:v>
      </x:c>
      <x:c r="K115" s="211" t="n">
        <x:v>10</x:v>
      </x:c>
      <x:c r="L115" s="212" t="s"/>
      <x:c r="M115" s="213" t="n">
        <x:v>6.24</x:v>
      </x:c>
      <x:c r="N115" s="214" t="n">
        <x:v>0</x:v>
      </x:c>
      <x:c r="O115" s="214" t="n">
        <x:v>0</x:v>
      </x:c>
      <x:c r="P115" s="215">
        <x:f>ROUND(((K115*M115) - (K115*M115*N115/100)) + (((K115*M115) - (K115*M115*N115/100)) * O115/100), 2)</x:f>
      </x:c>
      <x:c r="Q115" s="216" t="s"/>
      <x:c r="R115" s="216" t="s"/>
      <x:c r="S115" s="81" t="s">
        <x:v>348</x:v>
      </x:c>
      <x:c r="T115" s="209" t="s"/>
      <x:c r="U115" s="210" t="s"/>
    </x:row>
    <x:row r="116" spans="1:23">
      <x:c r="A116" s="76" t="n">
        <x:v>96</x:v>
      </x:c>
      <x:c r="B116" s="76" t="n">
        <x:v>6807270</x:v>
      </x:c>
      <x:c r="C116" s="77" t="s">
        <x:v>349</x:v>
      </x:c>
      <x:c r="D116" s="78" t="s">
        <x:v>350</x:v>
      </x:c>
      <x:c r="E116" s="79" t="s"/>
      <x:c r="F116" s="77" t="s"/>
      <x:c r="G116" s="92" t="n">
        <x:v>1</x:v>
      </x:c>
      <x:c r="H116" s="77" t="s">
        <x:v>154</x:v>
      </x:c>
      <x:c r="I116" s="77" t="s">
        <x:v>72</x:v>
      </x:c>
      <x:c r="J116" s="79" t="n">
        <x:v>6.34</x:v>
      </x:c>
      <x:c r="K116" s="211" t="n">
        <x:v>6</x:v>
      </x:c>
      <x:c r="L116" s="212" t="s"/>
      <x:c r="M116" s="213" t="n">
        <x:v>6.34</x:v>
      </x:c>
      <x:c r="N116" s="214" t="n">
        <x:v>0</x:v>
      </x:c>
      <x:c r="O116" s="214" t="n">
        <x:v>0</x:v>
      </x:c>
      <x:c r="P116" s="215">
        <x:f>ROUND(((K116*M116) - (K116*M116*N116/100)) + (((K116*M116) - (K116*M116*N116/100)) * O116/100), 2)</x:f>
      </x:c>
      <x:c r="Q116" s="216" t="s"/>
      <x:c r="R116" s="216" t="s"/>
      <x:c r="S116" s="81" t="s">
        <x:v>351</x:v>
      </x:c>
      <x:c r="T116" s="209" t="s"/>
      <x:c r="U116" s="210" t="s"/>
    </x:row>
    <x:row r="117" spans="1:23">
      <x:c r="A117" s="76" t="n">
        <x:v>97</x:v>
      </x:c>
      <x:c r="B117" s="76" t="n">
        <x:v>5210661</x:v>
      </x:c>
      <x:c r="C117" s="77" t="s">
        <x:v>352</x:v>
      </x:c>
      <x:c r="D117" s="78" t="s">
        <x:v>353</x:v>
      </x:c>
      <x:c r="E117" s="79" t="s"/>
      <x:c r="F117" s="77" t="s"/>
      <x:c r="G117" s="92" t="n">
        <x:v>1</x:v>
      </x:c>
      <x:c r="H117" s="77" t="s">
        <x:v>154</x:v>
      </x:c>
      <x:c r="I117" s="77" t="s">
        <x:v>72</x:v>
      </x:c>
      <x:c r="J117" s="79" t="n">
        <x:v>3.76</x:v>
      </x:c>
      <x:c r="K117" s="211" t="n">
        <x:v>15</x:v>
      </x:c>
      <x:c r="L117" s="212" t="s"/>
      <x:c r="M117" s="213" t="n">
        <x:v>3.76</x:v>
      </x:c>
      <x:c r="N117" s="214" t="n">
        <x:v>0</x:v>
      </x:c>
      <x:c r="O117" s="214" t="n">
        <x:v>0</x:v>
      </x:c>
      <x:c r="P117" s="215">
        <x:f>ROUND(((K117*M117) - (K117*M117*N117/100)) + (((K117*M117) - (K117*M117*N117/100)) * O117/100), 2)</x:f>
      </x:c>
      <x:c r="Q117" s="216" t="s"/>
      <x:c r="R117" s="216" t="s"/>
      <x:c r="S117" s="81" t="s">
        <x:v>354</x:v>
      </x:c>
      <x:c r="T117" s="209" t="s"/>
      <x:c r="U117" s="210" t="s"/>
    </x:row>
    <x:row r="118" spans="1:23">
      <x:c r="A118" s="76" t="n">
        <x:v>98</x:v>
      </x:c>
      <x:c r="B118" s="76" t="n">
        <x:v>5210672</x:v>
      </x:c>
      <x:c r="C118" s="77" t="s">
        <x:v>355</x:v>
      </x:c>
      <x:c r="D118" s="78" t="s">
        <x:v>356</x:v>
      </x:c>
      <x:c r="E118" s="79" t="s"/>
      <x:c r="F118" s="77" t="s"/>
      <x:c r="G118" s="92" t="n">
        <x:v>1</x:v>
      </x:c>
      <x:c r="H118" s="77" t="s">
        <x:v>154</x:v>
      </x:c>
      <x:c r="I118" s="77" t="s">
        <x:v>72</x:v>
      </x:c>
      <x:c r="J118" s="79" t="n">
        <x:v>1.91</x:v>
      </x:c>
      <x:c r="K118" s="211" t="n">
        <x:v>15</x:v>
      </x:c>
      <x:c r="L118" s="212" t="s"/>
      <x:c r="M118" s="213" t="n">
        <x:v>1.91</x:v>
      </x:c>
      <x:c r="N118" s="214" t="n">
        <x:v>0</x:v>
      </x:c>
      <x:c r="O118" s="214" t="n">
        <x:v>0</x:v>
      </x:c>
      <x:c r="P118" s="215">
        <x:f>ROUND(((K118*M118) - (K118*M118*N118/100)) + (((K118*M118) - (K118*M118*N118/100)) * O118/100), 2)</x:f>
      </x:c>
      <x:c r="Q118" s="216" t="s"/>
      <x:c r="R118" s="216" t="s"/>
      <x:c r="S118" s="81" t="s">
        <x:v>357</x:v>
      </x:c>
      <x:c r="T118" s="209" t="s"/>
      <x:c r="U118" s="210" t="s"/>
    </x:row>
    <x:row r="119" spans="1:23">
      <x:c r="A119" s="76" t="n">
        <x:v>99</x:v>
      </x:c>
      <x:c r="B119" s="76" t="n">
        <x:v>5210532</x:v>
      </x:c>
      <x:c r="C119" s="77" t="s">
        <x:v>358</x:v>
      </x:c>
      <x:c r="D119" s="78" t="s">
        <x:v>359</x:v>
      </x:c>
      <x:c r="E119" s="79" t="s"/>
      <x:c r="F119" s="77" t="s"/>
      <x:c r="G119" s="92" t="n">
        <x:v>1</x:v>
      </x:c>
      <x:c r="H119" s="77" t="s">
        <x:v>154</x:v>
      </x:c>
      <x:c r="I119" s="77" t="s">
        <x:v>72</x:v>
      </x:c>
      <x:c r="J119" s="79" t="n">
        <x:v>4.07</x:v>
      </x:c>
      <x:c r="K119" s="211" t="n">
        <x:v>15</x:v>
      </x:c>
      <x:c r="L119" s="212" t="s"/>
      <x:c r="M119" s="213" t="n">
        <x:v>4.07</x:v>
      </x:c>
      <x:c r="N119" s="214" t="n">
        <x:v>0</x:v>
      </x:c>
      <x:c r="O119" s="214" t="n">
        <x:v>0</x:v>
      </x:c>
      <x:c r="P119" s="215">
        <x:f>ROUND(((K119*M119) - (K119*M119*N119/100)) + (((K119*M119) - (K119*M119*N119/100)) * O119/100), 2)</x:f>
      </x:c>
      <x:c r="Q119" s="216" t="s"/>
      <x:c r="R119" s="216" t="s"/>
      <x:c r="S119" s="81" t="s">
        <x:v>360</x:v>
      </x:c>
      <x:c r="T119" s="209" t="s"/>
      <x:c r="U119" s="210" t="s"/>
    </x:row>
    <x:row r="120" spans="1:23">
      <x:c r="A120" s="76" t="n">
        <x:v>100</x:v>
      </x:c>
      <x:c r="B120" s="76" t="n">
        <x:v>5210692</x:v>
      </x:c>
      <x:c r="C120" s="77" t="s">
        <x:v>361</x:v>
      </x:c>
      <x:c r="D120" s="78" t="s">
        <x:v>362</x:v>
      </x:c>
      <x:c r="E120" s="79" t="s"/>
      <x:c r="F120" s="77" t="s"/>
      <x:c r="G120" s="92" t="n">
        <x:v>1</x:v>
      </x:c>
      <x:c r="H120" s="77" t="s">
        <x:v>154</x:v>
      </x:c>
      <x:c r="I120" s="77" t="s">
        <x:v>72</x:v>
      </x:c>
      <x:c r="J120" s="79" t="n">
        <x:v>1.6</x:v>
      </x:c>
      <x:c r="K120" s="211" t="n">
        <x:v>25</x:v>
      </x:c>
      <x:c r="L120" s="212" t="s"/>
      <x:c r="M120" s="213" t="n">
        <x:v>1.6</x:v>
      </x:c>
      <x:c r="N120" s="214" t="n">
        <x:v>0</x:v>
      </x:c>
      <x:c r="O120" s="214" t="n">
        <x:v>0</x:v>
      </x:c>
      <x:c r="P120" s="215">
        <x:f>ROUND(((K120*M120) - (K120*M120*N120/100)) + (((K120*M120) - (K120*M120*N120/100)) * O120/100), 2)</x:f>
      </x:c>
      <x:c r="Q120" s="216" t="s"/>
      <x:c r="R120" s="216" t="s"/>
      <x:c r="S120" s="81" t="s">
        <x:v>363</x:v>
      </x:c>
      <x:c r="T120" s="209" t="s"/>
      <x:c r="U120" s="210" t="s"/>
    </x:row>
    <x:row r="121" spans="1:23">
      <x:c r="A121" s="76" t="n">
        <x:v>101</x:v>
      </x:c>
      <x:c r="B121" s="76" t="n">
        <x:v>5210531</x:v>
      </x:c>
      <x:c r="C121" s="77" t="s">
        <x:v>364</x:v>
      </x:c>
      <x:c r="D121" s="78" t="s">
        <x:v>365</x:v>
      </x:c>
      <x:c r="E121" s="79" t="s"/>
      <x:c r="F121" s="77" t="s"/>
      <x:c r="G121" s="92" t="n">
        <x:v>1</x:v>
      </x:c>
      <x:c r="H121" s="77" t="s">
        <x:v>154</x:v>
      </x:c>
      <x:c r="I121" s="77" t="s">
        <x:v>72</x:v>
      </x:c>
      <x:c r="J121" s="79" t="n">
        <x:v>1.38</x:v>
      </x:c>
      <x:c r="K121" s="211" t="n">
        <x:v>10</x:v>
      </x:c>
      <x:c r="L121" s="212" t="s"/>
      <x:c r="M121" s="213" t="n">
        <x:v>1.38</x:v>
      </x:c>
      <x:c r="N121" s="214" t="n">
        <x:v>0</x:v>
      </x:c>
      <x:c r="O121" s="214" t="n">
        <x:v>0</x:v>
      </x:c>
      <x:c r="P121" s="215">
        <x:f>ROUND(((K121*M121) - (K121*M121*N121/100)) + (((K121*M121) - (K121*M121*N121/100)) * O121/100), 2)</x:f>
      </x:c>
      <x:c r="Q121" s="216" t="s"/>
      <x:c r="R121" s="216" t="s"/>
      <x:c r="S121" s="81" t="s">
        <x:v>366</x:v>
      </x:c>
      <x:c r="T121" s="209" t="s"/>
      <x:c r="U121" s="210" t="s"/>
    </x:row>
    <x:row r="122" spans="1:23">
      <x:c r="A122" s="76" t="n">
        <x:v>102</x:v>
      </x:c>
      <x:c r="B122" s="76" t="n">
        <x:v>5210697</x:v>
      </x:c>
      <x:c r="C122" s="77" t="s">
        <x:v>367</x:v>
      </x:c>
      <x:c r="D122" s="78" t="s">
        <x:v>368</x:v>
      </x:c>
      <x:c r="E122" s="79" t="s"/>
      <x:c r="F122" s="77" t="s"/>
      <x:c r="G122" s="92" t="n">
        <x:v>1</x:v>
      </x:c>
      <x:c r="H122" s="77" t="s">
        <x:v>154</x:v>
      </x:c>
      <x:c r="I122" s="77" t="s">
        <x:v>72</x:v>
      </x:c>
      <x:c r="J122" s="79" t="n">
        <x:v>11.29</x:v>
      </x:c>
      <x:c r="K122" s="211" t="n">
        <x:v>12</x:v>
      </x:c>
      <x:c r="L122" s="212" t="s"/>
      <x:c r="M122" s="213" t="n">
        <x:v>11.29</x:v>
      </x:c>
      <x:c r="N122" s="214" t="n">
        <x:v>0</x:v>
      </x:c>
      <x:c r="O122" s="214" t="n">
        <x:v>0</x:v>
      </x:c>
      <x:c r="P122" s="215">
        <x:f>ROUND(((K122*M122) - (K122*M122*N122/100)) + (((K122*M122) - (K122*M122*N122/100)) * O122/100), 2)</x:f>
      </x:c>
      <x:c r="Q122" s="216" t="s"/>
      <x:c r="R122" s="216" t="s"/>
      <x:c r="S122" s="81" t="s">
        <x:v>369</x:v>
      </x:c>
      <x:c r="T122" s="209" t="s"/>
      <x:c r="U122" s="210" t="s"/>
    </x:row>
    <x:row r="123" spans="1:23">
      <x:c r="A123" s="76" t="n">
        <x:v>103</x:v>
      </x:c>
      <x:c r="B123" s="76" t="n">
        <x:v>5210698</x:v>
      </x:c>
      <x:c r="C123" s="77" t="s">
        <x:v>370</x:v>
      </x:c>
      <x:c r="D123" s="78" t="s">
        <x:v>371</x:v>
      </x:c>
      <x:c r="E123" s="79" t="s"/>
      <x:c r="F123" s="77" t="s"/>
      <x:c r="G123" s="92" t="n">
        <x:v>1</x:v>
      </x:c>
      <x:c r="H123" s="77" t="s">
        <x:v>154</x:v>
      </x:c>
      <x:c r="I123" s="77" t="s">
        <x:v>72</x:v>
      </x:c>
      <x:c r="J123" s="79" t="n">
        <x:v>2.8</x:v>
      </x:c>
      <x:c r="K123" s="211" t="n">
        <x:v>15</x:v>
      </x:c>
      <x:c r="L123" s="212" t="s"/>
      <x:c r="M123" s="213" t="n">
        <x:v>2.8</x:v>
      </x:c>
      <x:c r="N123" s="214" t="n">
        <x:v>0</x:v>
      </x:c>
      <x:c r="O123" s="214" t="n">
        <x:v>0</x:v>
      </x:c>
      <x:c r="P123" s="215">
        <x:f>ROUND(((K123*M123) - (K123*M123*N123/100)) + (((K123*M123) - (K123*M123*N123/100)) * O123/100), 2)</x:f>
      </x:c>
      <x:c r="Q123" s="216" t="s"/>
      <x:c r="R123" s="216" t="s"/>
      <x:c r="S123" s="81" t="s">
        <x:v>372</x:v>
      </x:c>
      <x:c r="T123" s="209" t="s"/>
      <x:c r="U123" s="210" t="s"/>
    </x:row>
    <x:row r="124" spans="1:23">
      <x:c r="A124" s="76" t="n">
        <x:v>104</x:v>
      </x:c>
      <x:c r="B124" s="76" t="n">
        <x:v>6550425</x:v>
      </x:c>
      <x:c r="C124" s="77" t="s">
        <x:v>373</x:v>
      </x:c>
      <x:c r="D124" s="78" t="s">
        <x:v>374</x:v>
      </x:c>
      <x:c r="E124" s="79" t="s"/>
      <x:c r="F124" s="77" t="s"/>
      <x:c r="G124" s="92" t="n">
        <x:v>1</x:v>
      </x:c>
      <x:c r="H124" s="80" t="s">
        <x:v>154</x:v>
      </x:c>
      <x:c r="I124" s="80" t="s"/>
      <x:c r="J124" s="79" t="n">
        <x:v>0</x:v>
      </x:c>
      <x:c r="K124" s="211" t="n">
        <x:v>5</x:v>
      </x:c>
      <x:c r="L124" s="212" t="s"/>
      <x:c r="M124" s="213" t="n">
        <x:v>0</x:v>
      </x:c>
      <x:c r="N124" s="214" t="n">
        <x:v>0</x:v>
      </x:c>
      <x:c r="O124" s="214" t="n">
        <x:v>0</x:v>
      </x:c>
      <x:c r="P124" s="215">
        <x:f>ROUND(((K124*M124) - (K124*M124*N124/100)) + (((K124*M124) - (K124*M124*N124/100)) * O124/100), 2)</x:f>
      </x:c>
      <x:c r="Q124" s="216" t="s"/>
      <x:c r="R124" s="216" t="s"/>
      <x:c r="S124" s="81" t="s"/>
      <x:c r="T124" s="209" t="s"/>
      <x:c r="U124" s="210" t="s"/>
    </x:row>
    <x:row r="125" spans="1:23">
      <x:c r="A125" s="76" t="n">
        <x:v>105</x:v>
      </x:c>
      <x:c r="B125" s="76" t="n">
        <x:v>5210701</x:v>
      </x:c>
      <x:c r="C125" s="77" t="s">
        <x:v>375</x:v>
      </x:c>
      <x:c r="D125" s="78" t="s">
        <x:v>376</x:v>
      </x:c>
      <x:c r="E125" s="79" t="s"/>
      <x:c r="F125" s="77" t="s"/>
      <x:c r="G125" s="92" t="n">
        <x:v>1</x:v>
      </x:c>
      <x:c r="H125" s="77" t="s">
        <x:v>154</x:v>
      </x:c>
      <x:c r="I125" s="77" t="s">
        <x:v>72</x:v>
      </x:c>
      <x:c r="J125" s="79" t="n">
        <x:v>1.13</x:v>
      </x:c>
      <x:c r="K125" s="211" t="n">
        <x:v>25</x:v>
      </x:c>
      <x:c r="L125" s="212" t="s"/>
      <x:c r="M125" s="213" t="n">
        <x:v>1.13</x:v>
      </x:c>
      <x:c r="N125" s="214" t="n">
        <x:v>0</x:v>
      </x:c>
      <x:c r="O125" s="214" t="n">
        <x:v>0</x:v>
      </x:c>
      <x:c r="P125" s="215">
        <x:f>ROUND(((K125*M125) - (K125*M125*N125/100)) + (((K125*M125) - (K125*M125*N125/100)) * O125/100), 2)</x:f>
      </x:c>
      <x:c r="Q125" s="216" t="s"/>
      <x:c r="R125" s="216" t="s"/>
      <x:c r="S125" s="81" t="s">
        <x:v>377</x:v>
      </x:c>
      <x:c r="T125" s="209" t="s"/>
      <x:c r="U125" s="210" t="s"/>
    </x:row>
    <x:row r="126" spans="1:23">
      <x:c r="A126" s="76" t="n">
        <x:v>106</x:v>
      </x:c>
      <x:c r="B126" s="76" t="n">
        <x:v>5210703</x:v>
      </x:c>
      <x:c r="C126" s="77" t="s">
        <x:v>378</x:v>
      </x:c>
      <x:c r="D126" s="78" t="s">
        <x:v>379</x:v>
      </x:c>
      <x:c r="E126" s="79" t="s"/>
      <x:c r="F126" s="77" t="s"/>
      <x:c r="G126" s="92" t="n">
        <x:v>1</x:v>
      </x:c>
      <x:c r="H126" s="77" t="s">
        <x:v>154</x:v>
      </x:c>
      <x:c r="I126" s="77" t="s">
        <x:v>72</x:v>
      </x:c>
      <x:c r="J126" s="79" t="n">
        <x:v>7.32</x:v>
      </x:c>
      <x:c r="K126" s="211" t="n">
        <x:v>10</x:v>
      </x:c>
      <x:c r="L126" s="212" t="s"/>
      <x:c r="M126" s="213" t="n">
        <x:v>7.32</x:v>
      </x:c>
      <x:c r="N126" s="214" t="n">
        <x:v>0</x:v>
      </x:c>
      <x:c r="O126" s="214" t="n">
        <x:v>0</x:v>
      </x:c>
      <x:c r="P126" s="215">
        <x:f>ROUND(((K126*M126) - (K126*M126*N126/100)) + (((K126*M126) - (K126*M126*N126/100)) * O126/100), 2)</x:f>
      </x:c>
      <x:c r="Q126" s="216" t="s"/>
      <x:c r="R126" s="216" t="s"/>
      <x:c r="S126" s="81" t="s">
        <x:v>380</x:v>
      </x:c>
      <x:c r="T126" s="209" t="s"/>
      <x:c r="U126" s="210" t="s"/>
    </x:row>
    <x:row r="127" spans="1:23">
      <x:c r="A127" s="76" t="n">
        <x:v>107</x:v>
      </x:c>
      <x:c r="B127" s="76" t="n">
        <x:v>6798692</x:v>
      </x:c>
      <x:c r="C127" s="77" t="s">
        <x:v>381</x:v>
      </x:c>
      <x:c r="D127" s="78" t="s">
        <x:v>382</x:v>
      </x:c>
      <x:c r="E127" s="79" t="s"/>
      <x:c r="F127" s="77" t="s"/>
      <x:c r="G127" s="92" t="n">
        <x:v>1</x:v>
      </x:c>
      <x:c r="H127" s="80" t="s">
        <x:v>154</x:v>
      </x:c>
      <x:c r="I127" s="80" t="s"/>
      <x:c r="J127" s="79" t="n">
        <x:v>0</x:v>
      </x:c>
      <x:c r="K127" s="211" t="n">
        <x:v>5</x:v>
      </x:c>
      <x:c r="L127" s="212" t="s"/>
      <x:c r="M127" s="213" t="n">
        <x:v>0</x:v>
      </x:c>
      <x:c r="N127" s="214" t="n">
        <x:v>0</x:v>
      </x:c>
      <x:c r="O127" s="214" t="n">
        <x:v>0</x:v>
      </x:c>
      <x:c r="P127" s="215">
        <x:f>ROUND(((K127*M127) - (K127*M127*N127/100)) + (((K127*M127) - (K127*M127*N127/100)) * O127/100), 2)</x:f>
      </x:c>
      <x:c r="Q127" s="216" t="s"/>
      <x:c r="R127" s="216" t="s"/>
      <x:c r="S127" s="81" t="s"/>
      <x:c r="T127" s="209" t="s"/>
      <x:c r="U127" s="210" t="s"/>
    </x:row>
    <x:row r="128" spans="1:23">
      <x:c r="A128" s="76" t="n">
        <x:v>108</x:v>
      </x:c>
      <x:c r="B128" s="76" t="n">
        <x:v>5210767</x:v>
      </x:c>
      <x:c r="C128" s="77" t="s">
        <x:v>383</x:v>
      </x:c>
      <x:c r="D128" s="78" t="s">
        <x:v>384</x:v>
      </x:c>
      <x:c r="E128" s="79" t="s"/>
      <x:c r="F128" s="77" t="s"/>
      <x:c r="G128" s="92" t="n">
        <x:v>1</x:v>
      </x:c>
      <x:c r="H128" s="77" t="s">
        <x:v>154</x:v>
      </x:c>
      <x:c r="I128" s="77" t="s">
        <x:v>72</x:v>
      </x:c>
      <x:c r="J128" s="79" t="n">
        <x:v>16.91</x:v>
      </x:c>
      <x:c r="K128" s="211" t="n">
        <x:v>5</x:v>
      </x:c>
      <x:c r="L128" s="212" t="s"/>
      <x:c r="M128" s="213" t="n">
        <x:v>16.91</x:v>
      </x:c>
      <x:c r="N128" s="214" t="n">
        <x:v>0</x:v>
      </x:c>
      <x:c r="O128" s="214" t="n">
        <x:v>0</x:v>
      </x:c>
      <x:c r="P128" s="215">
        <x:f>ROUND(((K128*M128) - (K128*M128*N128/100)) + (((K128*M128) - (K128*M128*N128/100)) * O128/100), 2)</x:f>
      </x:c>
      <x:c r="Q128" s="216" t="s"/>
      <x:c r="R128" s="216" t="s"/>
      <x:c r="S128" s="81" t="s">
        <x:v>385</x:v>
      </x:c>
      <x:c r="T128" s="209" t="s"/>
      <x:c r="U128" s="210" t="s"/>
    </x:row>
    <x:row r="129" spans="1:23">
      <x:c r="A129" s="76" t="n">
        <x:v>109</x:v>
      </x:c>
      <x:c r="B129" s="76" t="n">
        <x:v>5210771</x:v>
      </x:c>
      <x:c r="C129" s="77" t="s">
        <x:v>386</x:v>
      </x:c>
      <x:c r="D129" s="78" t="s">
        <x:v>387</x:v>
      </x:c>
      <x:c r="E129" s="79" t="s"/>
      <x:c r="F129" s="77" t="s"/>
      <x:c r="G129" s="92" t="n">
        <x:v>1</x:v>
      </x:c>
      <x:c r="H129" s="77" t="s">
        <x:v>154</x:v>
      </x:c>
      <x:c r="I129" s="77" t="s">
        <x:v>72</x:v>
      </x:c>
      <x:c r="J129" s="79" t="n">
        <x:v>1.49</x:v>
      </x:c>
      <x:c r="K129" s="211" t="n">
        <x:v>20</x:v>
      </x:c>
      <x:c r="L129" s="212" t="s"/>
      <x:c r="M129" s="213" t="n">
        <x:v>1.49</x:v>
      </x:c>
      <x:c r="N129" s="214" t="n">
        <x:v>0</x:v>
      </x:c>
      <x:c r="O129" s="214" t="n">
        <x:v>0</x:v>
      </x:c>
      <x:c r="P129" s="215">
        <x:f>ROUND(((K129*M129) - (K129*M129*N129/100)) + (((K129*M129) - (K129*M129*N129/100)) * O129/100), 2)</x:f>
      </x:c>
      <x:c r="Q129" s="216" t="s"/>
      <x:c r="R129" s="216" t="s"/>
      <x:c r="S129" s="81" t="s">
        <x:v>388</x:v>
      </x:c>
      <x:c r="T129" s="209" t="s"/>
      <x:c r="U129" s="210" t="s"/>
    </x:row>
    <x:row r="130" spans="1:23">
      <x:c r="A130" s="76" t="n">
        <x:v>110</x:v>
      </x:c>
      <x:c r="B130" s="76" t="n">
        <x:v>5210774</x:v>
      </x:c>
      <x:c r="C130" s="77" t="s">
        <x:v>389</x:v>
      </x:c>
      <x:c r="D130" s="78" t="s">
        <x:v>390</x:v>
      </x:c>
      <x:c r="E130" s="79" t="s"/>
      <x:c r="F130" s="77" t="s"/>
      <x:c r="G130" s="92" t="n">
        <x:v>1</x:v>
      </x:c>
      <x:c r="H130" s="77" t="s">
        <x:v>154</x:v>
      </x:c>
      <x:c r="I130" s="77" t="s">
        <x:v>72</x:v>
      </x:c>
      <x:c r="J130" s="79" t="n">
        <x:v>2.63</x:v>
      </x:c>
      <x:c r="K130" s="211" t="n">
        <x:v>5</x:v>
      </x:c>
      <x:c r="L130" s="212" t="s"/>
      <x:c r="M130" s="213" t="n">
        <x:v>2.63</x:v>
      </x:c>
      <x:c r="N130" s="214" t="n">
        <x:v>0</x:v>
      </x:c>
      <x:c r="O130" s="214" t="n">
        <x:v>0</x:v>
      </x:c>
      <x:c r="P130" s="215">
        <x:f>ROUND(((K130*M130) - (K130*M130*N130/100)) + (((K130*M130) - (K130*M130*N130/100)) * O130/100), 2)</x:f>
      </x:c>
      <x:c r="Q130" s="216" t="s"/>
      <x:c r="R130" s="216" t="s"/>
      <x:c r="S130" s="81" t="s">
        <x:v>391</x:v>
      </x:c>
      <x:c r="T130" s="209" t="s"/>
      <x:c r="U130" s="210" t="s"/>
    </x:row>
    <x:row r="131" spans="1:23">
      <x:c r="A131" s="76" t="n">
        <x:v>111</x:v>
      </x:c>
      <x:c r="B131" s="76" t="n">
        <x:v>5210788</x:v>
      </x:c>
      <x:c r="C131" s="77" t="s">
        <x:v>392</x:v>
      </x:c>
      <x:c r="D131" s="78" t="s">
        <x:v>393</x:v>
      </x:c>
      <x:c r="E131" s="79" t="s"/>
      <x:c r="F131" s="77" t="s"/>
      <x:c r="G131" s="92" t="n">
        <x:v>1</x:v>
      </x:c>
      <x:c r="H131" s="77" t="s">
        <x:v>154</x:v>
      </x:c>
      <x:c r="I131" s="77" t="s">
        <x:v>72</x:v>
      </x:c>
      <x:c r="J131" s="79" t="n">
        <x:v>1.16</x:v>
      </x:c>
      <x:c r="K131" s="211" t="n">
        <x:v>60</x:v>
      </x:c>
      <x:c r="L131" s="212" t="s"/>
      <x:c r="M131" s="213" t="n">
        <x:v>1.16</x:v>
      </x:c>
      <x:c r="N131" s="214" t="n">
        <x:v>0</x:v>
      </x:c>
      <x:c r="O131" s="214" t="n">
        <x:v>0</x:v>
      </x:c>
      <x:c r="P131" s="215">
        <x:f>ROUND(((K131*M131) - (K131*M131*N131/100)) + (((K131*M131) - (K131*M131*N131/100)) * O131/100), 2)</x:f>
      </x:c>
      <x:c r="Q131" s="216" t="s"/>
      <x:c r="R131" s="216" t="s"/>
      <x:c r="S131" s="81" t="s">
        <x:v>394</x:v>
      </x:c>
      <x:c r="T131" s="209" t="s"/>
      <x:c r="U131" s="210" t="s"/>
    </x:row>
    <x:row r="132" spans="1:23">
      <x:c r="A132" s="76" t="n">
        <x:v>112</x:v>
      </x:c>
      <x:c r="B132" s="76" t="n">
        <x:v>5210537</x:v>
      </x:c>
      <x:c r="C132" s="77" t="s">
        <x:v>395</x:v>
      </x:c>
      <x:c r="D132" s="78" t="s">
        <x:v>396</x:v>
      </x:c>
      <x:c r="E132" s="79" t="s"/>
      <x:c r="F132" s="77" t="s"/>
      <x:c r="G132" s="92" t="n">
        <x:v>1</x:v>
      </x:c>
      <x:c r="H132" s="77" t="s">
        <x:v>154</x:v>
      </x:c>
      <x:c r="I132" s="77" t="s">
        <x:v>72</x:v>
      </x:c>
      <x:c r="J132" s="79" t="n">
        <x:v>8.25</x:v>
      </x:c>
      <x:c r="K132" s="211" t="n">
        <x:v>2</x:v>
      </x:c>
      <x:c r="L132" s="212" t="s"/>
      <x:c r="M132" s="213" t="n">
        <x:v>8.25</x:v>
      </x:c>
      <x:c r="N132" s="214" t="n">
        <x:v>0</x:v>
      </x:c>
      <x:c r="O132" s="214" t="n">
        <x:v>0</x:v>
      </x:c>
      <x:c r="P132" s="215">
        <x:f>ROUND(((K132*M132) - (K132*M132*N132/100)) + (((K132*M132) - (K132*M132*N132/100)) * O132/100), 2)</x:f>
      </x:c>
      <x:c r="Q132" s="216" t="s"/>
      <x:c r="R132" s="216" t="s"/>
      <x:c r="S132" s="81" t="s">
        <x:v>397</x:v>
      </x:c>
      <x:c r="T132" s="209" t="s"/>
      <x:c r="U132" s="210" t="s"/>
    </x:row>
    <x:row r="133" spans="1:23">
      <x:c r="A133" s="76" t="n">
        <x:v>113</x:v>
      </x:c>
      <x:c r="B133" s="76" t="n">
        <x:v>5210539</x:v>
      </x:c>
      <x:c r="C133" s="77" t="s">
        <x:v>398</x:v>
      </x:c>
      <x:c r="D133" s="78" t="s">
        <x:v>399</x:v>
      </x:c>
      <x:c r="E133" s="79" t="s"/>
      <x:c r="F133" s="77" t="s"/>
      <x:c r="G133" s="92" t="n">
        <x:v>1</x:v>
      </x:c>
      <x:c r="H133" s="77" t="s">
        <x:v>154</x:v>
      </x:c>
      <x:c r="I133" s="77" t="s">
        <x:v>72</x:v>
      </x:c>
      <x:c r="J133" s="79" t="n">
        <x:v>4.95</x:v>
      </x:c>
      <x:c r="K133" s="211" t="n">
        <x:v>5</x:v>
      </x:c>
      <x:c r="L133" s="212" t="s"/>
      <x:c r="M133" s="213" t="n">
        <x:v>4.95</x:v>
      </x:c>
      <x:c r="N133" s="214" t="n">
        <x:v>0</x:v>
      </x:c>
      <x:c r="O133" s="214" t="n">
        <x:v>0</x:v>
      </x:c>
      <x:c r="P133" s="215">
        <x:f>ROUND(((K133*M133) - (K133*M133*N133/100)) + (((K133*M133) - (K133*M133*N133/100)) * O133/100), 2)</x:f>
      </x:c>
      <x:c r="Q133" s="216" t="s"/>
      <x:c r="R133" s="216" t="s"/>
      <x:c r="S133" s="81" t="s">
        <x:v>400</x:v>
      </x:c>
      <x:c r="T133" s="209" t="s"/>
      <x:c r="U133" s="210" t="s"/>
    </x:row>
    <x:row r="134" spans="1:23">
      <x:c r="A134" s="76" t="n">
        <x:v>114</x:v>
      </x:c>
      <x:c r="B134" s="76" t="n">
        <x:v>5210850</x:v>
      </x:c>
      <x:c r="C134" s="77" t="s">
        <x:v>401</x:v>
      </x:c>
      <x:c r="D134" s="78" t="s">
        <x:v>402</x:v>
      </x:c>
      <x:c r="E134" s="79" t="s"/>
      <x:c r="F134" s="77" t="s"/>
      <x:c r="G134" s="92" t="n">
        <x:v>100</x:v>
      </x:c>
      <x:c r="H134" s="77" t="s">
        <x:v>154</x:v>
      </x:c>
      <x:c r="I134" s="77" t="s">
        <x:v>72</x:v>
      </x:c>
      <x:c r="J134" s="79" t="n">
        <x:v>3.61</x:v>
      </x:c>
      <x:c r="K134" s="211" t="n">
        <x:v>20</x:v>
      </x:c>
      <x:c r="L134" s="212" t="s"/>
      <x:c r="M134" s="213" t="n">
        <x:v>3.61</x:v>
      </x:c>
      <x:c r="N134" s="214" t="n">
        <x:v>0</x:v>
      </x:c>
      <x:c r="O134" s="214" t="n">
        <x:v>0</x:v>
      </x:c>
      <x:c r="P134" s="215">
        <x:f>ROUND(((K134*M134) - (K134*M134*N134/100)) + (((K134*M134) - (K134*M134*N134/100)) * O134/100), 2)</x:f>
      </x:c>
      <x:c r="Q134" s="216" t="s"/>
      <x:c r="R134" s="216" t="s"/>
      <x:c r="S134" s="81" t="s">
        <x:v>403</x:v>
      </x:c>
      <x:c r="T134" s="209" t="s"/>
      <x:c r="U134" s="210" t="s"/>
    </x:row>
    <x:row r="135" spans="1:23">
      <x:c r="A135" s="76" t="n">
        <x:v>115</x:v>
      </x:c>
      <x:c r="B135" s="76" t="n">
        <x:v>5210571</x:v>
      </x:c>
      <x:c r="C135" s="77" t="s">
        <x:v>404</x:v>
      </x:c>
      <x:c r="D135" s="78" t="s">
        <x:v>405</x:v>
      </x:c>
      <x:c r="E135" s="79" t="s"/>
      <x:c r="F135" s="77" t="s"/>
      <x:c r="G135" s="92" t="n">
        <x:v>1</x:v>
      </x:c>
      <x:c r="H135" s="77" t="s">
        <x:v>154</x:v>
      </x:c>
      <x:c r="I135" s="77" t="s">
        <x:v>72</x:v>
      </x:c>
      <x:c r="J135" s="79" t="n">
        <x:v>1.7</x:v>
      </x:c>
      <x:c r="K135" s="211" t="n">
        <x:v>10</x:v>
      </x:c>
      <x:c r="L135" s="212" t="s"/>
      <x:c r="M135" s="213" t="n">
        <x:v>1.7</x:v>
      </x:c>
      <x:c r="N135" s="214" t="n">
        <x:v>0</x:v>
      </x:c>
      <x:c r="O135" s="214" t="n">
        <x:v>0</x:v>
      </x:c>
      <x:c r="P135" s="215">
        <x:f>ROUND(((K135*M135) - (K135*M135*N135/100)) + (((K135*M135) - (K135*M135*N135/100)) * O135/100), 2)</x:f>
      </x:c>
      <x:c r="Q135" s="216" t="s"/>
      <x:c r="R135" s="216" t="s"/>
      <x:c r="S135" s="81" t="s">
        <x:v>406</x:v>
      </x:c>
      <x:c r="T135" s="209" t="s"/>
      <x:c r="U135" s="210" t="s"/>
    </x:row>
    <x:row r="136" spans="1:23">
      <x:c r="A136" s="76" t="n">
        <x:v>116</x:v>
      </x:c>
      <x:c r="B136" s="76" t="n">
        <x:v>5210854</x:v>
      </x:c>
      <x:c r="C136" s="77" t="s">
        <x:v>407</x:v>
      </x:c>
      <x:c r="D136" s="78" t="s">
        <x:v>408</x:v>
      </x:c>
      <x:c r="E136" s="79" t="s"/>
      <x:c r="F136" s="77" t="s"/>
      <x:c r="G136" s="92" t="n">
        <x:v>100</x:v>
      </x:c>
      <x:c r="H136" s="77" t="s">
        <x:v>154</x:v>
      </x:c>
      <x:c r="I136" s="77" t="s">
        <x:v>57</x:v>
      </x:c>
      <x:c r="J136" s="79" t="n">
        <x:v>4.28</x:v>
      </x:c>
      <x:c r="K136" s="211" t="n">
        <x:v>30</x:v>
      </x:c>
      <x:c r="L136" s="212" t="s"/>
      <x:c r="M136" s="213" t="n">
        <x:v>4.28</x:v>
      </x:c>
      <x:c r="N136" s="214" t="n">
        <x:v>0</x:v>
      </x:c>
      <x:c r="O136" s="214" t="n">
        <x:v>0</x:v>
      </x:c>
      <x:c r="P136" s="215">
        <x:f>ROUND(((K136*M136) - (K136*M136*N136/100)) + (((K136*M136) - (K136*M136*N136/100)) * O136/100), 2)</x:f>
      </x:c>
      <x:c r="Q136" s="216" t="s"/>
      <x:c r="R136" s="216" t="s"/>
      <x:c r="S136" s="81" t="s">
        <x:v>409</x:v>
      </x:c>
      <x:c r="T136" s="209" t="s"/>
      <x:c r="U136" s="210" t="s"/>
    </x:row>
    <x:row r="137" spans="1:23">
      <x:c r="A137" s="76" t="n">
        <x:v>117</x:v>
      </x:c>
      <x:c r="B137" s="76" t="n">
        <x:v>5210574</x:v>
      </x:c>
      <x:c r="C137" s="77" t="s">
        <x:v>410</x:v>
      </x:c>
      <x:c r="D137" s="78" t="s">
        <x:v>411</x:v>
      </x:c>
      <x:c r="E137" s="79" t="s"/>
      <x:c r="F137" s="77" t="s"/>
      <x:c r="G137" s="92" t="n">
        <x:v>1</x:v>
      </x:c>
      <x:c r="H137" s="77" t="s">
        <x:v>154</x:v>
      </x:c>
      <x:c r="I137" s="77" t="s">
        <x:v>72</x:v>
      </x:c>
      <x:c r="J137" s="79" t="n">
        <x:v>2.27</x:v>
      </x:c>
      <x:c r="K137" s="211" t="n">
        <x:v>15</x:v>
      </x:c>
      <x:c r="L137" s="212" t="s"/>
      <x:c r="M137" s="213" t="n">
        <x:v>2.27</x:v>
      </x:c>
      <x:c r="N137" s="214" t="n">
        <x:v>0</x:v>
      </x:c>
      <x:c r="O137" s="214" t="n">
        <x:v>0</x:v>
      </x:c>
      <x:c r="P137" s="215">
        <x:f>ROUND(((K137*M137) - (K137*M137*N137/100)) + (((K137*M137) - (K137*M137*N137/100)) * O137/100), 2)</x:f>
      </x:c>
      <x:c r="Q137" s="216" t="s"/>
      <x:c r="R137" s="216" t="s"/>
      <x:c r="S137" s="81" t="s">
        <x:v>412</x:v>
      </x:c>
      <x:c r="T137" s="209" t="s"/>
      <x:c r="U137" s="210" t="s"/>
    </x:row>
    <x:row r="138" spans="1:23">
      <x:c r="A138" s="76" t="n">
        <x:v>118</x:v>
      </x:c>
      <x:c r="B138" s="76" t="n">
        <x:v>5210580</x:v>
      </x:c>
      <x:c r="C138" s="77" t="s">
        <x:v>413</x:v>
      </x:c>
      <x:c r="D138" s="78" t="s">
        <x:v>414</x:v>
      </x:c>
      <x:c r="E138" s="79" t="s"/>
      <x:c r="F138" s="77" t="s"/>
      <x:c r="G138" s="92" t="n">
        <x:v>1</x:v>
      </x:c>
      <x:c r="H138" s="77" t="s">
        <x:v>154</x:v>
      </x:c>
      <x:c r="I138" s="77" t="s">
        <x:v>72</x:v>
      </x:c>
      <x:c r="J138" s="79" t="n">
        <x:v>1.38</x:v>
      </x:c>
      <x:c r="K138" s="211" t="n">
        <x:v>10</x:v>
      </x:c>
      <x:c r="L138" s="212" t="s"/>
      <x:c r="M138" s="213" t="n">
        <x:v>1.38</x:v>
      </x:c>
      <x:c r="N138" s="214" t="n">
        <x:v>0</x:v>
      </x:c>
      <x:c r="O138" s="214" t="n">
        <x:v>0</x:v>
      </x:c>
      <x:c r="P138" s="215">
        <x:f>ROUND(((K138*M138) - (K138*M138*N138/100)) + (((K138*M138) - (K138*M138*N138/100)) * O138/100), 2)</x:f>
      </x:c>
      <x:c r="Q138" s="216" t="s"/>
      <x:c r="R138" s="216" t="s"/>
      <x:c r="S138" s="81" t="s">
        <x:v>415</x:v>
      </x:c>
      <x:c r="T138" s="209" t="s"/>
      <x:c r="U138" s="210" t="s"/>
    </x:row>
    <x:row r="139" spans="1:23">
      <x:c r="A139" s="76" t="n">
        <x:v>119</x:v>
      </x:c>
      <x:c r="B139" s="76" t="n">
        <x:v>5210582</x:v>
      </x:c>
      <x:c r="C139" s="77" t="s">
        <x:v>416</x:v>
      </x:c>
      <x:c r="D139" s="78" t="s">
        <x:v>417</x:v>
      </x:c>
      <x:c r="E139" s="79" t="s"/>
      <x:c r="F139" s="77" t="s"/>
      <x:c r="G139" s="92" t="n">
        <x:v>1</x:v>
      </x:c>
      <x:c r="H139" s="77" t="s">
        <x:v>154</x:v>
      </x:c>
      <x:c r="I139" s="77" t="s">
        <x:v>72</x:v>
      </x:c>
      <x:c r="J139" s="79" t="n">
        <x:v>1.7</x:v>
      </x:c>
      <x:c r="K139" s="211" t="n">
        <x:v>25</x:v>
      </x:c>
      <x:c r="L139" s="212" t="s"/>
      <x:c r="M139" s="213" t="n">
        <x:v>1.7</x:v>
      </x:c>
      <x:c r="N139" s="214" t="n">
        <x:v>0</x:v>
      </x:c>
      <x:c r="O139" s="214" t="n">
        <x:v>0</x:v>
      </x:c>
      <x:c r="P139" s="215">
        <x:f>ROUND(((K139*M139) - (K139*M139*N139/100)) + (((K139*M139) - (K139*M139*N139/100)) * O139/100), 2)</x:f>
      </x:c>
      <x:c r="Q139" s="216" t="s"/>
      <x:c r="R139" s="216" t="s"/>
      <x:c r="S139" s="81" t="s">
        <x:v>418</x:v>
      </x:c>
      <x:c r="T139" s="209" t="s"/>
      <x:c r="U139" s="210" t="s"/>
    </x:row>
    <x:row r="140" spans="1:23">
      <x:c r="A140" s="76" t="n">
        <x:v>120</x:v>
      </x:c>
      <x:c r="B140" s="76" t="n">
        <x:v>5210827</x:v>
      </x:c>
      <x:c r="C140" s="77" t="s">
        <x:v>419</x:v>
      </x:c>
      <x:c r="D140" s="78" t="s">
        <x:v>420</x:v>
      </x:c>
      <x:c r="E140" s="79" t="s"/>
      <x:c r="F140" s="77" t="s"/>
      <x:c r="G140" s="92" t="n">
        <x:v>1</x:v>
      </x:c>
      <x:c r="H140" s="77" t="s">
        <x:v>154</x:v>
      </x:c>
      <x:c r="I140" s="77" t="s">
        <x:v>72</x:v>
      </x:c>
      <x:c r="J140" s="79" t="n">
        <x:v>3.2</x:v>
      </x:c>
      <x:c r="K140" s="211" t="n">
        <x:v>15</x:v>
      </x:c>
      <x:c r="L140" s="212" t="s"/>
      <x:c r="M140" s="213" t="n">
        <x:v>3.2</x:v>
      </x:c>
      <x:c r="N140" s="214" t="n">
        <x:v>0</x:v>
      </x:c>
      <x:c r="O140" s="214" t="n">
        <x:v>0</x:v>
      </x:c>
      <x:c r="P140" s="215">
        <x:f>ROUND(((K140*M140) - (K140*M140*N140/100)) + (((K140*M140) - (K140*M140*N140/100)) * O140/100), 2)</x:f>
      </x:c>
      <x:c r="Q140" s="216" t="s"/>
      <x:c r="R140" s="216" t="s"/>
      <x:c r="S140" s="81" t="s">
        <x:v>421</x:v>
      </x:c>
      <x:c r="T140" s="209" t="s"/>
      <x:c r="U140" s="210" t="s"/>
    </x:row>
    <x:row r="141" spans="1:23">
      <x:c r="A141" s="76" t="n">
        <x:v>121</x:v>
      </x:c>
      <x:c r="B141" s="76" t="n">
        <x:v>5210588</x:v>
      </x:c>
      <x:c r="C141" s="77" t="s">
        <x:v>422</x:v>
      </x:c>
      <x:c r="D141" s="78" t="s">
        <x:v>423</x:v>
      </x:c>
      <x:c r="E141" s="79" t="s"/>
      <x:c r="F141" s="77" t="s"/>
      <x:c r="G141" s="92" t="n">
        <x:v>1</x:v>
      </x:c>
      <x:c r="H141" s="77" t="s">
        <x:v>154</x:v>
      </x:c>
      <x:c r="I141" s="77" t="s">
        <x:v>72</x:v>
      </x:c>
      <x:c r="J141" s="79" t="n">
        <x:v>0.64</x:v>
      </x:c>
      <x:c r="K141" s="211" t="n">
        <x:v>40</x:v>
      </x:c>
      <x:c r="L141" s="212" t="s"/>
      <x:c r="M141" s="213" t="n">
        <x:v>0.64</x:v>
      </x:c>
      <x:c r="N141" s="214" t="n">
        <x:v>0</x:v>
      </x:c>
      <x:c r="O141" s="214" t="n">
        <x:v>0</x:v>
      </x:c>
      <x:c r="P141" s="215">
        <x:f>ROUND(((K141*M141) - (K141*M141*N141/100)) + (((K141*M141) - (K141*M141*N141/100)) * O141/100), 2)</x:f>
      </x:c>
      <x:c r="Q141" s="216" t="s"/>
      <x:c r="R141" s="216" t="s"/>
      <x:c r="S141" s="81" t="s">
        <x:v>424</x:v>
      </x:c>
      <x:c r="T141" s="209" t="s"/>
      <x:c r="U141" s="210" t="s"/>
    </x:row>
    <x:row r="142" spans="1:23">
      <x:c r="A142" s="76" t="n">
        <x:v>122</x:v>
      </x:c>
      <x:c r="B142" s="76" t="n">
        <x:v>5688801</x:v>
      </x:c>
      <x:c r="C142" s="77" t="s">
        <x:v>425</x:v>
      </x:c>
      <x:c r="D142" s="78" t="s">
        <x:v>426</x:v>
      </x:c>
      <x:c r="E142" s="79" t="s"/>
      <x:c r="F142" s="77" t="s"/>
      <x:c r="G142" s="92" t="n">
        <x:v>1</x:v>
      </x:c>
      <x:c r="H142" s="77" t="s">
        <x:v>154</x:v>
      </x:c>
      <x:c r="I142" s="77" t="s">
        <x:v>72</x:v>
      </x:c>
      <x:c r="J142" s="79" t="n">
        <x:v>1.49</x:v>
      </x:c>
      <x:c r="K142" s="211" t="n">
        <x:v>5</x:v>
      </x:c>
      <x:c r="L142" s="212" t="s"/>
      <x:c r="M142" s="213" t="n">
        <x:v>1.49</x:v>
      </x:c>
      <x:c r="N142" s="214" t="n">
        <x:v>0</x:v>
      </x:c>
      <x:c r="O142" s="214" t="n">
        <x:v>0</x:v>
      </x:c>
      <x:c r="P142" s="215">
        <x:f>ROUND(((K142*M142) - (K142*M142*N142/100)) + (((K142*M142) - (K142*M142*N142/100)) * O142/100), 2)</x:f>
      </x:c>
      <x:c r="Q142" s="216" t="s"/>
      <x:c r="R142" s="216" t="s"/>
      <x:c r="S142" s="81" t="s">
        <x:v>427</x:v>
      </x:c>
      <x:c r="T142" s="209" t="s"/>
      <x:c r="U142" s="210" t="s"/>
    </x:row>
    <x:row r="143" spans="1:23">
      <x:c r="A143" s="76" t="n">
        <x:v>123</x:v>
      </x:c>
      <x:c r="B143" s="76" t="n">
        <x:v>5210591</x:v>
      </x:c>
      <x:c r="C143" s="77" t="s">
        <x:v>428</x:v>
      </x:c>
      <x:c r="D143" s="78" t="s">
        <x:v>429</x:v>
      </x:c>
      <x:c r="E143" s="79" t="s"/>
      <x:c r="F143" s="77" t="s"/>
      <x:c r="G143" s="92" t="n">
        <x:v>1</x:v>
      </x:c>
      <x:c r="H143" s="77" t="s">
        <x:v>154</x:v>
      </x:c>
      <x:c r="I143" s="77" t="s">
        <x:v>72</x:v>
      </x:c>
      <x:c r="J143" s="79" t="n">
        <x:v>1.19</x:v>
      </x:c>
      <x:c r="K143" s="211" t="n">
        <x:v>25</x:v>
      </x:c>
      <x:c r="L143" s="212" t="s"/>
      <x:c r="M143" s="213" t="n">
        <x:v>1.19</x:v>
      </x:c>
      <x:c r="N143" s="214" t="n">
        <x:v>0</x:v>
      </x:c>
      <x:c r="O143" s="214" t="n">
        <x:v>0</x:v>
      </x:c>
      <x:c r="P143" s="215">
        <x:f>ROUND(((K143*M143) - (K143*M143*N143/100)) + (((K143*M143) - (K143*M143*N143/100)) * O143/100), 2)</x:f>
      </x:c>
      <x:c r="Q143" s="216" t="s"/>
      <x:c r="R143" s="216" t="s"/>
      <x:c r="S143" s="81" t="s">
        <x:v>430</x:v>
      </x:c>
      <x:c r="T143" s="209" t="s"/>
      <x:c r="U143" s="210" t="s"/>
    </x:row>
    <x:row r="144" spans="1:23">
      <x:c r="A144" s="76" t="n">
        <x:v>124</x:v>
      </x:c>
      <x:c r="B144" s="76" t="n">
        <x:v>5210594</x:v>
      </x:c>
      <x:c r="C144" s="77" t="s">
        <x:v>431</x:v>
      </x:c>
      <x:c r="D144" s="78" t="s">
        <x:v>432</x:v>
      </x:c>
      <x:c r="E144" s="79" t="s"/>
      <x:c r="F144" s="77" t="s"/>
      <x:c r="G144" s="92" t="n">
        <x:v>1</x:v>
      </x:c>
      <x:c r="H144" s="77" t="s">
        <x:v>154</x:v>
      </x:c>
      <x:c r="I144" s="77" t="s">
        <x:v>72</x:v>
      </x:c>
      <x:c r="J144" s="79" t="n">
        <x:v>2.12</x:v>
      </x:c>
      <x:c r="K144" s="211" t="n">
        <x:v>35</x:v>
      </x:c>
      <x:c r="L144" s="212" t="s"/>
      <x:c r="M144" s="213" t="n">
        <x:v>2.12</x:v>
      </x:c>
      <x:c r="N144" s="214" t="n">
        <x:v>0</x:v>
      </x:c>
      <x:c r="O144" s="214" t="n">
        <x:v>0</x:v>
      </x:c>
      <x:c r="P144" s="215">
        <x:f>ROUND(((K144*M144) - (K144*M144*N144/100)) + (((K144*M144) - (K144*M144*N144/100)) * O144/100), 2)</x:f>
      </x:c>
      <x:c r="Q144" s="216" t="s"/>
      <x:c r="R144" s="216" t="s"/>
      <x:c r="S144" s="81" t="s">
        <x:v>433</x:v>
      </x:c>
      <x:c r="T144" s="209" t="s"/>
      <x:c r="U144" s="210" t="s"/>
    </x:row>
    <x:row r="145" spans="1:23">
      <x:c r="A145" s="76" t="n">
        <x:v>125</x:v>
      </x:c>
      <x:c r="B145" s="76" t="n">
        <x:v>5210596</x:v>
      </x:c>
      <x:c r="C145" s="77" t="s">
        <x:v>434</x:v>
      </x:c>
      <x:c r="D145" s="78" t="s">
        <x:v>435</x:v>
      </x:c>
      <x:c r="E145" s="79" t="s"/>
      <x:c r="F145" s="77" t="s"/>
      <x:c r="G145" s="92" t="n">
        <x:v>1</x:v>
      </x:c>
      <x:c r="H145" s="77" t="s">
        <x:v>154</x:v>
      </x:c>
      <x:c r="I145" s="77" t="s">
        <x:v>72</x:v>
      </x:c>
      <x:c r="J145" s="79" t="n">
        <x:v>1.7</x:v>
      </x:c>
      <x:c r="K145" s="211" t="n">
        <x:v>3</x:v>
      </x:c>
      <x:c r="L145" s="212" t="s"/>
      <x:c r="M145" s="213" t="n">
        <x:v>1.7</x:v>
      </x:c>
      <x:c r="N145" s="214" t="n">
        <x:v>0</x:v>
      </x:c>
      <x:c r="O145" s="214" t="n">
        <x:v>0</x:v>
      </x:c>
      <x:c r="P145" s="215">
        <x:f>ROUND(((K145*M145) - (K145*M145*N145/100)) + (((K145*M145) - (K145*M145*N145/100)) * O145/100), 2)</x:f>
      </x:c>
      <x:c r="Q145" s="216" t="s"/>
      <x:c r="R145" s="216" t="s"/>
      <x:c r="S145" s="81" t="s">
        <x:v>436</x:v>
      </x:c>
      <x:c r="T145" s="209" t="s"/>
      <x:c r="U145" s="210" t="s"/>
    </x:row>
    <x:row r="146" spans="1:23">
      <x:c r="A146" s="76" t="n">
        <x:v>126</x:v>
      </x:c>
      <x:c r="B146" s="76" t="n">
        <x:v>5210614</x:v>
      </x:c>
      <x:c r="C146" s="77" t="s">
        <x:v>437</x:v>
      </x:c>
      <x:c r="D146" s="78" t="s">
        <x:v>438</x:v>
      </x:c>
      <x:c r="E146" s="79" t="s"/>
      <x:c r="F146" s="77" t="s"/>
      <x:c r="G146" s="92" t="n">
        <x:v>1</x:v>
      </x:c>
      <x:c r="H146" s="77" t="s">
        <x:v>68</x:v>
      </x:c>
      <x:c r="I146" s="77" t="s">
        <x:v>72</x:v>
      </x:c>
      <x:c r="J146" s="79" t="n">
        <x:v>1.8</x:v>
      </x:c>
      <x:c r="K146" s="211" t="n">
        <x:v>16</x:v>
      </x:c>
      <x:c r="L146" s="212" t="s"/>
      <x:c r="M146" s="213" t="n">
        <x:v>1.8</x:v>
      </x:c>
      <x:c r="N146" s="214" t="n">
        <x:v>0</x:v>
      </x:c>
      <x:c r="O146" s="214" t="n">
        <x:v>0</x:v>
      </x:c>
      <x:c r="P146" s="215">
        <x:f>ROUND(((K146*M146) - (K146*M146*N146/100)) + (((K146*M146) - (K146*M146*N146/100)) * O146/100), 2)</x:f>
      </x:c>
      <x:c r="Q146" s="216" t="s"/>
      <x:c r="R146" s="216" t="s"/>
      <x:c r="S146" s="81" t="s">
        <x:v>439</x:v>
      </x:c>
      <x:c r="T146" s="209" t="s"/>
      <x:c r="U146" s="210" t="s"/>
    </x:row>
    <x:row r="147" spans="1:23">
      <x:c r="A147" s="76" t="n">
        <x:v>127</x:v>
      </x:c>
      <x:c r="B147" s="76" t="n">
        <x:v>5210622</x:v>
      </x:c>
      <x:c r="C147" s="77" t="s">
        <x:v>440</x:v>
      </x:c>
      <x:c r="D147" s="78" t="s">
        <x:v>441</x:v>
      </x:c>
      <x:c r="E147" s="79" t="s"/>
      <x:c r="F147" s="77" t="s"/>
      <x:c r="G147" s="92" t="n">
        <x:v>1</x:v>
      </x:c>
      <x:c r="H147" s="77" t="s">
        <x:v>154</x:v>
      </x:c>
      <x:c r="I147" s="77" t="s">
        <x:v>72</x:v>
      </x:c>
      <x:c r="J147" s="79" t="n">
        <x:v>0.91</x:v>
      </x:c>
      <x:c r="K147" s="211" t="n">
        <x:v>15</x:v>
      </x:c>
      <x:c r="L147" s="212" t="s"/>
      <x:c r="M147" s="213" t="n">
        <x:v>0.91</x:v>
      </x:c>
      <x:c r="N147" s="214" t="n">
        <x:v>0</x:v>
      </x:c>
      <x:c r="O147" s="214" t="n">
        <x:v>0</x:v>
      </x:c>
      <x:c r="P147" s="215">
        <x:f>ROUND(((K147*M147) - (K147*M147*N147/100)) + (((K147*M147) - (K147*M147*N147/100)) * O147/100), 2)</x:f>
      </x:c>
      <x:c r="Q147" s="216" t="s"/>
      <x:c r="R147" s="216" t="s"/>
      <x:c r="S147" s="81" t="s">
        <x:v>442</x:v>
      </x:c>
      <x:c r="T147" s="209" t="s"/>
      <x:c r="U147" s="210" t="s"/>
    </x:row>
    <x:row r="148" spans="1:23">
      <x:c r="A148" s="76" t="n">
        <x:v>128</x:v>
      </x:c>
      <x:c r="B148" s="76" t="n">
        <x:v>5210625</x:v>
      </x:c>
      <x:c r="C148" s="77" t="s">
        <x:v>443</x:v>
      </x:c>
      <x:c r="D148" s="78" t="s">
        <x:v>444</x:v>
      </x:c>
      <x:c r="E148" s="79" t="s"/>
      <x:c r="F148" s="77" t="s"/>
      <x:c r="G148" s="92" t="n">
        <x:v>1</x:v>
      </x:c>
      <x:c r="H148" s="77" t="s">
        <x:v>154</x:v>
      </x:c>
      <x:c r="I148" s="77" t="s">
        <x:v>72</x:v>
      </x:c>
      <x:c r="J148" s="79" t="n">
        <x:v>5.21</x:v>
      </x:c>
      <x:c r="K148" s="211" t="n">
        <x:v>5</x:v>
      </x:c>
      <x:c r="L148" s="212" t="s"/>
      <x:c r="M148" s="213" t="n">
        <x:v>5.21</x:v>
      </x:c>
      <x:c r="N148" s="214" t="n">
        <x:v>0</x:v>
      </x:c>
      <x:c r="O148" s="214" t="n">
        <x:v>0</x:v>
      </x:c>
      <x:c r="P148" s="215">
        <x:f>ROUND(((K148*M148) - (K148*M148*N148/100)) + (((K148*M148) - (K148*M148*N148/100)) * O148/100), 2)</x:f>
      </x:c>
      <x:c r="Q148" s="216" t="s"/>
      <x:c r="R148" s="216" t="s"/>
      <x:c r="S148" s="81" t="s">
        <x:v>445</x:v>
      </x:c>
      <x:c r="T148" s="209" t="s"/>
      <x:c r="U148" s="210" t="s"/>
    </x:row>
    <x:row r="149" spans="1:23">
      <x:c r="A149" s="76" t="n">
        <x:v>129</x:v>
      </x:c>
      <x:c r="B149" s="76" t="n">
        <x:v>5341204</x:v>
      </x:c>
      <x:c r="C149" s="77" t="s">
        <x:v>446</x:v>
      </x:c>
      <x:c r="D149" s="78" t="s">
        <x:v>447</x:v>
      </x:c>
      <x:c r="E149" s="79" t="s"/>
      <x:c r="F149" s="77" t="s"/>
      <x:c r="G149" s="92" t="n">
        <x:v>1</x:v>
      </x:c>
      <x:c r="H149" s="77" t="s">
        <x:v>154</x:v>
      </x:c>
      <x:c r="I149" s="77" t="s">
        <x:v>72</x:v>
      </x:c>
      <x:c r="J149" s="79" t="n">
        <x:v>6.8</x:v>
      </x:c>
      <x:c r="K149" s="211" t="n">
        <x:v>10</x:v>
      </x:c>
      <x:c r="L149" s="212" t="s"/>
      <x:c r="M149" s="213" t="n">
        <x:v>6.8</x:v>
      </x:c>
      <x:c r="N149" s="214" t="n">
        <x:v>0</x:v>
      </x:c>
      <x:c r="O149" s="214" t="n">
        <x:v>0</x:v>
      </x:c>
      <x:c r="P149" s="215">
        <x:f>ROUND(((K149*M149) - (K149*M149*N149/100)) + (((K149*M149) - (K149*M149*N149/100)) * O149/100), 2)</x:f>
      </x:c>
      <x:c r="Q149" s="216" t="s"/>
      <x:c r="R149" s="216" t="s"/>
      <x:c r="S149" s="81" t="s">
        <x:v>448</x:v>
      </x:c>
      <x:c r="T149" s="209" t="s"/>
      <x:c r="U149" s="210" t="s"/>
    </x:row>
    <x:row r="150" spans="1:23">
      <x:c r="A150" s="76" t="n">
        <x:v>130</x:v>
      </x:c>
      <x:c r="B150" s="76" t="n">
        <x:v>5210636</x:v>
      </x:c>
      <x:c r="C150" s="77" t="s">
        <x:v>449</x:v>
      </x:c>
      <x:c r="D150" s="78" t="s">
        <x:v>450</x:v>
      </x:c>
      <x:c r="E150" s="79" t="s"/>
      <x:c r="F150" s="77" t="s"/>
      <x:c r="G150" s="92" t="n">
        <x:v>1</x:v>
      </x:c>
      <x:c r="H150" s="77" t="s">
        <x:v>154</x:v>
      </x:c>
      <x:c r="I150" s="77" t="s">
        <x:v>72</x:v>
      </x:c>
      <x:c r="J150" s="79" t="n">
        <x:v>2.84</x:v>
      </x:c>
      <x:c r="K150" s="211" t="n">
        <x:v>15</x:v>
      </x:c>
      <x:c r="L150" s="212" t="s"/>
      <x:c r="M150" s="213" t="n">
        <x:v>2.84</x:v>
      </x:c>
      <x:c r="N150" s="214" t="n">
        <x:v>0</x:v>
      </x:c>
      <x:c r="O150" s="214" t="n">
        <x:v>0</x:v>
      </x:c>
      <x:c r="P150" s="215">
        <x:f>ROUND(((K150*M150) - (K150*M150*N150/100)) + (((K150*M150) - (K150*M150*N150/100)) * O150/100), 2)</x:f>
      </x:c>
      <x:c r="Q150" s="216" t="s"/>
      <x:c r="R150" s="216" t="s"/>
      <x:c r="S150" s="81" t="s">
        <x:v>451</x:v>
      </x:c>
      <x:c r="T150" s="209" t="s"/>
      <x:c r="U150" s="210" t="s"/>
    </x:row>
    <x:row r="151" spans="1:23">
      <x:c r="A151" s="76" t="n">
        <x:v>131</x:v>
      </x:c>
      <x:c r="B151" s="76" t="n">
        <x:v>5210648</x:v>
      </x:c>
      <x:c r="C151" s="77" t="s">
        <x:v>452</x:v>
      </x:c>
      <x:c r="D151" s="78" t="s">
        <x:v>453</x:v>
      </x:c>
      <x:c r="E151" s="79" t="s"/>
      <x:c r="F151" s="77" t="s"/>
      <x:c r="G151" s="92" t="n">
        <x:v>1</x:v>
      </x:c>
      <x:c r="H151" s="77" t="s">
        <x:v>154</x:v>
      </x:c>
      <x:c r="I151" s="77" t="s">
        <x:v>72</x:v>
      </x:c>
      <x:c r="J151" s="79" t="n">
        <x:v>2.94</x:v>
      </x:c>
      <x:c r="K151" s="211" t="n">
        <x:v>15</x:v>
      </x:c>
      <x:c r="L151" s="212" t="s"/>
      <x:c r="M151" s="213" t="n">
        <x:v>2.94</x:v>
      </x:c>
      <x:c r="N151" s="214" t="n">
        <x:v>0</x:v>
      </x:c>
      <x:c r="O151" s="214" t="n">
        <x:v>0</x:v>
      </x:c>
      <x:c r="P151" s="215">
        <x:f>ROUND(((K151*M151) - (K151*M151*N151/100)) + (((K151*M151) - (K151*M151*N151/100)) * O151/100), 2)</x:f>
      </x:c>
      <x:c r="Q151" s="216" t="s"/>
      <x:c r="R151" s="216" t="s"/>
      <x:c r="S151" s="81" t="s">
        <x:v>454</x:v>
      </x:c>
      <x:c r="T151" s="209" t="s"/>
      <x:c r="U151" s="210" t="s"/>
    </x:row>
    <x:row r="152" spans="1:23">
      <x:c r="A152" s="76" t="n">
        <x:v>132</x:v>
      </x:c>
      <x:c r="B152" s="76" t="n">
        <x:v>5210654</x:v>
      </x:c>
      <x:c r="C152" s="77" t="s">
        <x:v>455</x:v>
      </x:c>
      <x:c r="D152" s="78" t="s">
        <x:v>456</x:v>
      </x:c>
      <x:c r="E152" s="79" t="s"/>
      <x:c r="F152" s="77" t="s"/>
      <x:c r="G152" s="92" t="n">
        <x:v>1</x:v>
      </x:c>
      <x:c r="H152" s="80" t="s">
        <x:v>154</x:v>
      </x:c>
      <x:c r="I152" s="80" t="s"/>
      <x:c r="J152" s="79" t="n">
        <x:v>0</x:v>
      </x:c>
      <x:c r="K152" s="211" t="n">
        <x:v>4</x:v>
      </x:c>
      <x:c r="L152" s="212" t="s"/>
      <x:c r="M152" s="213" t="n">
        <x:v>0</x:v>
      </x:c>
      <x:c r="N152" s="214" t="n">
        <x:v>0</x:v>
      </x:c>
      <x:c r="O152" s="214" t="n">
        <x:v>0</x:v>
      </x:c>
      <x:c r="P152" s="215">
        <x:f>ROUND(((K152*M152) - (K152*M152*N152/100)) + (((K152*M152) - (K152*M152*N152/100)) * O152/100), 2)</x:f>
      </x:c>
      <x:c r="Q152" s="216" t="s"/>
      <x:c r="R152" s="216" t="s"/>
      <x:c r="S152" s="81" t="s"/>
      <x:c r="T152" s="209" t="s"/>
      <x:c r="U152" s="210" t="s"/>
    </x:row>
    <x:row r="153" spans="1:23">
      <x:c r="A153" s="76" t="n">
        <x:v>133</x:v>
      </x:c>
      <x:c r="B153" s="76" t="n">
        <x:v>5341211</x:v>
      </x:c>
      <x:c r="C153" s="77" t="s">
        <x:v>457</x:v>
      </x:c>
      <x:c r="D153" s="78" t="s">
        <x:v>458</x:v>
      </x:c>
      <x:c r="E153" s="79" t="s"/>
      <x:c r="F153" s="77" t="s"/>
      <x:c r="G153" s="92" t="n">
        <x:v>1</x:v>
      </x:c>
      <x:c r="H153" s="77" t="s">
        <x:v>154</x:v>
      </x:c>
      <x:c r="I153" s="77" t="s">
        <x:v>72</x:v>
      </x:c>
      <x:c r="J153" s="79" t="n">
        <x:v>5.1</x:v>
      </x:c>
      <x:c r="K153" s="211" t="n">
        <x:v>6</x:v>
      </x:c>
      <x:c r="L153" s="212" t="s"/>
      <x:c r="M153" s="213" t="n">
        <x:v>5.1</x:v>
      </x:c>
      <x:c r="N153" s="214" t="n">
        <x:v>0</x:v>
      </x:c>
      <x:c r="O153" s="214" t="n">
        <x:v>0</x:v>
      </x:c>
      <x:c r="P153" s="215">
        <x:f>ROUND(((K153*M153) - (K153*M153*N153/100)) + (((K153*M153) - (K153*M153*N153/100)) * O153/100), 2)</x:f>
      </x:c>
      <x:c r="Q153" s="216" t="s"/>
      <x:c r="R153" s="216" t="s"/>
      <x:c r="S153" s="81" t="s">
        <x:v>459</x:v>
      </x:c>
      <x:c r="T153" s="209" t="s"/>
      <x:c r="U153" s="210" t="s"/>
    </x:row>
    <x:row r="154" spans="1:23">
      <x:c r="A154" s="76" t="n">
        <x:v>134</x:v>
      </x:c>
      <x:c r="B154" s="76" t="n">
        <x:v>5211008</x:v>
      </x:c>
      <x:c r="C154" s="77" t="s">
        <x:v>460</x:v>
      </x:c>
      <x:c r="D154" s="78" t="s">
        <x:v>461</x:v>
      </x:c>
      <x:c r="E154" s="79" t="s"/>
      <x:c r="F154" s="77" t="s"/>
      <x:c r="G154" s="92" t="n">
        <x:v>100</x:v>
      </x:c>
      <x:c r="H154" s="77" t="s">
        <x:v>154</x:v>
      </x:c>
      <x:c r="I154" s="77" t="s">
        <x:v>72</x:v>
      </x:c>
      <x:c r="J154" s="79" t="n">
        <x:v>15.77</x:v>
      </x:c>
      <x:c r="K154" s="211" t="n">
        <x:v>5</x:v>
      </x:c>
      <x:c r="L154" s="212" t="s"/>
      <x:c r="M154" s="213" t="n">
        <x:v>15.77</x:v>
      </x:c>
      <x:c r="N154" s="214" t="n">
        <x:v>0</x:v>
      </x:c>
      <x:c r="O154" s="214" t="n">
        <x:v>0</x:v>
      </x:c>
      <x:c r="P154" s="215">
        <x:f>ROUND(((K154*M154) - (K154*M154*N154/100)) + (((K154*M154) - (K154*M154*N154/100)) * O154/100), 2)</x:f>
      </x:c>
      <x:c r="Q154" s="216" t="s"/>
      <x:c r="R154" s="216" t="s"/>
      <x:c r="S154" s="81" t="s">
        <x:v>462</x:v>
      </x:c>
      <x:c r="T154" s="209" t="s"/>
      <x:c r="U154" s="210" t="s"/>
    </x:row>
    <x:row r="155" spans="1:23">
      <x:c r="A155" s="76" t="n">
        <x:v>135</x:v>
      </x:c>
      <x:c r="B155" s="76" t="n">
        <x:v>5210662</x:v>
      </x:c>
      <x:c r="C155" s="77" t="s">
        <x:v>463</x:v>
      </x:c>
      <x:c r="D155" s="78" t="s">
        <x:v>464</x:v>
      </x:c>
      <x:c r="E155" s="79" t="s"/>
      <x:c r="F155" s="77" t="s"/>
      <x:c r="G155" s="92" t="n">
        <x:v>1</x:v>
      </x:c>
      <x:c r="H155" s="77" t="s">
        <x:v>154</x:v>
      </x:c>
      <x:c r="I155" s="77" t="s">
        <x:v>72</x:v>
      </x:c>
      <x:c r="J155" s="79" t="n">
        <x:v>2.37</x:v>
      </x:c>
      <x:c r="K155" s="211" t="n">
        <x:v>20</x:v>
      </x:c>
      <x:c r="L155" s="212" t="s"/>
      <x:c r="M155" s="213" t="n">
        <x:v>2.37</x:v>
      </x:c>
      <x:c r="N155" s="214" t="n">
        <x:v>0</x:v>
      </x:c>
      <x:c r="O155" s="214" t="n">
        <x:v>0</x:v>
      </x:c>
      <x:c r="P155" s="215">
        <x:f>ROUND(((K155*M155) - (K155*M155*N155/100)) + (((K155*M155) - (K155*M155*N155/100)) * O155/100), 2)</x:f>
      </x:c>
      <x:c r="Q155" s="216" t="s"/>
      <x:c r="R155" s="216" t="s"/>
      <x:c r="S155" s="81" t="s">
        <x:v>465</x:v>
      </x:c>
      <x:c r="T155" s="209" t="s"/>
      <x:c r="U155" s="210" t="s"/>
    </x:row>
    <x:row r="156" spans="1:23">
      <x:c r="A156" s="76" t="n">
        <x:v>136</x:v>
      </x:c>
      <x:c r="B156" s="76" t="n">
        <x:v>5210664</x:v>
      </x:c>
      <x:c r="C156" s="77" t="s">
        <x:v>466</x:v>
      </x:c>
      <x:c r="D156" s="78" t="s">
        <x:v>467</x:v>
      </x:c>
      <x:c r="E156" s="79" t="s"/>
      <x:c r="F156" s="77" t="s"/>
      <x:c r="G156" s="92" t="n">
        <x:v>1</x:v>
      </x:c>
      <x:c r="H156" s="77" t="s">
        <x:v>154</x:v>
      </x:c>
      <x:c r="I156" s="77" t="s">
        <x:v>72</x:v>
      </x:c>
      <x:c r="J156" s="79" t="n">
        <x:v>2.27</x:v>
      </x:c>
      <x:c r="K156" s="211" t="n">
        <x:v>4</x:v>
      </x:c>
      <x:c r="L156" s="212" t="s"/>
      <x:c r="M156" s="213" t="n">
        <x:v>2.27</x:v>
      </x:c>
      <x:c r="N156" s="214" t="n">
        <x:v>0</x:v>
      </x:c>
      <x:c r="O156" s="214" t="n">
        <x:v>0</x:v>
      </x:c>
      <x:c r="P156" s="215">
        <x:f>ROUND(((K156*M156) - (K156*M156*N156/100)) + (((K156*M156) - (K156*M156*N156/100)) * O156/100), 2)</x:f>
      </x:c>
      <x:c r="Q156" s="216" t="s"/>
      <x:c r="R156" s="216" t="s"/>
      <x:c r="S156" s="81" t="s">
        <x:v>468</x:v>
      </x:c>
      <x:c r="T156" s="209" t="s"/>
      <x:c r="U156" s="210" t="s"/>
    </x:row>
    <x:row r="157" spans="1:23">
      <x:c r="A157" s="76" t="n">
        <x:v>137</x:v>
      </x:c>
      <x:c r="B157" s="76" t="n">
        <x:v>6085413</x:v>
      </x:c>
      <x:c r="C157" s="77" t="s">
        <x:v>469</x:v>
      </x:c>
      <x:c r="D157" s="78" t="s">
        <x:v>470</x:v>
      </x:c>
      <x:c r="E157" s="79" t="s"/>
      <x:c r="F157" s="77" t="s"/>
      <x:c r="G157" s="92" t="n">
        <x:v>1</x:v>
      </x:c>
      <x:c r="H157" s="77" t="s">
        <x:v>154</x:v>
      </x:c>
      <x:c r="I157" s="77" t="s">
        <x:v>72</x:v>
      </x:c>
      <x:c r="J157" s="79" t="n">
        <x:v>2.27</x:v>
      </x:c>
      <x:c r="K157" s="211" t="n">
        <x:v>15</x:v>
      </x:c>
      <x:c r="L157" s="212" t="s"/>
      <x:c r="M157" s="213" t="n">
        <x:v>2.27</x:v>
      </x:c>
      <x:c r="N157" s="214" t="n">
        <x:v>0</x:v>
      </x:c>
      <x:c r="O157" s="214" t="n">
        <x:v>0</x:v>
      </x:c>
      <x:c r="P157" s="215">
        <x:f>ROUND(((K157*M157) - (K157*M157*N157/100)) + (((K157*M157) - (K157*M157*N157/100)) * O157/100), 2)</x:f>
      </x:c>
      <x:c r="Q157" s="216" t="s"/>
      <x:c r="R157" s="216" t="s"/>
      <x:c r="S157" s="81" t="s">
        <x:v>471</x:v>
      </x:c>
      <x:c r="T157" s="209" t="s"/>
      <x:c r="U157" s="210" t="s"/>
    </x:row>
    <x:row r="158" spans="1:23">
      <x:c r="A158" s="76" t="n">
        <x:v>138</x:v>
      </x:c>
      <x:c r="B158" s="76" t="n">
        <x:v>5210665</x:v>
      </x:c>
      <x:c r="C158" s="77" t="s">
        <x:v>472</x:v>
      </x:c>
      <x:c r="D158" s="78" t="s">
        <x:v>473</x:v>
      </x:c>
      <x:c r="E158" s="79" t="s"/>
      <x:c r="F158" s="77" t="s"/>
      <x:c r="G158" s="92" t="n">
        <x:v>1</x:v>
      </x:c>
      <x:c r="H158" s="77" t="s">
        <x:v>154</x:v>
      </x:c>
      <x:c r="I158" s="77" t="s">
        <x:v>72</x:v>
      </x:c>
      <x:c r="J158" s="79" t="n">
        <x:v>2.94</x:v>
      </x:c>
      <x:c r="K158" s="211" t="n">
        <x:v>16</x:v>
      </x:c>
      <x:c r="L158" s="212" t="s"/>
      <x:c r="M158" s="213" t="n">
        <x:v>2.94</x:v>
      </x:c>
      <x:c r="N158" s="214" t="n">
        <x:v>0</x:v>
      </x:c>
      <x:c r="O158" s="214" t="n">
        <x:v>0</x:v>
      </x:c>
      <x:c r="P158" s="215">
        <x:f>ROUND(((K158*M158) - (K158*M158*N158/100)) + (((K158*M158) - (K158*M158*N158/100)) * O158/100), 2)</x:f>
      </x:c>
      <x:c r="Q158" s="216" t="s"/>
      <x:c r="R158" s="216" t="s"/>
      <x:c r="S158" s="81" t="s">
        <x:v>474</x:v>
      </x:c>
      <x:c r="T158" s="209" t="s"/>
      <x:c r="U158" s="210" t="s"/>
    </x:row>
    <x:row r="159" spans="1:23">
      <x:c r="A159" s="76" t="n">
        <x:v>139</x:v>
      </x:c>
      <x:c r="B159" s="76" t="n">
        <x:v>5210673</x:v>
      </x:c>
      <x:c r="C159" s="77" t="s">
        <x:v>475</x:v>
      </x:c>
      <x:c r="D159" s="78" t="s">
        <x:v>476</x:v>
      </x:c>
      <x:c r="E159" s="79" t="s"/>
      <x:c r="F159" s="77" t="s"/>
      <x:c r="G159" s="92" t="n">
        <x:v>1</x:v>
      </x:c>
      <x:c r="H159" s="77" t="s">
        <x:v>154</x:v>
      </x:c>
      <x:c r="I159" s="77" t="s">
        <x:v>72</x:v>
      </x:c>
      <x:c r="J159" s="79" t="n">
        <x:v>4.54</x:v>
      </x:c>
      <x:c r="K159" s="211" t="n">
        <x:v>2</x:v>
      </x:c>
      <x:c r="L159" s="212" t="s"/>
      <x:c r="M159" s="213" t="n">
        <x:v>4.54</x:v>
      </x:c>
      <x:c r="N159" s="214" t="n">
        <x:v>0</x:v>
      </x:c>
      <x:c r="O159" s="214" t="n">
        <x:v>0</x:v>
      </x:c>
      <x:c r="P159" s="215">
        <x:f>ROUND(((K159*M159) - (K159*M159*N159/100)) + (((K159*M159) - (K159*M159*N159/100)) * O159/100), 2)</x:f>
      </x:c>
      <x:c r="Q159" s="216" t="s"/>
      <x:c r="R159" s="216" t="s"/>
      <x:c r="S159" s="81" t="s">
        <x:v>477</x:v>
      </x:c>
      <x:c r="T159" s="209" t="s"/>
      <x:c r="U159" s="210" t="s"/>
    </x:row>
    <x:row r="160" spans="1:23">
      <x:c r="A160" s="76" t="n">
        <x:v>140</x:v>
      </x:c>
      <x:c r="B160" s="76" t="n">
        <x:v>5210674</x:v>
      </x:c>
      <x:c r="C160" s="77" t="s">
        <x:v>478</x:v>
      </x:c>
      <x:c r="D160" s="78" t="s">
        <x:v>479</x:v>
      </x:c>
      <x:c r="E160" s="79" t="s"/>
      <x:c r="F160" s="77" t="s"/>
      <x:c r="G160" s="92" t="n">
        <x:v>1</x:v>
      </x:c>
      <x:c r="H160" s="77" t="s">
        <x:v>154</x:v>
      </x:c>
      <x:c r="I160" s="77" t="s">
        <x:v>72</x:v>
      </x:c>
      <x:c r="J160" s="79" t="n">
        <x:v>1.38</x:v>
      </x:c>
      <x:c r="K160" s="211" t="n">
        <x:v>12</x:v>
      </x:c>
      <x:c r="L160" s="212" t="s"/>
      <x:c r="M160" s="213" t="n">
        <x:v>1.38</x:v>
      </x:c>
      <x:c r="N160" s="214" t="n">
        <x:v>0</x:v>
      </x:c>
      <x:c r="O160" s="214" t="n">
        <x:v>0</x:v>
      </x:c>
      <x:c r="P160" s="215">
        <x:f>ROUND(((K160*M160) - (K160*M160*N160/100)) + (((K160*M160) - (K160*M160*N160/100)) * O160/100), 2)</x:f>
      </x:c>
      <x:c r="Q160" s="216" t="s"/>
      <x:c r="R160" s="216" t="s"/>
      <x:c r="S160" s="81" t="s">
        <x:v>480</x:v>
      </x:c>
      <x:c r="T160" s="209" t="s"/>
      <x:c r="U160" s="210" t="s"/>
    </x:row>
    <x:row r="161" spans="1:23">
      <x:c r="A161" s="76" t="n">
        <x:v>141</x:v>
      </x:c>
      <x:c r="B161" s="76" t="n">
        <x:v>5210680</x:v>
      </x:c>
      <x:c r="C161" s="77" t="s">
        <x:v>481</x:v>
      </x:c>
      <x:c r="D161" s="78" t="s">
        <x:v>482</x:v>
      </x:c>
      <x:c r="E161" s="79" t="s"/>
      <x:c r="F161" s="77" t="s"/>
      <x:c r="G161" s="92" t="n">
        <x:v>1</x:v>
      </x:c>
      <x:c r="H161" s="77" t="s">
        <x:v>154</x:v>
      </x:c>
      <x:c r="I161" s="77" t="s">
        <x:v>72</x:v>
      </x:c>
      <x:c r="J161" s="79" t="n">
        <x:v>7.89</x:v>
      </x:c>
      <x:c r="K161" s="211" t="n">
        <x:v>6</x:v>
      </x:c>
      <x:c r="L161" s="212" t="s"/>
      <x:c r="M161" s="213" t="n">
        <x:v>7.89</x:v>
      </x:c>
      <x:c r="N161" s="214" t="n">
        <x:v>0</x:v>
      </x:c>
      <x:c r="O161" s="214" t="n">
        <x:v>0</x:v>
      </x:c>
      <x:c r="P161" s="215">
        <x:f>ROUND(((K161*M161) - (K161*M161*N161/100)) + (((K161*M161) - (K161*M161*N161/100)) * O161/100), 2)</x:f>
      </x:c>
      <x:c r="Q161" s="216" t="s"/>
      <x:c r="R161" s="216" t="s"/>
      <x:c r="S161" s="81" t="s">
        <x:v>483</x:v>
      </x:c>
      <x:c r="T161" s="209" t="s"/>
      <x:c r="U161" s="210" t="s"/>
    </x:row>
    <x:row r="162" spans="1:23">
      <x:c r="A162" s="76" t="n">
        <x:v>142</x:v>
      </x:c>
      <x:c r="B162" s="76" t="n">
        <x:v>5211057</x:v>
      </x:c>
      <x:c r="C162" s="77" t="s">
        <x:v>484</x:v>
      </x:c>
      <x:c r="D162" s="78" t="s">
        <x:v>485</x:v>
      </x:c>
      <x:c r="E162" s="79" t="s"/>
      <x:c r="F162" s="77" t="s"/>
      <x:c r="G162" s="92" t="n">
        <x:v>100</x:v>
      </x:c>
      <x:c r="H162" s="77" t="s">
        <x:v>154</x:v>
      </x:c>
      <x:c r="I162" s="77" t="s">
        <x:v>72</x:v>
      </x:c>
      <x:c r="J162" s="79" t="n">
        <x:v>2.47</x:v>
      </x:c>
      <x:c r="K162" s="211" t="n">
        <x:v>50</x:v>
      </x:c>
      <x:c r="L162" s="212" t="s"/>
      <x:c r="M162" s="213" t="n">
        <x:v>2.47</x:v>
      </x:c>
      <x:c r="N162" s="214" t="n">
        <x:v>0</x:v>
      </x:c>
      <x:c r="O162" s="214" t="n">
        <x:v>0</x:v>
      </x:c>
      <x:c r="P162" s="215">
        <x:f>ROUND(((K162*M162) - (K162*M162*N162/100)) + (((K162*M162) - (K162*M162*N162/100)) * O162/100), 2)</x:f>
      </x:c>
      <x:c r="Q162" s="216" t="s"/>
      <x:c r="R162" s="216" t="s"/>
      <x:c r="S162" s="81" t="s">
        <x:v>486</x:v>
      </x:c>
      <x:c r="T162" s="209" t="s"/>
      <x:c r="U162" s="210" t="s"/>
    </x:row>
    <x:row r="163" spans="1:23">
      <x:c r="A163" s="76" t="n">
        <x:v>143</x:v>
      </x:c>
      <x:c r="B163" s="76" t="n">
        <x:v>5210691</x:v>
      </x:c>
      <x:c r="C163" s="77" t="s">
        <x:v>487</x:v>
      </x:c>
      <x:c r="D163" s="78" t="s">
        <x:v>488</x:v>
      </x:c>
      <x:c r="E163" s="79" t="s"/>
      <x:c r="F163" s="77" t="s"/>
      <x:c r="G163" s="92" t="n">
        <x:v>1</x:v>
      </x:c>
      <x:c r="H163" s="77" t="s">
        <x:v>154</x:v>
      </x:c>
      <x:c r="I163" s="77" t="s">
        <x:v>72</x:v>
      </x:c>
      <x:c r="J163" s="79" t="n">
        <x:v>0.64</x:v>
      </x:c>
      <x:c r="K163" s="211" t="n">
        <x:v>125</x:v>
      </x:c>
      <x:c r="L163" s="212" t="s"/>
      <x:c r="M163" s="213" t="n">
        <x:v>0.64</x:v>
      </x:c>
      <x:c r="N163" s="214" t="n">
        <x:v>0</x:v>
      </x:c>
      <x:c r="O163" s="214" t="n">
        <x:v>0</x:v>
      </x:c>
      <x:c r="P163" s="215">
        <x:f>ROUND(((K163*M163) - (K163*M163*N163/100)) + (((K163*M163) - (K163*M163*N163/100)) * O163/100), 2)</x:f>
      </x:c>
      <x:c r="Q163" s="216" t="s"/>
      <x:c r="R163" s="216" t="s"/>
      <x:c r="S163" s="81" t="s">
        <x:v>489</x:v>
      </x:c>
      <x:c r="T163" s="209" t="s"/>
      <x:c r="U163" s="210" t="s"/>
    </x:row>
    <x:row r="164" spans="1:23">
      <x:c r="A164" s="76" t="n">
        <x:v>144</x:v>
      </x:c>
      <x:c r="B164" s="76" t="n">
        <x:v>5557767</x:v>
      </x:c>
      <x:c r="C164" s="77" t="s">
        <x:v>490</x:v>
      </x:c>
      <x:c r="D164" s="78" t="s">
        <x:v>491</x:v>
      </x:c>
      <x:c r="E164" s="79" t="s"/>
      <x:c r="F164" s="77" t="s"/>
      <x:c r="G164" s="92" t="n">
        <x:v>1</x:v>
      </x:c>
      <x:c r="H164" s="77" t="s">
        <x:v>154</x:v>
      </x:c>
      <x:c r="I164" s="77" t="s">
        <x:v>72</x:v>
      </x:c>
      <x:c r="J164" s="79" t="n">
        <x:v>0.7</x:v>
      </x:c>
      <x:c r="K164" s="211" t="n">
        <x:v>125</x:v>
      </x:c>
      <x:c r="L164" s="212" t="s"/>
      <x:c r="M164" s="213" t="n">
        <x:v>0.7</x:v>
      </x:c>
      <x:c r="N164" s="214" t="n">
        <x:v>0</x:v>
      </x:c>
      <x:c r="O164" s="214" t="n">
        <x:v>0</x:v>
      </x:c>
      <x:c r="P164" s="215">
        <x:f>ROUND(((K164*M164) - (K164*M164*N164/100)) + (((K164*M164) - (K164*M164*N164/100)) * O164/100), 2)</x:f>
      </x:c>
      <x:c r="Q164" s="216" t="s"/>
      <x:c r="R164" s="216" t="s"/>
      <x:c r="S164" s="81" t="s">
        <x:v>492</x:v>
      </x:c>
      <x:c r="T164" s="209" t="s"/>
      <x:c r="U164" s="210" t="s"/>
    </x:row>
    <x:row r="165" spans="1:23">
      <x:c r="A165" s="76" t="n">
        <x:v>145</x:v>
      </x:c>
      <x:c r="B165" s="76" t="n">
        <x:v>5271708</x:v>
      </x:c>
      <x:c r="C165" s="77" t="s">
        <x:v>493</x:v>
      </x:c>
      <x:c r="D165" s="78" t="s">
        <x:v>494</x:v>
      </x:c>
      <x:c r="E165" s="79" t="s"/>
      <x:c r="F165" s="77" t="s"/>
      <x:c r="G165" s="92" t="n">
        <x:v>1</x:v>
      </x:c>
      <x:c r="H165" s="77" t="s">
        <x:v>154</x:v>
      </x:c>
      <x:c r="I165" s="77" t="s">
        <x:v>72</x:v>
      </x:c>
      <x:c r="J165" s="79" t="n">
        <x:v>4.28</x:v>
      </x:c>
      <x:c r="K165" s="211" t="n">
        <x:v>3</x:v>
      </x:c>
      <x:c r="L165" s="212" t="s"/>
      <x:c r="M165" s="213" t="n">
        <x:v>4.28</x:v>
      </x:c>
      <x:c r="N165" s="214" t="n">
        <x:v>0</x:v>
      </x:c>
      <x:c r="O165" s="214" t="n">
        <x:v>0</x:v>
      </x:c>
      <x:c r="P165" s="215">
        <x:f>ROUND(((K165*M165) - (K165*M165*N165/100)) + (((K165*M165) - (K165*M165*N165/100)) * O165/100), 2)</x:f>
      </x:c>
      <x:c r="Q165" s="216" t="s"/>
      <x:c r="R165" s="216" t="s"/>
      <x:c r="S165" s="81" t="s">
        <x:v>495</x:v>
      </x:c>
      <x:c r="T165" s="209" t="s"/>
      <x:c r="U165" s="210" t="s"/>
    </x:row>
    <x:row r="166" spans="1:23">
      <x:c r="A166" s="76" t="n">
        <x:v>146</x:v>
      </x:c>
      <x:c r="B166" s="76" t="n">
        <x:v>5210727</x:v>
      </x:c>
      <x:c r="C166" s="77" t="s">
        <x:v>496</x:v>
      </x:c>
      <x:c r="D166" s="78" t="s">
        <x:v>497</x:v>
      </x:c>
      <x:c r="E166" s="79" t="s"/>
      <x:c r="F166" s="77" t="s"/>
      <x:c r="G166" s="92" t="n">
        <x:v>1</x:v>
      </x:c>
      <x:c r="H166" s="77" t="s">
        <x:v>154</x:v>
      </x:c>
      <x:c r="I166" s="77" t="s">
        <x:v>72</x:v>
      </x:c>
      <x:c r="J166" s="79" t="n">
        <x:v>0.54</x:v>
      </x:c>
      <x:c r="K166" s="211" t="n">
        <x:v>70</x:v>
      </x:c>
      <x:c r="L166" s="212" t="s"/>
      <x:c r="M166" s="213" t="n">
        <x:v>0.54</x:v>
      </x:c>
      <x:c r="N166" s="214" t="n">
        <x:v>0</x:v>
      </x:c>
      <x:c r="O166" s="214" t="n">
        <x:v>0</x:v>
      </x:c>
      <x:c r="P166" s="215">
        <x:f>ROUND(((K166*M166) - (K166*M166*N166/100)) + (((K166*M166) - (K166*M166*N166/100)) * O166/100), 2)</x:f>
      </x:c>
      <x:c r="Q166" s="216" t="s"/>
      <x:c r="R166" s="216" t="s"/>
      <x:c r="S166" s="81" t="s">
        <x:v>498</x:v>
      </x:c>
      <x:c r="T166" s="209" t="s"/>
      <x:c r="U166" s="210" t="s"/>
    </x:row>
    <x:row r="167" spans="1:23">
      <x:c r="A167" s="76" t="n">
        <x:v>147</x:v>
      </x:c>
      <x:c r="B167" s="76" t="n">
        <x:v>5210730</x:v>
      </x:c>
      <x:c r="C167" s="77" t="s">
        <x:v>499</x:v>
      </x:c>
      <x:c r="D167" s="78" t="s">
        <x:v>500</x:v>
      </x:c>
      <x:c r="E167" s="79" t="s"/>
      <x:c r="F167" s="77" t="s"/>
      <x:c r="G167" s="92" t="n">
        <x:v>1</x:v>
      </x:c>
      <x:c r="H167" s="77" t="s">
        <x:v>154</x:v>
      </x:c>
      <x:c r="I167" s="77" t="s">
        <x:v>72</x:v>
      </x:c>
      <x:c r="J167" s="79" t="n">
        <x:v>0.98</x:v>
      </x:c>
      <x:c r="K167" s="211" t="n">
        <x:v>10</x:v>
      </x:c>
      <x:c r="L167" s="212" t="s"/>
      <x:c r="M167" s="213" t="n">
        <x:v>0.98</x:v>
      </x:c>
      <x:c r="N167" s="214" t="n">
        <x:v>0</x:v>
      </x:c>
      <x:c r="O167" s="214" t="n">
        <x:v>0</x:v>
      </x:c>
      <x:c r="P167" s="215">
        <x:f>ROUND(((K167*M167) - (K167*M167*N167/100)) + (((K167*M167) - (K167*M167*N167/100)) * O167/100), 2)</x:f>
      </x:c>
      <x:c r="Q167" s="216" t="s"/>
      <x:c r="R167" s="216" t="s"/>
      <x:c r="S167" s="81" t="s">
        <x:v>501</x:v>
      </x:c>
      <x:c r="T167" s="209" t="s"/>
      <x:c r="U167" s="210" t="s"/>
    </x:row>
    <x:row r="168" spans="1:23">
      <x:c r="A168" s="76" t="n">
        <x:v>148</x:v>
      </x:c>
      <x:c r="B168" s="76" t="n">
        <x:v>5210733</x:v>
      </x:c>
      <x:c r="C168" s="77" t="s">
        <x:v>502</x:v>
      </x:c>
      <x:c r="D168" s="78" t="s">
        <x:v>503</x:v>
      </x:c>
      <x:c r="E168" s="79" t="s"/>
      <x:c r="F168" s="77" t="s"/>
      <x:c r="G168" s="92" t="n">
        <x:v>1</x:v>
      </x:c>
      <x:c r="H168" s="77" t="s">
        <x:v>154</x:v>
      </x:c>
      <x:c r="I168" s="77" t="s">
        <x:v>72</x:v>
      </x:c>
      <x:c r="J168" s="79" t="n">
        <x:v>1.13</x:v>
      </x:c>
      <x:c r="K168" s="211" t="n">
        <x:v>6</x:v>
      </x:c>
      <x:c r="L168" s="212" t="s"/>
      <x:c r="M168" s="213" t="n">
        <x:v>1.13</x:v>
      </x:c>
      <x:c r="N168" s="214" t="n">
        <x:v>0</x:v>
      </x:c>
      <x:c r="O168" s="214" t="n">
        <x:v>0</x:v>
      </x:c>
      <x:c r="P168" s="215">
        <x:f>ROUND(((K168*M168) - (K168*M168*N168/100)) + (((K168*M168) - (K168*M168*N168/100)) * O168/100), 2)</x:f>
      </x:c>
      <x:c r="Q168" s="216" t="s"/>
      <x:c r="R168" s="216" t="s"/>
      <x:c r="S168" s="81" t="s">
        <x:v>504</x:v>
      </x:c>
      <x:c r="T168" s="209" t="s"/>
      <x:c r="U168" s="210" t="s"/>
    </x:row>
    <x:row r="169" spans="1:23">
      <x:c r="A169" s="76" t="n">
        <x:v>149</x:v>
      </x:c>
      <x:c r="B169" s="76" t="n">
        <x:v>5210739</x:v>
      </x:c>
      <x:c r="C169" s="77" t="s">
        <x:v>505</x:v>
      </x:c>
      <x:c r="D169" s="78" t="s">
        <x:v>506</x:v>
      </x:c>
      <x:c r="E169" s="79" t="s"/>
      <x:c r="F169" s="77" t="s"/>
      <x:c r="G169" s="92" t="n">
        <x:v>1</x:v>
      </x:c>
      <x:c r="H169" s="77" t="s">
        <x:v>154</x:v>
      </x:c>
      <x:c r="I169" s="77" t="s">
        <x:v>57</x:v>
      </x:c>
      <x:c r="J169" s="79" t="n">
        <x:v>4.07</x:v>
      </x:c>
      <x:c r="K169" s="211" t="n">
        <x:v>6</x:v>
      </x:c>
      <x:c r="L169" s="212" t="s"/>
      <x:c r="M169" s="213" t="n">
        <x:v>4.07</x:v>
      </x:c>
      <x:c r="N169" s="214" t="n">
        <x:v>0</x:v>
      </x:c>
      <x:c r="O169" s="214" t="n">
        <x:v>0</x:v>
      </x:c>
      <x:c r="P169" s="215">
        <x:f>ROUND(((K169*M169) - (K169*M169*N169/100)) + (((K169*M169) - (K169*M169*N169/100)) * O169/100), 2)</x:f>
      </x:c>
      <x:c r="Q169" s="216" t="s"/>
      <x:c r="R169" s="216" t="s"/>
      <x:c r="S169" s="81" t="s">
        <x:v>507</x:v>
      </x:c>
      <x:c r="T169" s="209" t="s"/>
      <x:c r="U169" s="210" t="s"/>
    </x:row>
    <x:row r="170" spans="1:23">
      <x:c r="A170" s="76" t="n">
        <x:v>150</x:v>
      </x:c>
      <x:c r="B170" s="76" t="n">
        <x:v>5210743</x:v>
      </x:c>
      <x:c r="C170" s="77" t="s">
        <x:v>508</x:v>
      </x:c>
      <x:c r="D170" s="78" t="s">
        <x:v>509</x:v>
      </x:c>
      <x:c r="E170" s="79" t="s"/>
      <x:c r="F170" s="77" t="s"/>
      <x:c r="G170" s="92" t="n">
        <x:v>1</x:v>
      </x:c>
      <x:c r="H170" s="77" t="s">
        <x:v>154</x:v>
      </x:c>
      <x:c r="I170" s="77" t="s">
        <x:v>57</x:v>
      </x:c>
      <x:c r="J170" s="79" t="n">
        <x:v>1.49</x:v>
      </x:c>
      <x:c r="K170" s="211" t="n">
        <x:v>12</x:v>
      </x:c>
      <x:c r="L170" s="212" t="s"/>
      <x:c r="M170" s="213" t="n">
        <x:v>1.49</x:v>
      </x:c>
      <x:c r="N170" s="214" t="n">
        <x:v>0</x:v>
      </x:c>
      <x:c r="O170" s="214" t="n">
        <x:v>0</x:v>
      </x:c>
      <x:c r="P170" s="215">
        <x:f>ROUND(((K170*M170) - (K170*M170*N170/100)) + (((K170*M170) - (K170*M170*N170/100)) * O170/100), 2)</x:f>
      </x:c>
      <x:c r="Q170" s="216" t="s"/>
      <x:c r="R170" s="216" t="s"/>
      <x:c r="S170" s="81" t="s">
        <x:v>510</x:v>
      </x:c>
      <x:c r="T170" s="209" t="s"/>
      <x:c r="U170" s="210" t="s"/>
    </x:row>
    <x:row r="171" spans="1:23">
      <x:c r="A171" s="76" t="n">
        <x:v>151</x:v>
      </x:c>
      <x:c r="B171" s="76" t="n">
        <x:v>5210533</x:v>
      </x:c>
      <x:c r="C171" s="77" t="s">
        <x:v>511</x:v>
      </x:c>
      <x:c r="D171" s="78" t="s">
        <x:v>512</x:v>
      </x:c>
      <x:c r="E171" s="79" t="s"/>
      <x:c r="F171" s="77" t="s"/>
      <x:c r="G171" s="92" t="n">
        <x:v>1</x:v>
      </x:c>
      <x:c r="H171" s="77" t="s">
        <x:v>154</x:v>
      </x:c>
      <x:c r="I171" s="77" t="s">
        <x:v>72</x:v>
      </x:c>
      <x:c r="J171" s="79" t="n">
        <x:v>1.38</x:v>
      </x:c>
      <x:c r="K171" s="211" t="n">
        <x:v>10</x:v>
      </x:c>
      <x:c r="L171" s="212" t="s"/>
      <x:c r="M171" s="213" t="n">
        <x:v>1.38</x:v>
      </x:c>
      <x:c r="N171" s="214" t="n">
        <x:v>0</x:v>
      </x:c>
      <x:c r="O171" s="214" t="n">
        <x:v>0</x:v>
      </x:c>
      <x:c r="P171" s="215">
        <x:f>ROUND(((K171*M171) - (K171*M171*N171/100)) + (((K171*M171) - (K171*M171*N171/100)) * O171/100), 2)</x:f>
      </x:c>
      <x:c r="Q171" s="216" t="s"/>
      <x:c r="R171" s="216" t="s"/>
      <x:c r="S171" s="81" t="s">
        <x:v>513</x:v>
      </x:c>
      <x:c r="T171" s="209" t="s"/>
      <x:c r="U171" s="210" t="s"/>
    </x:row>
    <x:row r="172" spans="1:23">
      <x:c r="A172" s="76" t="n">
        <x:v>152</x:v>
      </x:c>
      <x:c r="B172" s="76" t="n">
        <x:v>5210759</x:v>
      </x:c>
      <x:c r="C172" s="77" t="s">
        <x:v>514</x:v>
      </x:c>
      <x:c r="D172" s="78" t="s">
        <x:v>515</x:v>
      </x:c>
      <x:c r="E172" s="79" t="s"/>
      <x:c r="F172" s="77" t="s"/>
      <x:c r="G172" s="92" t="n">
        <x:v>1</x:v>
      </x:c>
      <x:c r="H172" s="77" t="s">
        <x:v>154</x:v>
      </x:c>
      <x:c r="I172" s="77" t="s">
        <x:v>72</x:v>
      </x:c>
      <x:c r="J172" s="79" t="n">
        <x:v>1.8</x:v>
      </x:c>
      <x:c r="K172" s="211" t="n">
        <x:v>15</x:v>
      </x:c>
      <x:c r="L172" s="212" t="s"/>
      <x:c r="M172" s="213" t="n">
        <x:v>1.8</x:v>
      </x:c>
      <x:c r="N172" s="214" t="n">
        <x:v>0</x:v>
      </x:c>
      <x:c r="O172" s="214" t="n">
        <x:v>0</x:v>
      </x:c>
      <x:c r="P172" s="215">
        <x:f>ROUND(((K172*M172) - (K172*M172*N172/100)) + (((K172*M172) - (K172*M172*N172/100)) * O172/100), 2)</x:f>
      </x:c>
      <x:c r="Q172" s="216" t="s"/>
      <x:c r="R172" s="216" t="s"/>
      <x:c r="S172" s="81" t="s">
        <x:v>516</x:v>
      </x:c>
      <x:c r="T172" s="209" t="s"/>
      <x:c r="U172" s="210" t="s"/>
    </x:row>
    <x:row r="173" spans="1:23">
      <x:c r="A173" s="76" t="n">
        <x:v>153</x:v>
      </x:c>
      <x:c r="B173" s="76" t="n">
        <x:v>5210762</x:v>
      </x:c>
      <x:c r="C173" s="77" t="s">
        <x:v>517</x:v>
      </x:c>
      <x:c r="D173" s="78" t="s">
        <x:v>518</x:v>
      </x:c>
      <x:c r="E173" s="79" t="s"/>
      <x:c r="F173" s="77" t="s"/>
      <x:c r="G173" s="92" t="n">
        <x:v>1</x:v>
      </x:c>
      <x:c r="H173" s="77" t="s">
        <x:v>154</x:v>
      </x:c>
      <x:c r="I173" s="77" t="s">
        <x:v>72</x:v>
      </x:c>
      <x:c r="J173" s="79" t="n">
        <x:v>3.3</x:v>
      </x:c>
      <x:c r="K173" s="211" t="n">
        <x:v>4</x:v>
      </x:c>
      <x:c r="L173" s="212" t="s"/>
      <x:c r="M173" s="213" t="n">
        <x:v>3.3</x:v>
      </x:c>
      <x:c r="N173" s="214" t="n">
        <x:v>0</x:v>
      </x:c>
      <x:c r="O173" s="214" t="n">
        <x:v>0</x:v>
      </x:c>
      <x:c r="P173" s="215">
        <x:f>ROUND(((K173*M173) - (K173*M173*N173/100)) + (((K173*M173) - (K173*M173*N173/100)) * O173/100), 2)</x:f>
      </x:c>
      <x:c r="Q173" s="216" t="s"/>
      <x:c r="R173" s="216" t="s"/>
      <x:c r="S173" s="81" t="s">
        <x:v>519</x:v>
      </x:c>
      <x:c r="T173" s="209" t="s"/>
      <x:c r="U173" s="210" t="s"/>
    </x:row>
    <x:row r="174" spans="1:23">
      <x:c r="A174" s="76" t="n">
        <x:v>154</x:v>
      </x:c>
      <x:c r="B174" s="76" t="n">
        <x:v>5210765</x:v>
      </x:c>
      <x:c r="C174" s="77" t="s">
        <x:v>520</x:v>
      </x:c>
      <x:c r="D174" s="78" t="s">
        <x:v>521</x:v>
      </x:c>
      <x:c r="E174" s="79" t="s"/>
      <x:c r="F174" s="77" t="s"/>
      <x:c r="G174" s="92" t="n">
        <x:v>1</x:v>
      </x:c>
      <x:c r="H174" s="80" t="s">
        <x:v>154</x:v>
      </x:c>
      <x:c r="I174" s="80" t="s"/>
      <x:c r="J174" s="79" t="n">
        <x:v>0</x:v>
      </x:c>
      <x:c r="K174" s="211" t="n">
        <x:v>5</x:v>
      </x:c>
      <x:c r="L174" s="212" t="s"/>
      <x:c r="M174" s="213" t="n">
        <x:v>0</x:v>
      </x:c>
      <x:c r="N174" s="214" t="n">
        <x:v>0</x:v>
      </x:c>
      <x:c r="O174" s="214" t="n">
        <x:v>0</x:v>
      </x:c>
      <x:c r="P174" s="215">
        <x:f>ROUND(((K174*M174) - (K174*M174*N174/100)) + (((K174*M174) - (K174*M174*N174/100)) * O174/100), 2)</x:f>
      </x:c>
      <x:c r="Q174" s="216" t="s"/>
      <x:c r="R174" s="216" t="s"/>
      <x:c r="S174" s="81" t="s"/>
      <x:c r="T174" s="209" t="s"/>
      <x:c r="U174" s="210" t="s"/>
    </x:row>
    <x:row r="175" spans="1:23">
      <x:c r="A175" s="76" t="n">
        <x:v>155</x:v>
      </x:c>
      <x:c r="B175" s="76" t="n">
        <x:v>5210768</x:v>
      </x:c>
      <x:c r="C175" s="77" t="s">
        <x:v>522</x:v>
      </x:c>
      <x:c r="D175" s="78" t="s">
        <x:v>523</x:v>
      </x:c>
      <x:c r="E175" s="79" t="s"/>
      <x:c r="F175" s="77" t="s"/>
      <x:c r="G175" s="92" t="n">
        <x:v>1</x:v>
      </x:c>
      <x:c r="H175" s="77" t="s">
        <x:v>154</x:v>
      </x:c>
      <x:c r="I175" s="77" t="s">
        <x:v>72</x:v>
      </x:c>
      <x:c r="J175" s="79" t="n">
        <x:v>2.27</x:v>
      </x:c>
      <x:c r="K175" s="211" t="n">
        <x:v>5</x:v>
      </x:c>
      <x:c r="L175" s="212" t="s"/>
      <x:c r="M175" s="213" t="n">
        <x:v>2.27</x:v>
      </x:c>
      <x:c r="N175" s="214" t="n">
        <x:v>0</x:v>
      </x:c>
      <x:c r="O175" s="214" t="n">
        <x:v>0</x:v>
      </x:c>
      <x:c r="P175" s="215">
        <x:f>ROUND(((K175*M175) - (K175*M175*N175/100)) + (((K175*M175) - (K175*M175*N175/100)) * O175/100), 2)</x:f>
      </x:c>
      <x:c r="Q175" s="216" t="s"/>
      <x:c r="R175" s="216" t="s"/>
      <x:c r="S175" s="81" t="s">
        <x:v>524</x:v>
      </x:c>
      <x:c r="T175" s="209" t="s"/>
      <x:c r="U175" s="210" t="s"/>
    </x:row>
    <x:row r="176" spans="1:23">
      <x:c r="A176" s="76" t="n">
        <x:v>156</x:v>
      </x:c>
      <x:c r="B176" s="76" t="n">
        <x:v>5211164</x:v>
      </x:c>
      <x:c r="C176" s="77" t="s">
        <x:v>525</x:v>
      </x:c>
      <x:c r="D176" s="78" t="s">
        <x:v>526</x:v>
      </x:c>
      <x:c r="E176" s="79" t="s"/>
      <x:c r="F176" s="77" t="s"/>
      <x:c r="G176" s="92" t="n">
        <x:v>100</x:v>
      </x:c>
      <x:c r="H176" s="77" t="s">
        <x:v>56</x:v>
      </x:c>
      <x:c r="I176" s="77" t="s">
        <x:v>72</x:v>
      </x:c>
      <x:c r="J176" s="79" t="n">
        <x:v>3.2</x:v>
      </x:c>
      <x:c r="K176" s="211" t="n">
        <x:v>5</x:v>
      </x:c>
      <x:c r="L176" s="212" t="s"/>
      <x:c r="M176" s="213" t="n">
        <x:v>3.2</x:v>
      </x:c>
      <x:c r="N176" s="214" t="n">
        <x:v>0</x:v>
      </x:c>
      <x:c r="O176" s="214" t="n">
        <x:v>0</x:v>
      </x:c>
      <x:c r="P176" s="215">
        <x:f>ROUND(((K176*M176) - (K176*M176*N176/100)) + (((K176*M176) - (K176*M176*N176/100)) * O176/100), 2)</x:f>
      </x:c>
      <x:c r="Q176" s="216" t="s"/>
      <x:c r="R176" s="216" t="s"/>
      <x:c r="S176" s="81" t="s">
        <x:v>527</x:v>
      </x:c>
      <x:c r="T176" s="209" t="s"/>
      <x:c r="U176" s="210" t="s"/>
    </x:row>
    <x:row r="177" spans="1:23">
      <x:c r="A177" s="76" t="n">
        <x:v>157</x:v>
      </x:c>
      <x:c r="B177" s="76" t="n">
        <x:v>5210777</x:v>
      </x:c>
      <x:c r="C177" s="77" t="s">
        <x:v>528</x:v>
      </x:c>
      <x:c r="D177" s="78" t="s">
        <x:v>529</x:v>
      </x:c>
      <x:c r="E177" s="79" t="s"/>
      <x:c r="F177" s="77" t="s"/>
      <x:c r="G177" s="92" t="n">
        <x:v>1</x:v>
      </x:c>
      <x:c r="H177" s="77" t="s">
        <x:v>154</x:v>
      </x:c>
      <x:c r="I177" s="77" t="s">
        <x:v>72</x:v>
      </x:c>
      <x:c r="J177" s="79" t="n">
        <x:v>2.27</x:v>
      </x:c>
      <x:c r="K177" s="211" t="n">
        <x:v>10</x:v>
      </x:c>
      <x:c r="L177" s="212" t="s"/>
      <x:c r="M177" s="213" t="n">
        <x:v>2.27</x:v>
      </x:c>
      <x:c r="N177" s="214" t="n">
        <x:v>0</x:v>
      </x:c>
      <x:c r="O177" s="214" t="n">
        <x:v>0</x:v>
      </x:c>
      <x:c r="P177" s="215">
        <x:f>ROUND(((K177*M177) - (K177*M177*N177/100)) + (((K177*M177) - (K177*M177*N177/100)) * O177/100), 2)</x:f>
      </x:c>
      <x:c r="Q177" s="216" t="s"/>
      <x:c r="R177" s="216" t="s"/>
      <x:c r="S177" s="81" t="s">
        <x:v>530</x:v>
      </x:c>
      <x:c r="T177" s="209" t="s"/>
      <x:c r="U177" s="210" t="s"/>
    </x:row>
    <x:row r="178" spans="1:23">
      <x:c r="A178" s="76" t="n">
        <x:v>158</x:v>
      </x:c>
      <x:c r="B178" s="76" t="n">
        <x:v>5210779</x:v>
      </x:c>
      <x:c r="C178" s="77" t="s">
        <x:v>531</x:v>
      </x:c>
      <x:c r="D178" s="78" t="s">
        <x:v>532</x:v>
      </x:c>
      <x:c r="E178" s="79" t="s"/>
      <x:c r="F178" s="77" t="s"/>
      <x:c r="G178" s="92" t="n">
        <x:v>1</x:v>
      </x:c>
      <x:c r="H178" s="77" t="s">
        <x:v>154</x:v>
      </x:c>
      <x:c r="I178" s="77" t="s">
        <x:v>72</x:v>
      </x:c>
      <x:c r="J178" s="79" t="n">
        <x:v>1.6</x:v>
      </x:c>
      <x:c r="K178" s="211" t="n">
        <x:v>60</x:v>
      </x:c>
      <x:c r="L178" s="212" t="s"/>
      <x:c r="M178" s="213" t="n">
        <x:v>1.6</x:v>
      </x:c>
      <x:c r="N178" s="214" t="n">
        <x:v>0</x:v>
      </x:c>
      <x:c r="O178" s="214" t="n">
        <x:v>0</x:v>
      </x:c>
      <x:c r="P178" s="215">
        <x:f>ROUND(((K178*M178) - (K178*M178*N178/100)) + (((K178*M178) - (K178*M178*N178/100)) * O178/100), 2)</x:f>
      </x:c>
      <x:c r="Q178" s="216" t="s"/>
      <x:c r="R178" s="216" t="s"/>
      <x:c r="S178" s="81" t="s">
        <x:v>533</x:v>
      </x:c>
      <x:c r="T178" s="209" t="s"/>
      <x:c r="U178" s="210" t="s"/>
    </x:row>
    <x:row r="179" spans="1:23">
      <x:c r="A179" s="76" t="n">
        <x:v>159</x:v>
      </x:c>
      <x:c r="B179" s="76" t="n">
        <x:v>5210795</x:v>
      </x:c>
      <x:c r="C179" s="77" t="s">
        <x:v>534</x:v>
      </x:c>
      <x:c r="D179" s="78" t="s">
        <x:v>535</x:v>
      </x:c>
      <x:c r="E179" s="79" t="s"/>
      <x:c r="F179" s="77" t="s"/>
      <x:c r="G179" s="92" t="n">
        <x:v>1</x:v>
      </x:c>
      <x:c r="H179" s="77" t="s">
        <x:v>154</x:v>
      </x:c>
      <x:c r="I179" s="77" t="s">
        <x:v>72</x:v>
      </x:c>
      <x:c r="J179" s="79" t="n">
        <x:v>1.44</x:v>
      </x:c>
      <x:c r="K179" s="211" t="n">
        <x:v>10</x:v>
      </x:c>
      <x:c r="L179" s="212" t="s"/>
      <x:c r="M179" s="213" t="n">
        <x:v>1.44</x:v>
      </x:c>
      <x:c r="N179" s="214" t="n">
        <x:v>0</x:v>
      </x:c>
      <x:c r="O179" s="214" t="n">
        <x:v>0</x:v>
      </x:c>
      <x:c r="P179" s="215">
        <x:f>ROUND(((K179*M179) - (K179*M179*N179/100)) + (((K179*M179) - (K179*M179*N179/100)) * O179/100), 2)</x:f>
      </x:c>
      <x:c r="Q179" s="216" t="s"/>
      <x:c r="R179" s="216" t="s"/>
      <x:c r="S179" s="81" t="s">
        <x:v>536</x:v>
      </x:c>
      <x:c r="T179" s="209" t="s"/>
      <x:c r="U179" s="210" t="s"/>
    </x:row>
    <x:row r="180" spans="1:23">
      <x:c r="A180" s="76" t="n">
        <x:v>160</x:v>
      </x:c>
      <x:c r="B180" s="76" t="n">
        <x:v>5210551</x:v>
      </x:c>
      <x:c r="C180" s="77" t="s">
        <x:v>537</x:v>
      </x:c>
      <x:c r="D180" s="78" t="s">
        <x:v>538</x:v>
      </x:c>
      <x:c r="E180" s="79" t="s"/>
      <x:c r="F180" s="77" t="s"/>
      <x:c r="G180" s="92" t="n">
        <x:v>1</x:v>
      </x:c>
      <x:c r="H180" s="77" t="s">
        <x:v>154</x:v>
      </x:c>
      <x:c r="I180" s="77" t="s">
        <x:v>72</x:v>
      </x:c>
      <x:c r="J180" s="79" t="n">
        <x:v>6.55</x:v>
      </x:c>
      <x:c r="K180" s="211" t="n">
        <x:v>5</x:v>
      </x:c>
      <x:c r="L180" s="212" t="s"/>
      <x:c r="M180" s="213" t="n">
        <x:v>6.55</x:v>
      </x:c>
      <x:c r="N180" s="214" t="n">
        <x:v>0</x:v>
      </x:c>
      <x:c r="O180" s="214" t="n">
        <x:v>0</x:v>
      </x:c>
      <x:c r="P180" s="215">
        <x:f>ROUND(((K180*M180) - (K180*M180*N180/100)) + (((K180*M180) - (K180*M180*N180/100)) * O180/100), 2)</x:f>
      </x:c>
      <x:c r="Q180" s="216" t="s"/>
      <x:c r="R180" s="216" t="s"/>
      <x:c r="S180" s="81" t="s">
        <x:v>539</x:v>
      </x:c>
      <x:c r="T180" s="209" t="s"/>
      <x:c r="U180" s="210" t="s"/>
    </x:row>
    <x:row r="181" spans="1:23">
      <x:c r="A181" s="76" t="n">
        <x:v>161</x:v>
      </x:c>
      <x:c r="B181" s="76" t="n">
        <x:v>5210567</x:v>
      </x:c>
      <x:c r="C181" s="77" t="s">
        <x:v>540</x:v>
      </x:c>
      <x:c r="D181" s="78" t="s">
        <x:v>541</x:v>
      </x:c>
      <x:c r="E181" s="79" t="s"/>
      <x:c r="F181" s="77" t="s"/>
      <x:c r="G181" s="92" t="n">
        <x:v>1</x:v>
      </x:c>
      <x:c r="H181" s="77" t="s">
        <x:v>154</x:v>
      </x:c>
      <x:c r="I181" s="77" t="s">
        <x:v>72</x:v>
      </x:c>
      <x:c r="J181" s="79" t="n">
        <x:v>11.49</x:v>
      </x:c>
      <x:c r="K181" s="211" t="n">
        <x:v>10</x:v>
      </x:c>
      <x:c r="L181" s="212" t="s"/>
      <x:c r="M181" s="213" t="n">
        <x:v>11.49</x:v>
      </x:c>
      <x:c r="N181" s="214" t="n">
        <x:v>0</x:v>
      </x:c>
      <x:c r="O181" s="214" t="n">
        <x:v>0</x:v>
      </x:c>
      <x:c r="P181" s="215">
        <x:f>ROUND(((K181*M181) - (K181*M181*N181/100)) + (((K181*M181) - (K181*M181*N181/100)) * O181/100), 2)</x:f>
      </x:c>
      <x:c r="Q181" s="216" t="s"/>
      <x:c r="R181" s="216" t="s"/>
      <x:c r="S181" s="81" t="s">
        <x:v>542</x:v>
      </x:c>
      <x:c r="T181" s="209" t="s"/>
      <x:c r="U181" s="210" t="s"/>
    </x:row>
    <x:row r="182" spans="1:23">
      <x:c r="A182" s="76" t="n">
        <x:v>162</x:v>
      </x:c>
      <x:c r="B182" s="76" t="n">
        <x:v>5210682</x:v>
      </x:c>
      <x:c r="C182" s="77" t="s">
        <x:v>543</x:v>
      </x:c>
      <x:c r="D182" s="78" t="s">
        <x:v>544</x:v>
      </x:c>
      <x:c r="E182" s="79" t="s"/>
      <x:c r="F182" s="77" t="s"/>
      <x:c r="G182" s="92" t="n">
        <x:v>1</x:v>
      </x:c>
      <x:c r="H182" s="77" t="s">
        <x:v>154</x:v>
      </x:c>
      <x:c r="I182" s="77" t="s">
        <x:v>72</x:v>
      </x:c>
      <x:c r="J182" s="79" t="n">
        <x:v>10.26</x:v>
      </x:c>
      <x:c r="K182" s="211" t="n">
        <x:v>40</x:v>
      </x:c>
      <x:c r="L182" s="212" t="s"/>
      <x:c r="M182" s="213" t="n">
        <x:v>10.26</x:v>
      </x:c>
      <x:c r="N182" s="214" t="n">
        <x:v>0</x:v>
      </x:c>
      <x:c r="O182" s="214" t="n">
        <x:v>0</x:v>
      </x:c>
      <x:c r="P182" s="215">
        <x:f>ROUND(((K182*M182) - (K182*M182*N182/100)) + (((K182*M182) - (K182*M182*N182/100)) * O182/100), 2)</x:f>
      </x:c>
      <x:c r="Q182" s="216" t="s"/>
      <x:c r="R182" s="216" t="s"/>
      <x:c r="S182" s="81" t="s">
        <x:v>545</x:v>
      </x:c>
      <x:c r="T182" s="209" t="s"/>
      <x:c r="U182" s="210" t="s"/>
    </x:row>
    <x:row r="183" spans="1:23">
      <x:c r="A183" s="76" t="n">
        <x:v>163</x:v>
      </x:c>
      <x:c r="B183" s="76" t="n">
        <x:v>5210684</x:v>
      </x:c>
      <x:c r="C183" s="77" t="s">
        <x:v>546</x:v>
      </x:c>
      <x:c r="D183" s="78" t="s">
        <x:v>547</x:v>
      </x:c>
      <x:c r="E183" s="79" t="s"/>
      <x:c r="F183" s="77" t="s"/>
      <x:c r="G183" s="92" t="n">
        <x:v>1</x:v>
      </x:c>
      <x:c r="H183" s="80" t="s">
        <x:v>154</x:v>
      </x:c>
      <x:c r="I183" s="80" t="s"/>
      <x:c r="J183" s="79" t="n">
        <x:v>0</x:v>
      </x:c>
      <x:c r="K183" s="211" t="n">
        <x:v>15</x:v>
      </x:c>
      <x:c r="L183" s="212" t="s"/>
      <x:c r="M183" s="213" t="n">
        <x:v>0</x:v>
      </x:c>
      <x:c r="N183" s="214" t="n">
        <x:v>0</x:v>
      </x:c>
      <x:c r="O183" s="214" t="n">
        <x:v>0</x:v>
      </x:c>
      <x:c r="P183" s="215">
        <x:f>ROUND(((K183*M183) - (K183*M183*N183/100)) + (((K183*M183) - (K183*M183*N183/100)) * O183/100), 2)</x:f>
      </x:c>
      <x:c r="Q183" s="216" t="s"/>
      <x:c r="R183" s="216" t="s"/>
      <x:c r="S183" s="81" t="s"/>
      <x:c r="T183" s="209" t="s"/>
      <x:c r="U183" s="210" t="s"/>
    </x:row>
    <x:row r="184" spans="1:23">
      <x:c r="A184" s="76" t="n">
        <x:v>164</x:v>
      </x:c>
      <x:c r="B184" s="76" t="n">
        <x:v>5210686</x:v>
      </x:c>
      <x:c r="C184" s="77" t="s">
        <x:v>548</x:v>
      </x:c>
      <x:c r="D184" s="78" t="s">
        <x:v>549</x:v>
      </x:c>
      <x:c r="E184" s="79" t="s"/>
      <x:c r="F184" s="77" t="s"/>
      <x:c r="G184" s="92" t="n">
        <x:v>1</x:v>
      </x:c>
      <x:c r="H184" s="77" t="s">
        <x:v>154</x:v>
      </x:c>
      <x:c r="I184" s="77" t="s">
        <x:v>72</x:v>
      </x:c>
      <x:c r="J184" s="79" t="n">
        <x:v>8.61</x:v>
      </x:c>
      <x:c r="K184" s="211" t="n">
        <x:v>60</x:v>
      </x:c>
      <x:c r="L184" s="212" t="s"/>
      <x:c r="M184" s="213" t="n">
        <x:v>8.61</x:v>
      </x:c>
      <x:c r="N184" s="214" t="n">
        <x:v>0</x:v>
      </x:c>
      <x:c r="O184" s="214" t="n">
        <x:v>0</x:v>
      </x:c>
      <x:c r="P184" s="215">
        <x:f>ROUND(((K184*M184) - (K184*M184*N184/100)) + (((K184*M184) - (K184*M184*N184/100)) * O184/100), 2)</x:f>
      </x:c>
      <x:c r="Q184" s="216" t="s"/>
      <x:c r="R184" s="216" t="s"/>
      <x:c r="S184" s="81" t="s">
        <x:v>550</x:v>
      </x:c>
      <x:c r="T184" s="209" t="s"/>
      <x:c r="U184" s="210" t="s"/>
    </x:row>
    <x:row r="185" spans="1:23">
      <x:c r="A185" s="76" t="n">
        <x:v>165</x:v>
      </x:c>
      <x:c r="B185" s="76" t="n">
        <x:v>5210689</x:v>
      </x:c>
      <x:c r="C185" s="77" t="s">
        <x:v>551</x:v>
      </x:c>
      <x:c r="D185" s="78" t="s">
        <x:v>552</x:v>
      </x:c>
      <x:c r="E185" s="79" t="s"/>
      <x:c r="F185" s="77" t="s"/>
      <x:c r="G185" s="92" t="n">
        <x:v>1</x:v>
      </x:c>
      <x:c r="H185" s="77" t="s">
        <x:v>154</x:v>
      </x:c>
      <x:c r="I185" s="77" t="s">
        <x:v>72</x:v>
      </x:c>
      <x:c r="J185" s="79" t="n">
        <x:v>7.32</x:v>
      </x:c>
      <x:c r="K185" s="211" t="n">
        <x:v>20</x:v>
      </x:c>
      <x:c r="L185" s="212" t="s"/>
      <x:c r="M185" s="213" t="n">
        <x:v>7.32</x:v>
      </x:c>
      <x:c r="N185" s="214" t="n">
        <x:v>0</x:v>
      </x:c>
      <x:c r="O185" s="214" t="n">
        <x:v>0</x:v>
      </x:c>
      <x:c r="P185" s="215">
        <x:f>ROUND(((K185*M185) - (K185*M185*N185/100)) + (((K185*M185) - (K185*M185*N185/100)) * O185/100), 2)</x:f>
      </x:c>
      <x:c r="Q185" s="216" t="s"/>
      <x:c r="R185" s="216" t="s"/>
      <x:c r="S185" s="81" t="s">
        <x:v>553</x:v>
      </x:c>
      <x:c r="T185" s="209" t="s"/>
      <x:c r="U185" s="210" t="s"/>
    </x:row>
    <x:row r="186" spans="1:23">
      <x:c r="A186" s="76" t="n">
        <x:v>166</x:v>
      </x:c>
      <x:c r="B186" s="76" t="n">
        <x:v>5210707</x:v>
      </x:c>
      <x:c r="C186" s="77" t="s">
        <x:v>554</x:v>
      </x:c>
      <x:c r="D186" s="78" t="s">
        <x:v>555</x:v>
      </x:c>
      <x:c r="E186" s="79" t="s"/>
      <x:c r="F186" s="77" t="s"/>
      <x:c r="G186" s="92" t="n">
        <x:v>1</x:v>
      </x:c>
      <x:c r="H186" s="77" t="s">
        <x:v>154</x:v>
      </x:c>
      <x:c r="I186" s="77" t="s">
        <x:v>72</x:v>
      </x:c>
      <x:c r="J186" s="79" t="n">
        <x:v>4.18</x:v>
      </x:c>
      <x:c r="K186" s="211" t="n">
        <x:v>25</x:v>
      </x:c>
      <x:c r="L186" s="212" t="s"/>
      <x:c r="M186" s="213" t="n">
        <x:v>4.18</x:v>
      </x:c>
      <x:c r="N186" s="214" t="n">
        <x:v>0</x:v>
      </x:c>
      <x:c r="O186" s="214" t="n">
        <x:v>0</x:v>
      </x:c>
      <x:c r="P186" s="215">
        <x:f>ROUND(((K186*M186) - (K186*M186*N186/100)) + (((K186*M186) - (K186*M186*N186/100)) * O186/100), 2)</x:f>
      </x:c>
      <x:c r="Q186" s="216" t="s"/>
      <x:c r="R186" s="216" t="s"/>
      <x:c r="S186" s="81" t="s">
        <x:v>556</x:v>
      </x:c>
      <x:c r="T186" s="209" t="s"/>
      <x:c r="U186" s="210" t="s"/>
    </x:row>
    <x:row r="187" spans="1:23">
      <x:c r="A187" s="76" t="n">
        <x:v>167</x:v>
      </x:c>
      <x:c r="B187" s="76" t="n">
        <x:v>5210712</x:v>
      </x:c>
      <x:c r="C187" s="77" t="s">
        <x:v>557</x:v>
      </x:c>
      <x:c r="D187" s="78" t="s">
        <x:v>558</x:v>
      </x:c>
      <x:c r="E187" s="79" t="s"/>
      <x:c r="F187" s="77" t="s"/>
      <x:c r="G187" s="92" t="n">
        <x:v>1</x:v>
      </x:c>
      <x:c r="H187" s="77" t="s">
        <x:v>154</x:v>
      </x:c>
      <x:c r="I187" s="77" t="s">
        <x:v>57</x:v>
      </x:c>
      <x:c r="J187" s="79" t="n">
        <x:v>4.48</x:v>
      </x:c>
      <x:c r="K187" s="211" t="n">
        <x:v>20</x:v>
      </x:c>
      <x:c r="L187" s="212" t="s"/>
      <x:c r="M187" s="213" t="n">
        <x:v>4.48</x:v>
      </x:c>
      <x:c r="N187" s="214" t="n">
        <x:v>0</x:v>
      </x:c>
      <x:c r="O187" s="214" t="n">
        <x:v>0</x:v>
      </x:c>
      <x:c r="P187" s="215">
        <x:f>ROUND(((K187*M187) - (K187*M187*N187/100)) + (((K187*M187) - (K187*M187*N187/100)) * O187/100), 2)</x:f>
      </x:c>
      <x:c r="Q187" s="216" t="s"/>
      <x:c r="R187" s="216" t="s"/>
      <x:c r="S187" s="81" t="n">
        <x:v>0</x:v>
      </x:c>
      <x:c r="T187" s="209" t="s"/>
      <x:c r="U187" s="210" t="s"/>
    </x:row>
    <x:row r="188" spans="1:23">
      <x:c r="A188" s="76" t="n">
        <x:v>168</x:v>
      </x:c>
      <x:c r="B188" s="76" t="n">
        <x:v>5210599</x:v>
      </x:c>
      <x:c r="C188" s="77" t="s">
        <x:v>559</x:v>
      </x:c>
      <x:c r="D188" s="78" t="s">
        <x:v>560</x:v>
      </x:c>
      <x:c r="E188" s="79" t="s"/>
      <x:c r="F188" s="77" t="s"/>
      <x:c r="G188" s="92" t="n">
        <x:v>1</x:v>
      </x:c>
      <x:c r="H188" s="77" t="s">
        <x:v>154</x:v>
      </x:c>
      <x:c r="I188" s="77" t="s">
        <x:v>72</x:v>
      </x:c>
      <x:c r="J188" s="79" t="n">
        <x:v>3.9</x:v>
      </x:c>
      <x:c r="K188" s="211" t="n">
        <x:v>40</x:v>
      </x:c>
      <x:c r="L188" s="212" t="s"/>
      <x:c r="M188" s="213" t="n">
        <x:v>3.9</x:v>
      </x:c>
      <x:c r="N188" s="214" t="n">
        <x:v>0</x:v>
      </x:c>
      <x:c r="O188" s="214" t="n">
        <x:v>0</x:v>
      </x:c>
      <x:c r="P188" s="215">
        <x:f>ROUND(((K188*M188) - (K188*M188*N188/100)) + (((K188*M188) - (K188*M188*N188/100)) * O188/100), 2)</x:f>
      </x:c>
      <x:c r="Q188" s="216" t="s"/>
      <x:c r="R188" s="216" t="s"/>
      <x:c r="S188" s="81" t="s">
        <x:v>561</x:v>
      </x:c>
      <x:c r="T188" s="209" t="s"/>
      <x:c r="U188" s="210" t="s"/>
    </x:row>
    <x:row r="189" spans="1:23">
      <x:c r="A189" s="76" t="n">
        <x:v>169</x:v>
      </x:c>
      <x:c r="B189" s="76" t="n">
        <x:v>5684978</x:v>
      </x:c>
      <x:c r="C189" s="77" t="s">
        <x:v>562</x:v>
      </x:c>
      <x:c r="D189" s="78" t="s">
        <x:v>563</x:v>
      </x:c>
      <x:c r="E189" s="79" t="s"/>
      <x:c r="F189" s="77" t="s"/>
      <x:c r="G189" s="92" t="n">
        <x:v>1</x:v>
      </x:c>
      <x:c r="H189" s="77" t="s">
        <x:v>154</x:v>
      </x:c>
      <x:c r="I189" s="77" t="s">
        <x:v>72</x:v>
      </x:c>
      <x:c r="J189" s="79" t="n">
        <x:v>2.22</x:v>
      </x:c>
      <x:c r="K189" s="211" t="n">
        <x:v>60</x:v>
      </x:c>
      <x:c r="L189" s="212" t="s"/>
      <x:c r="M189" s="213" t="n">
        <x:v>2.22</x:v>
      </x:c>
      <x:c r="N189" s="214" t="n">
        <x:v>0</x:v>
      </x:c>
      <x:c r="O189" s="214" t="n">
        <x:v>0</x:v>
      </x:c>
      <x:c r="P189" s="215">
        <x:f>ROUND(((K189*M189) - (K189*M189*N189/100)) + (((K189*M189) - (K189*M189*N189/100)) * O189/100), 2)</x:f>
      </x:c>
      <x:c r="Q189" s="216" t="s"/>
      <x:c r="R189" s="216" t="s"/>
      <x:c r="S189" s="81" t="n">
        <x:v>0</x:v>
      </x:c>
      <x:c r="T189" s="209" t="s"/>
      <x:c r="U189" s="210" t="s"/>
    </x:row>
    <x:row r="190" spans="1:23">
      <x:c r="A190" s="76" t="n">
        <x:v>170</x:v>
      </x:c>
      <x:c r="B190" s="76" t="n">
        <x:v>5210602</x:v>
      </x:c>
      <x:c r="C190" s="77" t="s">
        <x:v>564</x:v>
      </x:c>
      <x:c r="D190" s="78" t="s">
        <x:v>565</x:v>
      </x:c>
      <x:c r="E190" s="79" t="s"/>
      <x:c r="F190" s="77" t="s"/>
      <x:c r="G190" s="92" t="n">
        <x:v>1</x:v>
      </x:c>
      <x:c r="H190" s="77" t="s">
        <x:v>154</x:v>
      </x:c>
      <x:c r="I190" s="77" t="s">
        <x:v>72</x:v>
      </x:c>
      <x:c r="J190" s="79" t="n">
        <x:v>1.6</x:v>
      </x:c>
      <x:c r="K190" s="211" t="n">
        <x:v>80</x:v>
      </x:c>
      <x:c r="L190" s="212" t="s"/>
      <x:c r="M190" s="213" t="n">
        <x:v>1.6</x:v>
      </x:c>
      <x:c r="N190" s="214" t="n">
        <x:v>0</x:v>
      </x:c>
      <x:c r="O190" s="214" t="n">
        <x:v>0</x:v>
      </x:c>
      <x:c r="P190" s="215">
        <x:f>ROUND(((K190*M190) - (K190*M190*N190/100)) + (((K190*M190) - (K190*M190*N190/100)) * O190/100), 2)</x:f>
      </x:c>
      <x:c r="Q190" s="216" t="s"/>
      <x:c r="R190" s="216" t="s"/>
      <x:c r="S190" s="81" t="s">
        <x:v>566</x:v>
      </x:c>
      <x:c r="T190" s="209" t="s"/>
      <x:c r="U190" s="210" t="s"/>
    </x:row>
    <x:row r="191" spans="1:23">
      <x:c r="A191" s="76" t="n">
        <x:v>171</x:v>
      </x:c>
      <x:c r="B191" s="76" t="n">
        <x:v>5210606</x:v>
      </x:c>
      <x:c r="C191" s="77" t="s">
        <x:v>567</x:v>
      </x:c>
      <x:c r="D191" s="78" t="s">
        <x:v>568</x:v>
      </x:c>
      <x:c r="E191" s="79" t="s"/>
      <x:c r="F191" s="77" t="s"/>
      <x:c r="G191" s="92" t="n">
        <x:v>1</x:v>
      </x:c>
      <x:c r="H191" s="77" t="s">
        <x:v>154</x:v>
      </x:c>
      <x:c r="I191" s="77" t="s">
        <x:v>72</x:v>
      </x:c>
      <x:c r="J191" s="79" t="n">
        <x:v>2.89</x:v>
      </x:c>
      <x:c r="K191" s="211" t="n">
        <x:v>450</x:v>
      </x:c>
      <x:c r="L191" s="212" t="s"/>
      <x:c r="M191" s="213" t="n">
        <x:v>2.89</x:v>
      </x:c>
      <x:c r="N191" s="214" t="n">
        <x:v>0</x:v>
      </x:c>
      <x:c r="O191" s="214" t="n">
        <x:v>0</x:v>
      </x:c>
      <x:c r="P191" s="215">
        <x:f>ROUND(((K191*M191) - (K191*M191*N191/100)) + (((K191*M191) - (K191*M191*N191/100)) * O191/100), 2)</x:f>
      </x:c>
      <x:c r="Q191" s="216" t="s"/>
      <x:c r="R191" s="216" t="s"/>
      <x:c r="S191" s="81" t="n">
        <x:v>0</x:v>
      </x:c>
      <x:c r="T191" s="209" t="s"/>
      <x:c r="U191" s="210" t="s"/>
    </x:row>
    <x:row r="192" spans="1:23">
      <x:c r="A192" s="76" t="n">
        <x:v>172</x:v>
      </x:c>
      <x:c r="B192" s="76" t="n">
        <x:v>5210607</x:v>
      </x:c>
      <x:c r="C192" s="77" t="s">
        <x:v>569</x:v>
      </x:c>
      <x:c r="D192" s="78" t="s">
        <x:v>570</x:v>
      </x:c>
      <x:c r="E192" s="79" t="s"/>
      <x:c r="F192" s="77" t="s"/>
      <x:c r="G192" s="92" t="n">
        <x:v>1</x:v>
      </x:c>
      <x:c r="H192" s="77" t="s">
        <x:v>154</x:v>
      </x:c>
      <x:c r="I192" s="77" t="s">
        <x:v>72</x:v>
      </x:c>
      <x:c r="J192" s="79" t="n">
        <x:v>2.78</x:v>
      </x:c>
      <x:c r="K192" s="211" t="n">
        <x:v>40</x:v>
      </x:c>
      <x:c r="L192" s="212" t="s"/>
      <x:c r="M192" s="213" t="n">
        <x:v>2.78</x:v>
      </x:c>
      <x:c r="N192" s="214" t="n">
        <x:v>0</x:v>
      </x:c>
      <x:c r="O192" s="214" t="n">
        <x:v>0</x:v>
      </x:c>
      <x:c r="P192" s="215">
        <x:f>ROUND(((K192*M192) - (K192*M192*N192/100)) + (((K192*M192) - (K192*M192*N192/100)) * O192/100), 2)</x:f>
      </x:c>
      <x:c r="Q192" s="216" t="s"/>
      <x:c r="R192" s="216" t="s"/>
      <x:c r="S192" s="81" t="n">
        <x:v>0</x:v>
      </x:c>
      <x:c r="T192" s="209" t="s"/>
      <x:c r="U192" s="210" t="s"/>
    </x:row>
    <x:row r="193" spans="1:23">
      <x:c r="A193" s="76" t="n">
        <x:v>173</x:v>
      </x:c>
      <x:c r="B193" s="76" t="n">
        <x:v>5210576</x:v>
      </x:c>
      <x:c r="C193" s="77" t="s">
        <x:v>571</x:v>
      </x:c>
      <x:c r="D193" s="78" t="s">
        <x:v>572</x:v>
      </x:c>
      <x:c r="E193" s="79" t="s"/>
      <x:c r="F193" s="77" t="s"/>
      <x:c r="G193" s="92" t="n">
        <x:v>1</x:v>
      </x:c>
      <x:c r="H193" s="77" t="s">
        <x:v>154</x:v>
      </x:c>
      <x:c r="I193" s="77" t="s">
        <x:v>72</x:v>
      </x:c>
      <x:c r="J193" s="79" t="n">
        <x:v>5.1</x:v>
      </x:c>
      <x:c r="K193" s="211" t="n">
        <x:v>50</x:v>
      </x:c>
      <x:c r="L193" s="212" t="s"/>
      <x:c r="M193" s="213" t="n">
        <x:v>5.1</x:v>
      </x:c>
      <x:c r="N193" s="214" t="n">
        <x:v>0</x:v>
      </x:c>
      <x:c r="O193" s="214" t="n">
        <x:v>0</x:v>
      </x:c>
      <x:c r="P193" s="215">
        <x:f>ROUND(((K193*M193) - (K193*M193*N193/100)) + (((K193*M193) - (K193*M193*N193/100)) * O193/100), 2)</x:f>
      </x:c>
      <x:c r="Q193" s="216" t="s"/>
      <x:c r="R193" s="216" t="s"/>
      <x:c r="S193" s="81" t="s">
        <x:v>573</x:v>
      </x:c>
      <x:c r="T193" s="209" t="s"/>
      <x:c r="U193" s="210" t="s"/>
    </x:row>
    <x:row r="194" spans="1:23">
      <x:c r="A194" s="76" t="n">
        <x:v>174</x:v>
      </x:c>
      <x:c r="B194" s="76" t="n">
        <x:v>5210621</x:v>
      </x:c>
      <x:c r="C194" s="77" t="s">
        <x:v>574</x:v>
      </x:c>
      <x:c r="D194" s="78" t="s">
        <x:v>575</x:v>
      </x:c>
      <x:c r="E194" s="79" t="s"/>
      <x:c r="F194" s="77" t="s"/>
      <x:c r="G194" s="92" t="n">
        <x:v>1</x:v>
      </x:c>
      <x:c r="H194" s="77" t="s">
        <x:v>154</x:v>
      </x:c>
      <x:c r="I194" s="77" t="s">
        <x:v>72</x:v>
      </x:c>
      <x:c r="J194" s="79" t="n">
        <x:v>29.33</x:v>
      </x:c>
      <x:c r="K194" s="211" t="n">
        <x:v>40</x:v>
      </x:c>
      <x:c r="L194" s="212" t="s"/>
      <x:c r="M194" s="213" t="n">
        <x:v>29.33</x:v>
      </x:c>
      <x:c r="N194" s="214" t="n">
        <x:v>0</x:v>
      </x:c>
      <x:c r="O194" s="214" t="n">
        <x:v>0</x:v>
      </x:c>
      <x:c r="P194" s="215">
        <x:f>ROUND(((K194*M194) - (K194*M194*N194/100)) + (((K194*M194) - (K194*M194*N194/100)) * O194/100), 2)</x:f>
      </x:c>
      <x:c r="Q194" s="216" t="s"/>
      <x:c r="R194" s="216" t="s"/>
      <x:c r="S194" s="81" t="s">
        <x:v>576</x:v>
      </x:c>
      <x:c r="T194" s="209" t="s"/>
      <x:c r="U194" s="210" t="s"/>
    </x:row>
    <x:row r="195" spans="1:23">
      <x:c r="A195" s="76" t="n">
        <x:v>175</x:v>
      </x:c>
      <x:c r="B195" s="76" t="n">
        <x:v>5210660</x:v>
      </x:c>
      <x:c r="C195" s="77" t="s">
        <x:v>577</x:v>
      </x:c>
      <x:c r="D195" s="78" t="s">
        <x:v>578</x:v>
      </x:c>
      <x:c r="E195" s="79" t="s"/>
      <x:c r="F195" s="77" t="s"/>
      <x:c r="G195" s="92" t="n">
        <x:v>1</x:v>
      </x:c>
      <x:c r="H195" s="77" t="s">
        <x:v>154</x:v>
      </x:c>
      <x:c r="I195" s="77" t="s">
        <x:v>72</x:v>
      </x:c>
      <x:c r="J195" s="79" t="n">
        <x:v>4.74</x:v>
      </x:c>
      <x:c r="K195" s="211" t="n">
        <x:v>70</x:v>
      </x:c>
      <x:c r="L195" s="212" t="s"/>
      <x:c r="M195" s="213" t="n">
        <x:v>4.74</x:v>
      </x:c>
      <x:c r="N195" s="214" t="n">
        <x:v>0</x:v>
      </x:c>
      <x:c r="O195" s="214" t="n">
        <x:v>0</x:v>
      </x:c>
      <x:c r="P195" s="215">
        <x:f>ROUND(((K195*M195) - (K195*M195*N195/100)) + (((K195*M195) - (K195*M195*N195/100)) * O195/100), 2)</x:f>
      </x:c>
      <x:c r="Q195" s="216" t="s"/>
      <x:c r="R195" s="216" t="s"/>
      <x:c r="S195" s="81" t="s">
        <x:v>579</x:v>
      </x:c>
      <x:c r="T195" s="209" t="s"/>
      <x:c r="U195" s="210" t="s"/>
    </x:row>
    <x:row r="196" spans="1:23">
      <x:c r="A196" s="76" t="n">
        <x:v>176</x:v>
      </x:c>
      <x:c r="B196" s="76" t="n">
        <x:v>5557778</x:v>
      </x:c>
      <x:c r="C196" s="77" t="s">
        <x:v>580</x:v>
      </x:c>
      <x:c r="D196" s="78" t="s">
        <x:v>581</x:v>
      </x:c>
      <x:c r="E196" s="79" t="s"/>
      <x:c r="F196" s="77" t="s"/>
      <x:c r="G196" s="92" t="n">
        <x:v>1</x:v>
      </x:c>
      <x:c r="H196" s="77" t="s">
        <x:v>154</x:v>
      </x:c>
      <x:c r="I196" s="77" t="s">
        <x:v>72</x:v>
      </x:c>
      <x:c r="J196" s="79" t="n">
        <x:v>12.42</x:v>
      </x:c>
      <x:c r="K196" s="211" t="n">
        <x:v>60</x:v>
      </x:c>
      <x:c r="L196" s="212" t="s"/>
      <x:c r="M196" s="213" t="n">
        <x:v>12.42</x:v>
      </x:c>
      <x:c r="N196" s="214" t="n">
        <x:v>0</x:v>
      </x:c>
      <x:c r="O196" s="214" t="n">
        <x:v>0</x:v>
      </x:c>
      <x:c r="P196" s="215">
        <x:f>ROUND(((K196*M196) - (K196*M196*N196/100)) + (((K196*M196) - (K196*M196*N196/100)) * O196/100), 2)</x:f>
      </x:c>
      <x:c r="Q196" s="216" t="s"/>
      <x:c r="R196" s="216" t="s"/>
      <x:c r="S196" s="81" t="s">
        <x:v>582</x:v>
      </x:c>
      <x:c r="T196" s="209" t="s"/>
      <x:c r="U196" s="210" t="s"/>
    </x:row>
    <x:row r="197" spans="1:23">
      <x:c r="A197" s="76" t="n">
        <x:v>177</x:v>
      </x:c>
      <x:c r="B197" s="76" t="n">
        <x:v>5210729</x:v>
      </x:c>
      <x:c r="C197" s="77" t="s">
        <x:v>583</x:v>
      </x:c>
      <x:c r="D197" s="78" t="s">
        <x:v>584</x:v>
      </x:c>
      <x:c r="E197" s="79" t="s"/>
      <x:c r="F197" s="77" t="s"/>
      <x:c r="G197" s="92" t="n">
        <x:v>1</x:v>
      </x:c>
      <x:c r="H197" s="77" t="s">
        <x:v>154</x:v>
      </x:c>
      <x:c r="I197" s="77" t="s">
        <x:v>72</x:v>
      </x:c>
      <x:c r="J197" s="79" t="n">
        <x:v>7.11</x:v>
      </x:c>
      <x:c r="K197" s="211" t="n">
        <x:v>60</x:v>
      </x:c>
      <x:c r="L197" s="212" t="s"/>
      <x:c r="M197" s="213" t="n">
        <x:v>7.11</x:v>
      </x:c>
      <x:c r="N197" s="214" t="n">
        <x:v>0</x:v>
      </x:c>
      <x:c r="O197" s="214" t="n">
        <x:v>0</x:v>
      </x:c>
      <x:c r="P197" s="215">
        <x:f>ROUND(((K197*M197) - (K197*M197*N197/100)) + (((K197*M197) - (K197*M197*N197/100)) * O197/100), 2)</x:f>
      </x:c>
      <x:c r="Q197" s="216" t="s"/>
      <x:c r="R197" s="216" t="s"/>
      <x:c r="S197" s="81" t="s">
        <x:v>585</x:v>
      </x:c>
      <x:c r="T197" s="209" t="s"/>
      <x:c r="U197" s="210" t="s"/>
    </x:row>
    <x:row r="198" spans="1:23">
      <x:c r="A198" s="76" t="n">
        <x:v>178</x:v>
      </x:c>
      <x:c r="B198" s="76" t="n">
        <x:v>5210745</x:v>
      </x:c>
      <x:c r="C198" s="77" t="s">
        <x:v>586</x:v>
      </x:c>
      <x:c r="D198" s="78" t="s">
        <x:v>587</x:v>
      </x:c>
      <x:c r="E198" s="79" t="s"/>
      <x:c r="F198" s="77" t="s"/>
      <x:c r="G198" s="92" t="n">
        <x:v>1</x:v>
      </x:c>
      <x:c r="H198" s="77" t="s">
        <x:v>154</x:v>
      </x:c>
      <x:c r="I198" s="77" t="s">
        <x:v>72</x:v>
      </x:c>
      <x:c r="J198" s="79" t="n">
        <x:v>11.86</x:v>
      </x:c>
      <x:c r="K198" s="211" t="n">
        <x:v>20</x:v>
      </x:c>
      <x:c r="L198" s="212" t="s"/>
      <x:c r="M198" s="213" t="n">
        <x:v>11.86</x:v>
      </x:c>
      <x:c r="N198" s="214" t="n">
        <x:v>0</x:v>
      </x:c>
      <x:c r="O198" s="214" t="n">
        <x:v>0</x:v>
      </x:c>
      <x:c r="P198" s="215">
        <x:f>ROUND(((K198*M198) - (K198*M198*N198/100)) + (((K198*M198) - (K198*M198*N198/100)) * O198/100), 2)</x:f>
      </x:c>
      <x:c r="Q198" s="216" t="s"/>
      <x:c r="R198" s="216" t="s"/>
      <x:c r="S198" s="81" t="s">
        <x:v>588</x:v>
      </x:c>
      <x:c r="T198" s="209" t="s"/>
      <x:c r="U198" s="210" t="s"/>
    </x:row>
    <x:row r="199" spans="1:23">
      <x:c r="A199" s="76" t="n">
        <x:v>179</x:v>
      </x:c>
      <x:c r="B199" s="76" t="n">
        <x:v>5210747</x:v>
      </x:c>
      <x:c r="C199" s="77" t="s">
        <x:v>589</x:v>
      </x:c>
      <x:c r="D199" s="78" t="s">
        <x:v>590</x:v>
      </x:c>
      <x:c r="E199" s="79" t="s"/>
      <x:c r="F199" s="77" t="s"/>
      <x:c r="G199" s="92" t="n">
        <x:v>1</x:v>
      </x:c>
      <x:c r="H199" s="77" t="s">
        <x:v>154</x:v>
      </x:c>
      <x:c r="I199" s="77" t="s">
        <x:v>72</x:v>
      </x:c>
      <x:c r="J199" s="79" t="n">
        <x:v>2.47</x:v>
      </x:c>
      <x:c r="K199" s="211" t="n">
        <x:v>12</x:v>
      </x:c>
      <x:c r="L199" s="212" t="s"/>
      <x:c r="M199" s="213" t="n">
        <x:v>2.47</x:v>
      </x:c>
      <x:c r="N199" s="214" t="n">
        <x:v>0</x:v>
      </x:c>
      <x:c r="O199" s="214" t="n">
        <x:v>0</x:v>
      </x:c>
      <x:c r="P199" s="215">
        <x:f>ROUND(((K199*M199) - (K199*M199*N199/100)) + (((K199*M199) - (K199*M199*N199/100)) * O199/100), 2)</x:f>
      </x:c>
      <x:c r="Q199" s="216" t="s"/>
      <x:c r="R199" s="216" t="s"/>
      <x:c r="S199" s="81" t="s">
        <x:v>591</x:v>
      </x:c>
      <x:c r="T199" s="209" t="s"/>
      <x:c r="U199" s="210" t="s"/>
    </x:row>
    <x:row r="200" spans="1:23">
      <x:c r="A200" s="76" t="n">
        <x:v>180</x:v>
      </x:c>
      <x:c r="B200" s="76" t="n">
        <x:v>5210764</x:v>
      </x:c>
      <x:c r="C200" s="77" t="s">
        <x:v>592</x:v>
      </x:c>
      <x:c r="D200" s="78" t="s">
        <x:v>593</x:v>
      </x:c>
      <x:c r="E200" s="79" t="s"/>
      <x:c r="F200" s="77" t="s"/>
      <x:c r="G200" s="92" t="n">
        <x:v>1</x:v>
      </x:c>
      <x:c r="H200" s="77" t="s">
        <x:v>154</x:v>
      </x:c>
      <x:c r="I200" s="77" t="s">
        <x:v>72</x:v>
      </x:c>
      <x:c r="J200" s="79" t="n">
        <x:v>4.28</x:v>
      </x:c>
      <x:c r="K200" s="211" t="n">
        <x:v>30</x:v>
      </x:c>
      <x:c r="L200" s="212" t="s"/>
      <x:c r="M200" s="213" t="n">
        <x:v>4.28</x:v>
      </x:c>
      <x:c r="N200" s="214" t="n">
        <x:v>0</x:v>
      </x:c>
      <x:c r="O200" s="214" t="n">
        <x:v>0</x:v>
      </x:c>
      <x:c r="P200" s="215">
        <x:f>ROUND(((K200*M200) - (K200*M200*N200/100)) + (((K200*M200) - (K200*M200*N200/100)) * O200/100), 2)</x:f>
      </x:c>
      <x:c r="Q200" s="216" t="s"/>
      <x:c r="R200" s="216" t="s"/>
      <x:c r="S200" s="81" t="s">
        <x:v>594</x:v>
      </x:c>
      <x:c r="T200" s="209" t="s"/>
      <x:c r="U200" s="210" t="s"/>
    </x:row>
    <x:row r="201" spans="1:23">
      <x:c r="A201" s="76" t="n">
        <x:v>181</x:v>
      </x:c>
      <x:c r="B201" s="76" t="n">
        <x:v>5210790</x:v>
      </x:c>
      <x:c r="C201" s="77" t="s">
        <x:v>595</x:v>
      </x:c>
      <x:c r="D201" s="78" t="s">
        <x:v>596</x:v>
      </x:c>
      <x:c r="E201" s="79" t="s"/>
      <x:c r="F201" s="77" t="s"/>
      <x:c r="G201" s="92" t="n">
        <x:v>1</x:v>
      </x:c>
      <x:c r="H201" s="77" t="s">
        <x:v>154</x:v>
      </x:c>
      <x:c r="I201" s="77" t="s">
        <x:v>72</x:v>
      </x:c>
      <x:c r="J201" s="79" t="n">
        <x:v>7.32</x:v>
      </x:c>
      <x:c r="K201" s="211" t="n">
        <x:v>50</x:v>
      </x:c>
      <x:c r="L201" s="212" t="s"/>
      <x:c r="M201" s="213" t="n">
        <x:v>7.32</x:v>
      </x:c>
      <x:c r="N201" s="214" t="n">
        <x:v>0</x:v>
      </x:c>
      <x:c r="O201" s="214" t="n">
        <x:v>0</x:v>
      </x:c>
      <x:c r="P201" s="215">
        <x:f>ROUND(((K201*M201) - (K201*M201*N201/100)) + (((K201*M201) - (K201*M201*N201/100)) * O201/100), 2)</x:f>
      </x:c>
      <x:c r="Q201" s="216" t="s"/>
      <x:c r="R201" s="216" t="s"/>
      <x:c r="S201" s="81" t="s">
        <x:v>597</x:v>
      </x:c>
      <x:c r="T201" s="209" t="s"/>
      <x:c r="U201" s="210" t="s"/>
    </x:row>
    <x:row r="202" spans="1:23">
      <x:c r="A202" s="76" t="n">
        <x:v>182</x:v>
      </x:c>
      <x:c r="B202" s="76" t="n">
        <x:v>5210791</x:v>
      </x:c>
      <x:c r="C202" s="77" t="s">
        <x:v>598</x:v>
      </x:c>
      <x:c r="D202" s="78" t="s">
        <x:v>599</x:v>
      </x:c>
      <x:c r="E202" s="79" t="s"/>
      <x:c r="F202" s="77" t="s"/>
      <x:c r="G202" s="92" t="n">
        <x:v>1</x:v>
      </x:c>
      <x:c r="H202" s="77" t="s">
        <x:v>154</x:v>
      </x:c>
      <x:c r="I202" s="77" t="s">
        <x:v>72</x:v>
      </x:c>
      <x:c r="J202" s="79" t="n">
        <x:v>7.32</x:v>
      </x:c>
      <x:c r="K202" s="211" t="n">
        <x:v>70</x:v>
      </x:c>
      <x:c r="L202" s="212" t="s"/>
      <x:c r="M202" s="213" t="n">
        <x:v>7.32</x:v>
      </x:c>
      <x:c r="N202" s="214" t="n">
        <x:v>0</x:v>
      </x:c>
      <x:c r="O202" s="214" t="n">
        <x:v>0</x:v>
      </x:c>
      <x:c r="P202" s="215">
        <x:f>ROUND(((K202*M202) - (K202*M202*N202/100)) + (((K202*M202) - (K202*M202*N202/100)) * O202/100), 2)</x:f>
      </x:c>
      <x:c r="Q202" s="216" t="s"/>
      <x:c r="R202" s="216" t="s"/>
      <x:c r="S202" s="81" t="s">
        <x:v>600</x:v>
      </x:c>
      <x:c r="T202" s="209" t="s"/>
      <x:c r="U202" s="210" t="s"/>
    </x:row>
    <x:row r="203" spans="1:23">
      <x:c r="A203" s="76" t="n">
        <x:v>183</x:v>
      </x:c>
      <x:c r="B203" s="76" t="n">
        <x:v>5210584</x:v>
      </x:c>
      <x:c r="C203" s="77" t="s">
        <x:v>601</x:v>
      </x:c>
      <x:c r="D203" s="78" t="s">
        <x:v>602</x:v>
      </x:c>
      <x:c r="E203" s="79" t="s"/>
      <x:c r="F203" s="77" t="s"/>
      <x:c r="G203" s="92" t="n">
        <x:v>1</x:v>
      </x:c>
      <x:c r="H203" s="77" t="s">
        <x:v>154</x:v>
      </x:c>
      <x:c r="I203" s="77" t="s">
        <x:v>72</x:v>
      </x:c>
      <x:c r="J203" s="79" t="n">
        <x:v>2.06</x:v>
      </x:c>
      <x:c r="K203" s="211" t="n">
        <x:v>10</x:v>
      </x:c>
      <x:c r="L203" s="212" t="s"/>
      <x:c r="M203" s="213" t="n">
        <x:v>2.06</x:v>
      </x:c>
      <x:c r="N203" s="214" t="n">
        <x:v>0</x:v>
      </x:c>
      <x:c r="O203" s="214" t="n">
        <x:v>0</x:v>
      </x:c>
      <x:c r="P203" s="215">
        <x:f>ROUND(((K203*M203) - (K203*M203*N203/100)) + (((K203*M203) - (K203*M203*N203/100)) * O203/100), 2)</x:f>
      </x:c>
      <x:c r="Q203" s="216" t="s"/>
      <x:c r="R203" s="216" t="s"/>
      <x:c r="S203" s="81" t="s">
        <x:v>603</x:v>
      </x:c>
      <x:c r="T203" s="209" t="s"/>
      <x:c r="U203" s="210" t="s"/>
    </x:row>
    <x:row r="204" spans="1:23">
      <x:c r="A204" s="76" t="n">
        <x:v>184</x:v>
      </x:c>
      <x:c r="B204" s="76" t="n">
        <x:v>5210593</x:v>
      </x:c>
      <x:c r="C204" s="77" t="s">
        <x:v>604</x:v>
      </x:c>
      <x:c r="D204" s="78" t="s">
        <x:v>605</x:v>
      </x:c>
      <x:c r="E204" s="79" t="s"/>
      <x:c r="F204" s="77" t="s"/>
      <x:c r="G204" s="92" t="n">
        <x:v>1</x:v>
      </x:c>
      <x:c r="H204" s="77" t="s">
        <x:v>154</x:v>
      </x:c>
      <x:c r="I204" s="77" t="s">
        <x:v>72</x:v>
      </x:c>
      <x:c r="J204" s="79" t="n">
        <x:v>1.49</x:v>
      </x:c>
      <x:c r="K204" s="211" t="n">
        <x:v>15</x:v>
      </x:c>
      <x:c r="L204" s="212" t="s"/>
      <x:c r="M204" s="213" t="n">
        <x:v>1.49</x:v>
      </x:c>
      <x:c r="N204" s="214" t="n">
        <x:v>0</x:v>
      </x:c>
      <x:c r="O204" s="214" t="n">
        <x:v>0</x:v>
      </x:c>
      <x:c r="P204" s="215">
        <x:f>ROUND(((K204*M204) - (K204*M204*N204/100)) + (((K204*M204) - (K204*M204*N204/100)) * O204/100), 2)</x:f>
      </x:c>
      <x:c r="Q204" s="216" t="s"/>
      <x:c r="R204" s="216" t="s"/>
      <x:c r="S204" s="81" t="s">
        <x:v>606</x:v>
      </x:c>
      <x:c r="T204" s="209" t="s"/>
      <x:c r="U204" s="210" t="s"/>
    </x:row>
    <x:row r="205" spans="1:23">
      <x:c r="A205" s="76" t="n">
        <x:v>185</x:v>
      </x:c>
      <x:c r="B205" s="76" t="n">
        <x:v>5210595</x:v>
      </x:c>
      <x:c r="C205" s="77" t="s">
        <x:v>607</x:v>
      </x:c>
      <x:c r="D205" s="78" t="s">
        <x:v>608</x:v>
      </x:c>
      <x:c r="E205" s="79" t="s"/>
      <x:c r="F205" s="77" t="s"/>
      <x:c r="G205" s="92" t="n">
        <x:v>1</x:v>
      </x:c>
      <x:c r="H205" s="77" t="s">
        <x:v>154</x:v>
      </x:c>
      <x:c r="I205" s="77" t="s">
        <x:v>72</x:v>
      </x:c>
      <x:c r="J205" s="79" t="n">
        <x:v>1.7</x:v>
      </x:c>
      <x:c r="K205" s="211" t="n">
        <x:v>15</x:v>
      </x:c>
      <x:c r="L205" s="212" t="s"/>
      <x:c r="M205" s="213" t="n">
        <x:v>1.7</x:v>
      </x:c>
      <x:c r="N205" s="214" t="n">
        <x:v>0</x:v>
      </x:c>
      <x:c r="O205" s="214" t="n">
        <x:v>0</x:v>
      </x:c>
      <x:c r="P205" s="215">
        <x:f>ROUND(((K205*M205) - (K205*M205*N205/100)) + (((K205*M205) - (K205*M205*N205/100)) * O205/100), 2)</x:f>
      </x:c>
      <x:c r="Q205" s="216" t="s"/>
      <x:c r="R205" s="216" t="s"/>
      <x:c r="S205" s="81" t="s">
        <x:v>609</x:v>
      </x:c>
      <x:c r="T205" s="209" t="s"/>
      <x:c r="U205" s="210" t="s"/>
    </x:row>
    <x:row r="206" spans="1:23">
      <x:c r="A206" s="76" t="n">
        <x:v>186</x:v>
      </x:c>
      <x:c r="B206" s="76" t="n">
        <x:v>5210637</x:v>
      </x:c>
      <x:c r="C206" s="77" t="s">
        <x:v>610</x:v>
      </x:c>
      <x:c r="D206" s="78" t="s">
        <x:v>611</x:v>
      </x:c>
      <x:c r="E206" s="79" t="s"/>
      <x:c r="F206" s="77" t="s"/>
      <x:c r="G206" s="92" t="n">
        <x:v>1</x:v>
      </x:c>
      <x:c r="H206" s="77" t="s">
        <x:v>154</x:v>
      </x:c>
      <x:c r="I206" s="77" t="s">
        <x:v>72</x:v>
      </x:c>
      <x:c r="J206" s="79" t="n">
        <x:v>1.86</x:v>
      </x:c>
      <x:c r="K206" s="211" t="n">
        <x:v>15</x:v>
      </x:c>
      <x:c r="L206" s="212" t="s"/>
      <x:c r="M206" s="213" t="n">
        <x:v>1.86</x:v>
      </x:c>
      <x:c r="N206" s="214" t="n">
        <x:v>0</x:v>
      </x:c>
      <x:c r="O206" s="214" t="n">
        <x:v>0</x:v>
      </x:c>
      <x:c r="P206" s="215">
        <x:f>ROUND(((K206*M206) - (K206*M206*N206/100)) + (((K206*M206) - (K206*M206*N206/100)) * O206/100), 2)</x:f>
      </x:c>
      <x:c r="Q206" s="216" t="s"/>
      <x:c r="R206" s="216" t="s"/>
      <x:c r="S206" s="81" t="s">
        <x:v>612</x:v>
      </x:c>
      <x:c r="T206" s="209" t="s"/>
      <x:c r="U206" s="210" t="s"/>
    </x:row>
    <x:row r="207" spans="1:23">
      <x:c r="A207" s="76" t="n">
        <x:v>187</x:v>
      </x:c>
      <x:c r="B207" s="76" t="n">
        <x:v>5210638</x:v>
      </x:c>
      <x:c r="C207" s="77" t="s">
        <x:v>613</x:v>
      </x:c>
      <x:c r="D207" s="78" t="s">
        <x:v>614</x:v>
      </x:c>
      <x:c r="E207" s="79" t="s"/>
      <x:c r="F207" s="77" t="s"/>
      <x:c r="G207" s="92" t="n">
        <x:v>1</x:v>
      </x:c>
      <x:c r="H207" s="77" t="s">
        <x:v>154</x:v>
      </x:c>
      <x:c r="I207" s="77" t="s">
        <x:v>72</x:v>
      </x:c>
      <x:c r="J207" s="79" t="n">
        <x:v>1.55</x:v>
      </x:c>
      <x:c r="K207" s="211" t="n">
        <x:v>15</x:v>
      </x:c>
      <x:c r="L207" s="212" t="s"/>
      <x:c r="M207" s="213" t="n">
        <x:v>1.55</x:v>
      </x:c>
      <x:c r="N207" s="214" t="n">
        <x:v>0</x:v>
      </x:c>
      <x:c r="O207" s="214" t="n">
        <x:v>0</x:v>
      </x:c>
      <x:c r="P207" s="215">
        <x:f>ROUND(((K207*M207) - (K207*M207*N207/100)) + (((K207*M207) - (K207*M207*N207/100)) * O207/100), 2)</x:f>
      </x:c>
      <x:c r="Q207" s="216" t="s"/>
      <x:c r="R207" s="216" t="s"/>
      <x:c r="S207" s="81" t="s">
        <x:v>615</x:v>
      </x:c>
      <x:c r="T207" s="209" t="s"/>
      <x:c r="U207" s="210" t="s"/>
    </x:row>
    <x:row r="208" spans="1:23">
      <x:c r="A208" s="76" t="n">
        <x:v>188</x:v>
      </x:c>
      <x:c r="B208" s="76" t="n">
        <x:v>5210993</x:v>
      </x:c>
      <x:c r="C208" s="77" t="s">
        <x:v>616</x:v>
      </x:c>
      <x:c r="D208" s="78" t="s">
        <x:v>617</x:v>
      </x:c>
      <x:c r="E208" s="79" t="s"/>
      <x:c r="F208" s="77" t="s"/>
      <x:c r="G208" s="92" t="n">
        <x:v>1</x:v>
      </x:c>
      <x:c r="H208" s="77" t="s">
        <x:v>154</x:v>
      </x:c>
      <x:c r="I208" s="77" t="s">
        <x:v>72</x:v>
      </x:c>
      <x:c r="J208" s="79" t="n">
        <x:v>2.06</x:v>
      </x:c>
      <x:c r="K208" s="211" t="n">
        <x:v>12</x:v>
      </x:c>
      <x:c r="L208" s="212" t="s"/>
      <x:c r="M208" s="213" t="n">
        <x:v>2.06</x:v>
      </x:c>
      <x:c r="N208" s="214" t="n">
        <x:v>0</x:v>
      </x:c>
      <x:c r="O208" s="214" t="n">
        <x:v>0</x:v>
      </x:c>
      <x:c r="P208" s="215">
        <x:f>ROUND(((K208*M208) - (K208*M208*N208/100)) + (((K208*M208) - (K208*M208*N208/100)) * O208/100), 2)</x:f>
      </x:c>
      <x:c r="Q208" s="216" t="s"/>
      <x:c r="R208" s="216" t="s"/>
      <x:c r="S208" s="81" t="s">
        <x:v>618</x:v>
      </x:c>
      <x:c r="T208" s="209" t="s"/>
      <x:c r="U208" s="210" t="s"/>
    </x:row>
    <x:row r="209" spans="1:23">
      <x:c r="A209" s="76" t="n">
        <x:v>189</x:v>
      </x:c>
      <x:c r="B209" s="76" t="n">
        <x:v>5210677</x:v>
      </x:c>
      <x:c r="C209" s="77" t="s">
        <x:v>619</x:v>
      </x:c>
      <x:c r="D209" s="78" t="s">
        <x:v>620</x:v>
      </x:c>
      <x:c r="E209" s="79" t="s"/>
      <x:c r="F209" s="77" t="s"/>
      <x:c r="G209" s="92" t="n">
        <x:v>1</x:v>
      </x:c>
      <x:c r="H209" s="77" t="s">
        <x:v>154</x:v>
      </x:c>
      <x:c r="I209" s="77" t="s">
        <x:v>72</x:v>
      </x:c>
      <x:c r="J209" s="79" t="n">
        <x:v>1.49</x:v>
      </x:c>
      <x:c r="K209" s="211" t="n">
        <x:v>20</x:v>
      </x:c>
      <x:c r="L209" s="212" t="s"/>
      <x:c r="M209" s="213" t="n">
        <x:v>1.49</x:v>
      </x:c>
      <x:c r="N209" s="214" t="n">
        <x:v>0</x:v>
      </x:c>
      <x:c r="O209" s="214" t="n">
        <x:v>0</x:v>
      </x:c>
      <x:c r="P209" s="215">
        <x:f>ROUND(((K209*M209) - (K209*M209*N209/100)) + (((K209*M209) - (K209*M209*N209/100)) * O209/100), 2)</x:f>
      </x:c>
      <x:c r="Q209" s="216" t="s"/>
      <x:c r="R209" s="216" t="s"/>
      <x:c r="S209" s="81" t="s">
        <x:v>621</x:v>
      </x:c>
      <x:c r="T209" s="209" t="s"/>
      <x:c r="U209" s="210" t="s"/>
    </x:row>
    <x:row r="210" spans="1:23">
      <x:c r="A210" s="76" t="n">
        <x:v>190</x:v>
      </x:c>
      <x:c r="B210" s="76" t="n">
        <x:v>5210690</x:v>
      </x:c>
      <x:c r="C210" s="77" t="s">
        <x:v>622</x:v>
      </x:c>
      <x:c r="D210" s="78" t="s">
        <x:v>623</x:v>
      </x:c>
      <x:c r="E210" s="79" t="s"/>
      <x:c r="F210" s="77" t="s"/>
      <x:c r="G210" s="92" t="n">
        <x:v>1</x:v>
      </x:c>
      <x:c r="H210" s="77" t="s">
        <x:v>154</x:v>
      </x:c>
      <x:c r="I210" s="77" t="s">
        <x:v>57</x:v>
      </x:c>
      <x:c r="J210" s="79" t="n">
        <x:v>2.63</x:v>
      </x:c>
      <x:c r="K210" s="211" t="n">
        <x:v>20</x:v>
      </x:c>
      <x:c r="L210" s="212" t="s"/>
      <x:c r="M210" s="213" t="n">
        <x:v>2.63</x:v>
      </x:c>
      <x:c r="N210" s="214" t="n">
        <x:v>0</x:v>
      </x:c>
      <x:c r="O210" s="214" t="n">
        <x:v>0</x:v>
      </x:c>
      <x:c r="P210" s="215">
        <x:f>ROUND(((K210*M210) - (K210*M210*N210/100)) + (((K210*M210) - (K210*M210*N210/100)) * O210/100), 2)</x:f>
      </x:c>
      <x:c r="Q210" s="216" t="s"/>
      <x:c r="R210" s="216" t="s"/>
      <x:c r="S210" s="81" t="s">
        <x:v>624</x:v>
      </x:c>
      <x:c r="T210" s="209" t="s"/>
      <x:c r="U210" s="210" t="s"/>
    </x:row>
    <x:row r="211" spans="1:23">
      <x:c r="A211" s="76" t="n">
        <x:v>191</x:v>
      </x:c>
      <x:c r="B211" s="76" t="n">
        <x:v>5210760</x:v>
      </x:c>
      <x:c r="C211" s="77" t="s">
        <x:v>625</x:v>
      </x:c>
      <x:c r="D211" s="78" t="s">
        <x:v>626</x:v>
      </x:c>
      <x:c r="E211" s="79" t="s"/>
      <x:c r="F211" s="77" t="s"/>
      <x:c r="G211" s="92" t="n">
        <x:v>1</x:v>
      </x:c>
      <x:c r="H211" s="77" t="s">
        <x:v>154</x:v>
      </x:c>
      <x:c r="I211" s="77" t="s">
        <x:v>72</x:v>
      </x:c>
      <x:c r="J211" s="79" t="n">
        <x:v>1.7</x:v>
      </x:c>
      <x:c r="K211" s="211" t="n">
        <x:v>20</x:v>
      </x:c>
      <x:c r="L211" s="212" t="s"/>
      <x:c r="M211" s="213" t="n">
        <x:v>1.7</x:v>
      </x:c>
      <x:c r="N211" s="214" t="n">
        <x:v>0</x:v>
      </x:c>
      <x:c r="O211" s="214" t="n">
        <x:v>0</x:v>
      </x:c>
      <x:c r="P211" s="215">
        <x:f>ROUND(((K211*M211) - (K211*M211*N211/100)) + (((K211*M211) - (K211*M211*N211/100)) * O211/100), 2)</x:f>
      </x:c>
      <x:c r="Q211" s="216" t="s"/>
      <x:c r="R211" s="216" t="s"/>
      <x:c r="S211" s="81" t="s">
        <x:v>627</x:v>
      </x:c>
      <x:c r="T211" s="209" t="s"/>
      <x:c r="U211" s="210" t="s"/>
    </x:row>
    <x:row r="212" spans="1:23">
      <x:c r="A212" s="76" t="n">
        <x:v>192</x:v>
      </x:c>
      <x:c r="B212" s="76" t="n">
        <x:v>5210549</x:v>
      </x:c>
      <x:c r="C212" s="77" t="s">
        <x:v>628</x:v>
      </x:c>
      <x:c r="D212" s="78" t="s">
        <x:v>629</x:v>
      </x:c>
      <x:c r="E212" s="79" t="s"/>
      <x:c r="F212" s="77" t="s"/>
      <x:c r="G212" s="92" t="n">
        <x:v>1</x:v>
      </x:c>
      <x:c r="H212" s="77" t="s">
        <x:v>154</x:v>
      </x:c>
      <x:c r="I212" s="77" t="s">
        <x:v>57</x:v>
      </x:c>
      <x:c r="J212" s="79" t="n">
        <x:v>3.42</x:v>
      </x:c>
      <x:c r="K212" s="211" t="n">
        <x:v>350</x:v>
      </x:c>
      <x:c r="L212" s="212" t="s"/>
      <x:c r="M212" s="213" t="n">
        <x:v>3.42</x:v>
      </x:c>
      <x:c r="N212" s="214" t="n">
        <x:v>0</x:v>
      </x:c>
      <x:c r="O212" s="214" t="n">
        <x:v>0</x:v>
      </x:c>
      <x:c r="P212" s="215">
        <x:f>ROUND(((K212*M212) - (K212*M212*N212/100)) + (((K212*M212) - (K212*M212*N212/100)) * O212/100), 2)</x:f>
      </x:c>
      <x:c r="Q212" s="216" t="s"/>
      <x:c r="R212" s="216" t="s"/>
      <x:c r="S212" s="81" t="s">
        <x:v>630</x:v>
      </x:c>
      <x:c r="T212" s="209" t="s"/>
      <x:c r="U212" s="210" t="s"/>
    </x:row>
    <x:row r="213" spans="1:23">
      <x:c r="A213" s="76" t="n">
        <x:v>193</x:v>
      </x:c>
      <x:c r="B213" s="76" t="n">
        <x:v>5211113</x:v>
      </x:c>
      <x:c r="C213" s="77" t="s">
        <x:v>631</x:v>
      </x:c>
      <x:c r="D213" s="78" t="s">
        <x:v>632</x:v>
      </x:c>
      <x:c r="E213" s="79" t="s"/>
      <x:c r="F213" s="77" t="s"/>
      <x:c r="G213" s="92" t="n">
        <x:v>1</x:v>
      </x:c>
      <x:c r="H213" s="77" t="s">
        <x:v>154</x:v>
      </x:c>
      <x:c r="I213" s="77" t="s">
        <x:v>57</x:v>
      </x:c>
      <x:c r="J213" s="79" t="n">
        <x:v>20.21</x:v>
      </x:c>
      <x:c r="K213" s="211" t="n">
        <x:v>150</x:v>
      </x:c>
      <x:c r="L213" s="212" t="s"/>
      <x:c r="M213" s="213" t="n">
        <x:v>20.21</x:v>
      </x:c>
      <x:c r="N213" s="214" t="n">
        <x:v>0</x:v>
      </x:c>
      <x:c r="O213" s="214" t="n">
        <x:v>0</x:v>
      </x:c>
      <x:c r="P213" s="215">
        <x:f>ROUND(((K213*M213) - (K213*M213*N213/100)) + (((K213*M213) - (K213*M213*N213/100)) * O213/100), 2)</x:f>
      </x:c>
      <x:c r="Q213" s="216" t="s"/>
      <x:c r="R213" s="216" t="s"/>
      <x:c r="S213" s="81" t="s">
        <x:v>633</x:v>
      </x:c>
      <x:c r="T213" s="209" t="s"/>
      <x:c r="U213" s="210" t="s"/>
    </x:row>
    <x:row r="214" spans="1:23">
      <x:c r="A214" s="76" t="n">
        <x:v>194</x:v>
      </x:c>
      <x:c r="B214" s="76" t="n">
        <x:v>5210838</x:v>
      </x:c>
      <x:c r="C214" s="77" t="s">
        <x:v>634</x:v>
      </x:c>
      <x:c r="D214" s="78" t="s">
        <x:v>635</x:v>
      </x:c>
      <x:c r="E214" s="79" t="s"/>
      <x:c r="F214" s="77" t="s"/>
      <x:c r="G214" s="92" t="n">
        <x:v>1</x:v>
      </x:c>
      <x:c r="H214" s="77" t="s">
        <x:v>132</x:v>
      </x:c>
      <x:c r="I214" s="77" t="s">
        <x:v>72</x:v>
      </x:c>
      <x:c r="J214" s="79" t="n">
        <x:v>1.95</x:v>
      </x:c>
      <x:c r="K214" s="211" t="n">
        <x:v>60</x:v>
      </x:c>
      <x:c r="L214" s="212" t="s"/>
      <x:c r="M214" s="213" t="n">
        <x:v>1.95</x:v>
      </x:c>
      <x:c r="N214" s="214" t="n">
        <x:v>0</x:v>
      </x:c>
      <x:c r="O214" s="214" t="n">
        <x:v>0</x:v>
      </x:c>
      <x:c r="P214" s="215">
        <x:f>ROUND(((K214*M214) - (K214*M214*N214/100)) + (((K214*M214) - (K214*M214*N214/100)) * O214/100), 2)</x:f>
      </x:c>
      <x:c r="Q214" s="216" t="s"/>
      <x:c r="R214" s="216" t="s"/>
      <x:c r="S214" s="81" t="s">
        <x:v>636</x:v>
      </x:c>
      <x:c r="T214" s="209" t="s"/>
      <x:c r="U214" s="210" t="s"/>
    </x:row>
    <x:row r="215" spans="1:23">
      <x:c r="A215" s="76" t="n">
        <x:v>195</x:v>
      </x:c>
      <x:c r="B215" s="76" t="n">
        <x:v>5997388</x:v>
      </x:c>
      <x:c r="C215" s="77" t="s">
        <x:v>637</x:v>
      </x:c>
      <x:c r="D215" s="78" t="s">
        <x:v>638</x:v>
      </x:c>
      <x:c r="E215" s="79" t="s"/>
      <x:c r="F215" s="77" t="s"/>
      <x:c r="G215" s="92" t="n">
        <x:v>1</x:v>
      </x:c>
      <x:c r="H215" s="77" t="s">
        <x:v>132</x:v>
      </x:c>
      <x:c r="I215" s="77" t="s">
        <x:v>57</x:v>
      </x:c>
      <x:c r="J215" s="79" t="n">
        <x:v>2.06</x:v>
      </x:c>
      <x:c r="K215" s="211" t="n">
        <x:v>24</x:v>
      </x:c>
      <x:c r="L215" s="212" t="s"/>
      <x:c r="M215" s="213" t="n">
        <x:v>2.06</x:v>
      </x:c>
      <x:c r="N215" s="214" t="n">
        <x:v>0</x:v>
      </x:c>
      <x:c r="O215" s="214" t="n">
        <x:v>0</x:v>
      </x:c>
      <x:c r="P215" s="215">
        <x:f>ROUND(((K215*M215) - (K215*M215*N215/100)) + (((K215*M215) - (K215*M215*N215/100)) * O215/100), 2)</x:f>
      </x:c>
      <x:c r="Q215" s="216" t="s"/>
      <x:c r="R215" s="216" t="s"/>
      <x:c r="S215" s="81" t="s">
        <x:v>639</x:v>
      </x:c>
      <x:c r="T215" s="209" t="s"/>
      <x:c r="U215" s="210" t="s"/>
    </x:row>
    <x:row r="216" spans="1:23">
      <x:c r="A216" s="76" t="n">
        <x:v>196</x:v>
      </x:c>
      <x:c r="B216" s="76" t="n">
        <x:v>5210899</x:v>
      </x:c>
      <x:c r="C216" s="77" t="s">
        <x:v>640</x:v>
      </x:c>
      <x:c r="D216" s="78" t="s">
        <x:v>641</x:v>
      </x:c>
      <x:c r="E216" s="79" t="s"/>
      <x:c r="F216" s="77" t="s"/>
      <x:c r="G216" s="92" t="n">
        <x:v>1</x:v>
      </x:c>
      <x:c r="H216" s="77" t="s">
        <x:v>132</x:v>
      </x:c>
      <x:c r="I216" s="77" t="s">
        <x:v>72</x:v>
      </x:c>
      <x:c r="J216" s="79" t="n">
        <x:v>2.63</x:v>
      </x:c>
      <x:c r="K216" s="211" t="n">
        <x:v>36</x:v>
      </x:c>
      <x:c r="L216" s="212" t="s"/>
      <x:c r="M216" s="213" t="n">
        <x:v>2.63</x:v>
      </x:c>
      <x:c r="N216" s="214" t="n">
        <x:v>0</x:v>
      </x:c>
      <x:c r="O216" s="214" t="n">
        <x:v>0</x:v>
      </x:c>
      <x:c r="P216" s="215">
        <x:f>ROUND(((K216*M216) - (K216*M216*N216/100)) + (((K216*M216) - (K216*M216*N216/100)) * O216/100), 2)</x:f>
      </x:c>
      <x:c r="Q216" s="216" t="s"/>
      <x:c r="R216" s="216" t="s"/>
      <x:c r="S216" s="81" t="s">
        <x:v>642</x:v>
      </x:c>
      <x:c r="T216" s="209" t="s"/>
      <x:c r="U216" s="210" t="s"/>
    </x:row>
    <x:row r="217" spans="1:23">
      <x:c r="A217" s="76" t="n">
        <x:v>197</x:v>
      </x:c>
      <x:c r="B217" s="76" t="n">
        <x:v>9121701</x:v>
      </x:c>
      <x:c r="C217" s="77" t="s">
        <x:v>643</x:v>
      </x:c>
      <x:c r="D217" s="78" t="s">
        <x:v>644</x:v>
      </x:c>
      <x:c r="E217" s="79" t="s"/>
      <x:c r="F217" s="77" t="s"/>
      <x:c r="G217" s="92" t="n">
        <x:v>1</x:v>
      </x:c>
      <x:c r="H217" s="77" t="s">
        <x:v>132</x:v>
      </x:c>
      <x:c r="I217" s="77" t="s">
        <x:v>57</x:v>
      </x:c>
      <x:c r="J217" s="79" t="n">
        <x:v>2.84</x:v>
      </x:c>
      <x:c r="K217" s="211" t="n">
        <x:v>24</x:v>
      </x:c>
      <x:c r="L217" s="212" t="s"/>
      <x:c r="M217" s="213" t="n">
        <x:v>2.84</x:v>
      </x:c>
      <x:c r="N217" s="214" t="n">
        <x:v>0</x:v>
      </x:c>
      <x:c r="O217" s="214" t="n">
        <x:v>0</x:v>
      </x:c>
      <x:c r="P217" s="215">
        <x:f>ROUND(((K217*M217) - (K217*M217*N217/100)) + (((K217*M217) - (K217*M217*N217/100)) * O217/100), 2)</x:f>
      </x:c>
      <x:c r="Q217" s="216" t="s"/>
      <x:c r="R217" s="216" t="s"/>
      <x:c r="S217" s="81" t="s">
        <x:v>645</x:v>
      </x:c>
      <x:c r="T217" s="209" t="s"/>
      <x:c r="U217" s="210" t="s"/>
    </x:row>
    <x:row r="218" spans="1:23">
      <x:c r="A218" s="76" t="n">
        <x:v>198</x:v>
      </x:c>
      <x:c r="B218" s="76" t="n">
        <x:v>5210988</x:v>
      </x:c>
      <x:c r="C218" s="77" t="s">
        <x:v>646</x:v>
      </x:c>
      <x:c r="D218" s="78" t="s">
        <x:v>647</x:v>
      </x:c>
      <x:c r="E218" s="79" t="s"/>
      <x:c r="F218" s="77" t="s"/>
      <x:c r="G218" s="92" t="n">
        <x:v>1</x:v>
      </x:c>
      <x:c r="H218" s="77" t="s">
        <x:v>132</x:v>
      </x:c>
      <x:c r="I218" s="77" t="s">
        <x:v>57</x:v>
      </x:c>
      <x:c r="J218" s="79" t="n">
        <x:v>1.95</x:v>
      </x:c>
      <x:c r="K218" s="211" t="n">
        <x:v>24</x:v>
      </x:c>
      <x:c r="L218" s="212" t="s"/>
      <x:c r="M218" s="213" t="n">
        <x:v>1.95</x:v>
      </x:c>
      <x:c r="N218" s="214" t="n">
        <x:v>0</x:v>
      </x:c>
      <x:c r="O218" s="214" t="n">
        <x:v>0</x:v>
      </x:c>
      <x:c r="P218" s="215">
        <x:f>ROUND(((K218*M218) - (K218*M218*N218/100)) + (((K218*M218) - (K218*M218*N218/100)) * O218/100), 2)</x:f>
      </x:c>
      <x:c r="Q218" s="216" t="s"/>
      <x:c r="R218" s="216" t="s"/>
      <x:c r="S218" s="81" t="s">
        <x:v>636</x:v>
      </x:c>
      <x:c r="T218" s="209" t="s"/>
      <x:c r="U218" s="210" t="s"/>
    </x:row>
    <x:row r="219" spans="1:23">
      <x:c r="A219" s="76" t="n">
        <x:v>199</x:v>
      </x:c>
      <x:c r="B219" s="76" t="n">
        <x:v>5210989</x:v>
      </x:c>
      <x:c r="C219" s="77" t="s">
        <x:v>648</x:v>
      </x:c>
      <x:c r="D219" s="78" t="s">
        <x:v>649</x:v>
      </x:c>
      <x:c r="E219" s="79" t="s"/>
      <x:c r="F219" s="77" t="s"/>
      <x:c r="G219" s="92" t="n">
        <x:v>1</x:v>
      </x:c>
      <x:c r="H219" s="77" t="s">
        <x:v>132</x:v>
      </x:c>
      <x:c r="I219" s="77" t="s">
        <x:v>57</x:v>
      </x:c>
      <x:c r="J219" s="79" t="n">
        <x:v>1.95</x:v>
      </x:c>
      <x:c r="K219" s="211" t="n">
        <x:v>48</x:v>
      </x:c>
      <x:c r="L219" s="212" t="s"/>
      <x:c r="M219" s="213" t="n">
        <x:v>1.95</x:v>
      </x:c>
      <x:c r="N219" s="214" t="n">
        <x:v>0</x:v>
      </x:c>
      <x:c r="O219" s="214" t="n">
        <x:v>0</x:v>
      </x:c>
      <x:c r="P219" s="215">
        <x:f>ROUND(((K219*M219) - (K219*M219*N219/100)) + (((K219*M219) - (K219*M219*N219/100)) * O219/100), 2)</x:f>
      </x:c>
      <x:c r="Q219" s="216" t="s"/>
      <x:c r="R219" s="216" t="s"/>
      <x:c r="S219" s="81" t="s">
        <x:v>636</x:v>
      </x:c>
      <x:c r="T219" s="209" t="s"/>
      <x:c r="U219" s="210" t="s"/>
    </x:row>
    <x:row r="220" spans="1:23">
      <x:c r="A220" s="76" t="n">
        <x:v>200</x:v>
      </x:c>
      <x:c r="B220" s="76" t="n">
        <x:v>5210994</x:v>
      </x:c>
      <x:c r="C220" s="77" t="s">
        <x:v>650</x:v>
      </x:c>
      <x:c r="D220" s="78" t="s">
        <x:v>651</x:v>
      </x:c>
      <x:c r="E220" s="79" t="s"/>
      <x:c r="F220" s="77" t="s"/>
      <x:c r="G220" s="92" t="n">
        <x:v>1</x:v>
      </x:c>
      <x:c r="H220" s="77" t="s">
        <x:v>132</x:v>
      </x:c>
      <x:c r="I220" s="77" t="s">
        <x:v>57</x:v>
      </x:c>
      <x:c r="J220" s="79" t="n">
        <x:v>1.95</x:v>
      </x:c>
      <x:c r="K220" s="211" t="n">
        <x:v>48</x:v>
      </x:c>
      <x:c r="L220" s="212" t="s"/>
      <x:c r="M220" s="213" t="n">
        <x:v>1.95</x:v>
      </x:c>
      <x:c r="N220" s="214" t="n">
        <x:v>0</x:v>
      </x:c>
      <x:c r="O220" s="214" t="n">
        <x:v>0</x:v>
      </x:c>
      <x:c r="P220" s="215">
        <x:f>ROUND(((K220*M220) - (K220*M220*N220/100)) + (((K220*M220) - (K220*M220*N220/100)) * O220/100), 2)</x:f>
      </x:c>
      <x:c r="Q220" s="216" t="s"/>
      <x:c r="R220" s="216" t="s"/>
      <x:c r="S220" s="81" t="s">
        <x:v>636</x:v>
      </x:c>
      <x:c r="T220" s="209" t="s"/>
      <x:c r="U220" s="210" t="s"/>
    </x:row>
    <x:row r="221" spans="1:23">
      <x:c r="A221" s="76" t="n">
        <x:v>201</x:v>
      </x:c>
      <x:c r="B221" s="76" t="n">
        <x:v>5211034</x:v>
      </x:c>
      <x:c r="C221" s="77" t="s">
        <x:v>652</x:v>
      </x:c>
      <x:c r="D221" s="78" t="s">
        <x:v>653</x:v>
      </x:c>
      <x:c r="E221" s="79" t="s"/>
      <x:c r="F221" s="77" t="s"/>
      <x:c r="G221" s="92" t="n">
        <x:v>1</x:v>
      </x:c>
      <x:c r="H221" s="77" t="s">
        <x:v>132</x:v>
      </x:c>
      <x:c r="I221" s="77" t="s">
        <x:v>57</x:v>
      </x:c>
      <x:c r="J221" s="79" t="n">
        <x:v>1.95</x:v>
      </x:c>
      <x:c r="K221" s="211" t="n">
        <x:v>60</x:v>
      </x:c>
      <x:c r="L221" s="212" t="s"/>
      <x:c r="M221" s="213" t="n">
        <x:v>1.95</x:v>
      </x:c>
      <x:c r="N221" s="214" t="n">
        <x:v>0</x:v>
      </x:c>
      <x:c r="O221" s="214" t="n">
        <x:v>0</x:v>
      </x:c>
      <x:c r="P221" s="215">
        <x:f>ROUND(((K221*M221) - (K221*M221*N221/100)) + (((K221*M221) - (K221*M221*N221/100)) * O221/100), 2)</x:f>
      </x:c>
      <x:c r="Q221" s="216" t="s"/>
      <x:c r="R221" s="216" t="s"/>
      <x:c r="S221" s="81" t="s">
        <x:v>636</x:v>
      </x:c>
      <x:c r="T221" s="209" t="s"/>
      <x:c r="U221" s="210" t="s"/>
    </x:row>
    <x:row r="222" spans="1:23">
      <x:c r="A222" s="76" t="n">
        <x:v>202</x:v>
      </x:c>
      <x:c r="B222" s="76" t="n">
        <x:v>5211049</x:v>
      </x:c>
      <x:c r="C222" s="77" t="s">
        <x:v>654</x:v>
      </x:c>
      <x:c r="D222" s="78" t="s">
        <x:v>655</x:v>
      </x:c>
      <x:c r="E222" s="79" t="s"/>
      <x:c r="F222" s="77" t="s"/>
      <x:c r="G222" s="92" t="n">
        <x:v>1</x:v>
      </x:c>
      <x:c r="H222" s="77" t="s">
        <x:v>132</x:v>
      </x:c>
      <x:c r="I222" s="77" t="s">
        <x:v>57</x:v>
      </x:c>
      <x:c r="J222" s="79" t="n">
        <x:v>1.95</x:v>
      </x:c>
      <x:c r="K222" s="211" t="n">
        <x:v>60</x:v>
      </x:c>
      <x:c r="L222" s="212" t="s"/>
      <x:c r="M222" s="213" t="n">
        <x:v>1.95</x:v>
      </x:c>
      <x:c r="N222" s="214" t="n">
        <x:v>0</x:v>
      </x:c>
      <x:c r="O222" s="214" t="n">
        <x:v>0</x:v>
      </x:c>
      <x:c r="P222" s="215">
        <x:f>ROUND(((K222*M222) - (K222*M222*N222/100)) + (((K222*M222) - (K222*M222*N222/100)) * O222/100), 2)</x:f>
      </x:c>
      <x:c r="Q222" s="216" t="s"/>
      <x:c r="R222" s="216" t="s"/>
      <x:c r="S222" s="81" t="s">
        <x:v>636</x:v>
      </x:c>
      <x:c r="T222" s="209" t="s"/>
      <x:c r="U222" s="210" t="s"/>
    </x:row>
    <x:row r="223" spans="1:23">
      <x:c r="A223" s="76" t="n">
        <x:v>203</x:v>
      </x:c>
      <x:c r="B223" s="76" t="n">
        <x:v>5211053</x:v>
      </x:c>
      <x:c r="C223" s="77" t="s">
        <x:v>656</x:v>
      </x:c>
      <x:c r="D223" s="78" t="s">
        <x:v>657</x:v>
      </x:c>
      <x:c r="E223" s="79" t="s"/>
      <x:c r="F223" s="77" t="s"/>
      <x:c r="G223" s="92" t="n">
        <x:v>1</x:v>
      </x:c>
      <x:c r="H223" s="77" t="s">
        <x:v>132</x:v>
      </x:c>
      <x:c r="I223" s="77" t="s">
        <x:v>72</x:v>
      </x:c>
      <x:c r="J223" s="79" t="n">
        <x:v>1.95</x:v>
      </x:c>
      <x:c r="K223" s="211" t="n">
        <x:v>60</x:v>
      </x:c>
      <x:c r="L223" s="212" t="s"/>
      <x:c r="M223" s="213" t="n">
        <x:v>1.95</x:v>
      </x:c>
      <x:c r="N223" s="214" t="n">
        <x:v>0</x:v>
      </x:c>
      <x:c r="O223" s="214" t="n">
        <x:v>0</x:v>
      </x:c>
      <x:c r="P223" s="215">
        <x:f>ROUND(((K223*M223) - (K223*M223*N223/100)) + (((K223*M223) - (K223*M223*N223/100)) * O223/100), 2)</x:f>
      </x:c>
      <x:c r="Q223" s="216" t="s"/>
      <x:c r="R223" s="216" t="s"/>
      <x:c r="S223" s="81" t="s">
        <x:v>636</x:v>
      </x:c>
      <x:c r="T223" s="209" t="s"/>
      <x:c r="U223" s="210" t="s"/>
    </x:row>
    <x:row r="224" spans="1:23">
      <x:c r="A224" s="76" t="n">
        <x:v>204</x:v>
      </x:c>
      <x:c r="B224" s="76" t="n">
        <x:v>5211065</x:v>
      </x:c>
      <x:c r="C224" s="77" t="s">
        <x:v>658</x:v>
      </x:c>
      <x:c r="D224" s="78" t="s">
        <x:v>659</x:v>
      </x:c>
      <x:c r="E224" s="79" t="s"/>
      <x:c r="F224" s="77" t="s"/>
      <x:c r="G224" s="92" t="n">
        <x:v>1</x:v>
      </x:c>
      <x:c r="H224" s="77" t="s">
        <x:v>132</x:v>
      </x:c>
      <x:c r="I224" s="77" t="s">
        <x:v>57</x:v>
      </x:c>
      <x:c r="J224" s="79" t="n">
        <x:v>1.95</x:v>
      </x:c>
      <x:c r="K224" s="211" t="n">
        <x:v>60</x:v>
      </x:c>
      <x:c r="L224" s="212" t="s"/>
      <x:c r="M224" s="213" t="n">
        <x:v>1.95</x:v>
      </x:c>
      <x:c r="N224" s="214" t="n">
        <x:v>0</x:v>
      </x:c>
      <x:c r="O224" s="214" t="n">
        <x:v>0</x:v>
      </x:c>
      <x:c r="P224" s="215">
        <x:f>ROUND(((K224*M224) - (K224*M224*N224/100)) + (((K224*M224) - (K224*M224*N224/100)) * O224/100), 2)</x:f>
      </x:c>
      <x:c r="Q224" s="216" t="s"/>
      <x:c r="R224" s="216" t="s"/>
      <x:c r="S224" s="81" t="s">
        <x:v>636</x:v>
      </x:c>
      <x:c r="T224" s="209" t="s"/>
      <x:c r="U224" s="210" t="s"/>
    </x:row>
    <x:row r="225" spans="1:23">
      <x:c r="A225" s="76" t="n">
        <x:v>205</x:v>
      </x:c>
      <x:c r="B225" s="76" t="n">
        <x:v>5211080</x:v>
      </x:c>
      <x:c r="C225" s="77" t="s">
        <x:v>660</x:v>
      </x:c>
      <x:c r="D225" s="78" t="s">
        <x:v>661</x:v>
      </x:c>
      <x:c r="E225" s="79" t="s"/>
      <x:c r="F225" s="77" t="s"/>
      <x:c r="G225" s="92" t="n">
        <x:v>1</x:v>
      </x:c>
      <x:c r="H225" s="77" t="s">
        <x:v>132</x:v>
      </x:c>
      <x:c r="I225" s="77" t="s">
        <x:v>57</x:v>
      </x:c>
      <x:c r="J225" s="79" t="n">
        <x:v>1.13</x:v>
      </x:c>
      <x:c r="K225" s="211" t="n">
        <x:v>36</x:v>
      </x:c>
      <x:c r="L225" s="212" t="s"/>
      <x:c r="M225" s="213" t="n">
        <x:v>1.13</x:v>
      </x:c>
      <x:c r="N225" s="214" t="n">
        <x:v>0</x:v>
      </x:c>
      <x:c r="O225" s="214" t="n">
        <x:v>0</x:v>
      </x:c>
      <x:c r="P225" s="215">
        <x:f>ROUND(((K225*M225) - (K225*M225*N225/100)) + (((K225*M225) - (K225*M225*N225/100)) * O225/100), 2)</x:f>
      </x:c>
      <x:c r="Q225" s="216" t="s"/>
      <x:c r="R225" s="216" t="s"/>
      <x:c r="S225" s="81" t="s">
        <x:v>662</x:v>
      </x:c>
      <x:c r="T225" s="209" t="s"/>
      <x:c r="U225" s="210" t="s"/>
    </x:row>
    <x:row r="226" spans="1:23">
      <x:c r="A226" s="76" t="n">
        <x:v>206</x:v>
      </x:c>
      <x:c r="B226" s="76" t="n">
        <x:v>5211088</x:v>
      </x:c>
      <x:c r="C226" s="77" t="s">
        <x:v>663</x:v>
      </x:c>
      <x:c r="D226" s="78" t="s">
        <x:v>664</x:v>
      </x:c>
      <x:c r="E226" s="79" t="s"/>
      <x:c r="F226" s="77" t="s"/>
      <x:c r="G226" s="92" t="n">
        <x:v>1</x:v>
      </x:c>
      <x:c r="H226" s="77" t="s">
        <x:v>132</x:v>
      </x:c>
      <x:c r="I226" s="77" t="s">
        <x:v>72</x:v>
      </x:c>
      <x:c r="J226" s="79" t="n">
        <x:v>1.95</x:v>
      </x:c>
      <x:c r="K226" s="211" t="n">
        <x:v>36</x:v>
      </x:c>
      <x:c r="L226" s="212" t="s"/>
      <x:c r="M226" s="213" t="n">
        <x:v>1.95</x:v>
      </x:c>
      <x:c r="N226" s="214" t="n">
        <x:v>0</x:v>
      </x:c>
      <x:c r="O226" s="214" t="n">
        <x:v>0</x:v>
      </x:c>
      <x:c r="P226" s="215">
        <x:f>ROUND(((K226*M226) - (K226*M226*N226/100)) + (((K226*M226) - (K226*M226*N226/100)) * O226/100), 2)</x:f>
      </x:c>
      <x:c r="Q226" s="216" t="s"/>
      <x:c r="R226" s="216" t="s"/>
      <x:c r="S226" s="81" t="s">
        <x:v>636</x:v>
      </x:c>
      <x:c r="T226" s="209" t="s"/>
      <x:c r="U226" s="210" t="s"/>
    </x:row>
    <x:row r="227" spans="1:23">
      <x:c r="A227" s="76" t="n">
        <x:v>207</x:v>
      </x:c>
      <x:c r="B227" s="76" t="n">
        <x:v>5211172</x:v>
      </x:c>
      <x:c r="C227" s="77" t="s">
        <x:v>665</x:v>
      </x:c>
      <x:c r="D227" s="78" t="s">
        <x:v>666</x:v>
      </x:c>
      <x:c r="E227" s="79" t="s"/>
      <x:c r="F227" s="77" t="s"/>
      <x:c r="G227" s="92" t="n">
        <x:v>1</x:v>
      </x:c>
      <x:c r="H227" s="77" t="s">
        <x:v>132</x:v>
      </x:c>
      <x:c r="I227" s="77" t="s">
        <x:v>57</x:v>
      </x:c>
      <x:c r="J227" s="79" t="n">
        <x:v>1.95</x:v>
      </x:c>
      <x:c r="K227" s="211" t="n">
        <x:v>12</x:v>
      </x:c>
      <x:c r="L227" s="212" t="s"/>
      <x:c r="M227" s="213" t="n">
        <x:v>1.95</x:v>
      </x:c>
      <x:c r="N227" s="214" t="n">
        <x:v>0</x:v>
      </x:c>
      <x:c r="O227" s="214" t="n">
        <x:v>0</x:v>
      </x:c>
      <x:c r="P227" s="215">
        <x:f>ROUND(((K227*M227) - (K227*M227*N227/100)) + (((K227*M227) - (K227*M227*N227/100)) * O227/100), 2)</x:f>
      </x:c>
      <x:c r="Q227" s="216" t="s"/>
      <x:c r="R227" s="216" t="s"/>
      <x:c r="S227" s="81" t="s">
        <x:v>636</x:v>
      </x:c>
      <x:c r="T227" s="209" t="s"/>
      <x:c r="U227" s="210" t="s"/>
    </x:row>
    <x:row r="228" spans="1:23">
      <x:c r="A228" s="76" t="n">
        <x:v>208</x:v>
      </x:c>
      <x:c r="B228" s="76" t="n">
        <x:v>6304250</x:v>
      </x:c>
      <x:c r="C228" s="77" t="s">
        <x:v>667</x:v>
      </x:c>
      <x:c r="D228" s="78" t="s">
        <x:v>668</x:v>
      </x:c>
      <x:c r="E228" s="79" t="s"/>
      <x:c r="F228" s="77" t="s"/>
      <x:c r="G228" s="92" t="n">
        <x:v>1</x:v>
      </x:c>
      <x:c r="H228" s="77" t="s">
        <x:v>68</x:v>
      </x:c>
      <x:c r="I228" s="77" t="s">
        <x:v>72</x:v>
      </x:c>
      <x:c r="J228" s="79" t="n">
        <x:v>1.6</x:v>
      </x:c>
      <x:c r="K228" s="211" t="n">
        <x:v>12</x:v>
      </x:c>
      <x:c r="L228" s="212" t="s"/>
      <x:c r="M228" s="213" t="n">
        <x:v>1.6</x:v>
      </x:c>
      <x:c r="N228" s="214" t="n">
        <x:v>0</x:v>
      </x:c>
      <x:c r="O228" s="214" t="n">
        <x:v>0</x:v>
      </x:c>
      <x:c r="P228" s="215">
        <x:f>ROUND(((K228*M228) - (K228*M228*N228/100)) + (((K228*M228) - (K228*M228*N228/100)) * O228/100), 2)</x:f>
      </x:c>
      <x:c r="Q228" s="216" t="s"/>
      <x:c r="R228" s="216" t="s"/>
      <x:c r="S228" s="81" t="s">
        <x:v>669</x:v>
      </x:c>
      <x:c r="T228" s="209" t="s"/>
      <x:c r="U228" s="210" t="s"/>
    </x:row>
    <x:row r="229" spans="1:23">
      <x:c r="A229" s="76" t="n">
        <x:v>209</x:v>
      </x:c>
      <x:c r="B229" s="76" t="n">
        <x:v>5210830</x:v>
      </x:c>
      <x:c r="C229" s="77" t="s">
        <x:v>670</x:v>
      </x:c>
      <x:c r="D229" s="78" t="s">
        <x:v>671</x:v>
      </x:c>
      <x:c r="E229" s="79" t="s"/>
      <x:c r="F229" s="77" t="s"/>
      <x:c r="G229" s="92" t="n">
        <x:v>1</x:v>
      </x:c>
      <x:c r="H229" s="77" t="s">
        <x:v>154</x:v>
      </x:c>
      <x:c r="I229" s="77" t="s">
        <x:v>57</x:v>
      </x:c>
      <x:c r="J229" s="79" t="n">
        <x:v>29.33</x:v>
      </x:c>
      <x:c r="K229" s="211" t="n">
        <x:v>4</x:v>
      </x:c>
      <x:c r="L229" s="212" t="s"/>
      <x:c r="M229" s="213" t="n">
        <x:v>29.33</x:v>
      </x:c>
      <x:c r="N229" s="214" t="n">
        <x:v>0</x:v>
      </x:c>
      <x:c r="O229" s="214" t="n">
        <x:v>0</x:v>
      </x:c>
      <x:c r="P229" s="215">
        <x:f>ROUND(((K229*M229) - (K229*M229*N229/100)) + (((K229*M229) - (K229*M229*N229/100)) * O229/100), 2)</x:f>
      </x:c>
      <x:c r="Q229" s="216" t="s"/>
      <x:c r="R229" s="216" t="s"/>
      <x:c r="S229" s="81" t="s">
        <x:v>672</x:v>
      </x:c>
      <x:c r="T229" s="209" t="s"/>
      <x:c r="U229" s="210" t="s"/>
    </x:row>
    <x:row r="230" spans="1:23">
      <x:c r="A230" s="76" t="n">
        <x:v>210</x:v>
      </x:c>
      <x:c r="B230" s="76" t="n">
        <x:v>5802863</x:v>
      </x:c>
      <x:c r="C230" s="77" t="s">
        <x:v>673</x:v>
      </x:c>
      <x:c r="D230" s="78" t="s">
        <x:v>674</x:v>
      </x:c>
      <x:c r="E230" s="79" t="s"/>
      <x:c r="F230" s="77" t="s"/>
      <x:c r="G230" s="92" t="n">
        <x:v>1</x:v>
      </x:c>
      <x:c r="H230" s="77" t="s">
        <x:v>154</x:v>
      </x:c>
      <x:c r="I230" s="77" t="s">
        <x:v>57</x:v>
      </x:c>
      <x:c r="J230" s="79" t="n">
        <x:v>5.1</x:v>
      </x:c>
      <x:c r="K230" s="211" t="n">
        <x:v>16</x:v>
      </x:c>
      <x:c r="L230" s="212" t="s"/>
      <x:c r="M230" s="213" t="n">
        <x:v>5.1</x:v>
      </x:c>
      <x:c r="N230" s="214" t="n">
        <x:v>0</x:v>
      </x:c>
      <x:c r="O230" s="214" t="n">
        <x:v>0</x:v>
      </x:c>
      <x:c r="P230" s="215">
        <x:f>ROUND(((K230*M230) - (K230*M230*N230/100)) + (((K230*M230) - (K230*M230*N230/100)) * O230/100), 2)</x:f>
      </x:c>
      <x:c r="Q230" s="216" t="s"/>
      <x:c r="R230" s="216" t="s"/>
      <x:c r="S230" s="81" t="s">
        <x:v>675</x:v>
      </x:c>
      <x:c r="T230" s="209" t="s"/>
      <x:c r="U230" s="210" t="s"/>
    </x:row>
    <x:row r="231" spans="1:23">
      <x:c r="A231" s="76" t="n">
        <x:v>211</x:v>
      </x:c>
      <x:c r="B231" s="76" t="n">
        <x:v>5317262</x:v>
      </x:c>
      <x:c r="C231" s="77" t="s">
        <x:v>676</x:v>
      </x:c>
      <x:c r="D231" s="78" t="s">
        <x:v>677</x:v>
      </x:c>
      <x:c r="E231" s="79" t="s"/>
      <x:c r="F231" s="77" t="s"/>
      <x:c r="G231" s="92" t="n">
        <x:v>1</x:v>
      </x:c>
      <x:c r="H231" s="77" t="s">
        <x:v>154</x:v>
      </x:c>
      <x:c r="I231" s="77" t="s">
        <x:v>678</x:v>
      </x:c>
      <x:c r="J231" s="79" t="n">
        <x:v>5.67</x:v>
      </x:c>
      <x:c r="K231" s="211" t="n">
        <x:v>10</x:v>
      </x:c>
      <x:c r="L231" s="212" t="s"/>
      <x:c r="M231" s="213" t="n">
        <x:v>5.67</x:v>
      </x:c>
      <x:c r="N231" s="214" t="n">
        <x:v>0</x:v>
      </x:c>
      <x:c r="O231" s="214" t="n">
        <x:v>0</x:v>
      </x:c>
      <x:c r="P231" s="215">
        <x:f>ROUND(((K231*M231) - (K231*M231*N231/100)) + (((K231*M231) - (K231*M231*N231/100)) * O231/100), 2)</x:f>
      </x:c>
      <x:c r="Q231" s="216" t="s"/>
      <x:c r="R231" s="216" t="s"/>
      <x:c r="S231" s="81" t="s">
        <x:v>679</x:v>
      </x:c>
      <x:c r="T231" s="209" t="s"/>
      <x:c r="U231" s="210" t="s"/>
    </x:row>
    <x:row r="232" spans="1:23">
      <x:c r="A232" s="76" t="n">
        <x:v>212</x:v>
      </x:c>
      <x:c r="B232" s="76" t="n">
        <x:v>5688806</x:v>
      </x:c>
      <x:c r="C232" s="77" t="s">
        <x:v>680</x:v>
      </x:c>
      <x:c r="D232" s="78" t="s">
        <x:v>681</x:v>
      </x:c>
      <x:c r="E232" s="79" t="s"/>
      <x:c r="F232" s="77" t="s"/>
      <x:c r="G232" s="92" t="n">
        <x:v>1</x:v>
      </x:c>
      <x:c r="H232" s="77" t="s">
        <x:v>68</x:v>
      </x:c>
      <x:c r="I232" s="77" t="s">
        <x:v>57</x:v>
      </x:c>
      <x:c r="J232" s="79" t="n">
        <x:v>1.03</x:v>
      </x:c>
      <x:c r="K232" s="211" t="n">
        <x:v>50</x:v>
      </x:c>
      <x:c r="L232" s="212" t="s"/>
      <x:c r="M232" s="213" t="n">
        <x:v>1.03</x:v>
      </x:c>
      <x:c r="N232" s="214" t="n">
        <x:v>0</x:v>
      </x:c>
      <x:c r="O232" s="214" t="n">
        <x:v>0</x:v>
      </x:c>
      <x:c r="P232" s="215">
        <x:f>ROUND(((K232*M232) - (K232*M232*N232/100)) + (((K232*M232) - (K232*M232*N232/100)) * O232/100), 2)</x:f>
      </x:c>
      <x:c r="Q232" s="216" t="s"/>
      <x:c r="R232" s="216" t="s"/>
      <x:c r="S232" s="81" t="s">
        <x:v>682</x:v>
      </x:c>
      <x:c r="T232" s="209" t="s"/>
      <x:c r="U232" s="210" t="s"/>
    </x:row>
    <x:row r="233" spans="1:23">
      <x:c r="A233" s="76" t="n">
        <x:v>213</x:v>
      </x:c>
      <x:c r="B233" s="76" t="n">
        <x:v>5211294</x:v>
      </x:c>
      <x:c r="C233" s="77" t="s">
        <x:v>683</x:v>
      </x:c>
      <x:c r="D233" s="78" t="s">
        <x:v>684</x:v>
      </x:c>
      <x:c r="E233" s="79" t="s"/>
      <x:c r="F233" s="77" t="s"/>
      <x:c r="G233" s="92" t="n">
        <x:v>1</x:v>
      </x:c>
      <x:c r="H233" s="77" t="s">
        <x:v>154</x:v>
      </x:c>
      <x:c r="I233" s="77" t="s">
        <x:v>72</x:v>
      </x:c>
      <x:c r="J233" s="79" t="n">
        <x:v>4.07</x:v>
      </x:c>
      <x:c r="K233" s="211" t="n">
        <x:v>16</x:v>
      </x:c>
      <x:c r="L233" s="212" t="s"/>
      <x:c r="M233" s="213" t="n">
        <x:v>4.07</x:v>
      </x:c>
      <x:c r="N233" s="214" t="n">
        <x:v>0</x:v>
      </x:c>
      <x:c r="O233" s="214" t="n">
        <x:v>0</x:v>
      </x:c>
      <x:c r="P233" s="215">
        <x:f>ROUND(((K233*M233) - (K233*M233*N233/100)) + (((K233*M233) - (K233*M233*N233/100)) * O233/100), 2)</x:f>
      </x:c>
      <x:c r="Q233" s="216" t="s"/>
      <x:c r="R233" s="216" t="s"/>
      <x:c r="S233" s="81" t="s">
        <x:v>685</x:v>
      </x:c>
      <x:c r="T233" s="209" t="s"/>
      <x:c r="U233" s="210" t="s"/>
    </x:row>
    <x:row r="234" spans="1:23">
      <x:c r="A234" s="76" t="n">
        <x:v>214</x:v>
      </x:c>
      <x:c r="B234" s="76" t="n">
        <x:v>5317833</x:v>
      </x:c>
      <x:c r="C234" s="77" t="s">
        <x:v>686</x:v>
      </x:c>
      <x:c r="D234" s="78" t="s">
        <x:v>687</x:v>
      </x:c>
      <x:c r="E234" s="79" t="s"/>
      <x:c r="F234" s="77" t="s"/>
      <x:c r="G234" s="92" t="n">
        <x:v>500</x:v>
      </x:c>
      <x:c r="H234" s="77" t="s">
        <x:v>56</x:v>
      </x:c>
      <x:c r="I234" s="77" t="s">
        <x:v>72</x:v>
      </x:c>
      <x:c r="J234" s="79" t="n">
        <x:v>10.15</x:v>
      </x:c>
      <x:c r="K234" s="211" t="n">
        <x:v>4</x:v>
      </x:c>
      <x:c r="L234" s="212" t="s"/>
      <x:c r="M234" s="213" t="n">
        <x:v>10.15</x:v>
      </x:c>
      <x:c r="N234" s="214" t="n">
        <x:v>0</x:v>
      </x:c>
      <x:c r="O234" s="214" t="n">
        <x:v>0</x:v>
      </x:c>
      <x:c r="P234" s="215">
        <x:f>ROUND(((K234*M234) - (K234*M234*N234/100)) + (((K234*M234) - (K234*M234*N234/100)) * O234/100), 2)</x:f>
      </x:c>
      <x:c r="Q234" s="216" t="s"/>
      <x:c r="R234" s="216" t="s"/>
      <x:c r="S234" s="81" t="s">
        <x:v>688</x:v>
      </x:c>
      <x:c r="T234" s="209" t="s"/>
      <x:c r="U234" s="210" t="s"/>
    </x:row>
    <x:row r="235" spans="1:23">
      <x:c r="A235" s="76" t="n">
        <x:v>215</x:v>
      </x:c>
      <x:c r="B235" s="76" t="n">
        <x:v>5211289</x:v>
      </x:c>
      <x:c r="C235" s="77" t="s">
        <x:v>689</x:v>
      </x:c>
      <x:c r="D235" s="78" t="s">
        <x:v>690</x:v>
      </x:c>
      <x:c r="E235" s="79" t="s"/>
      <x:c r="F235" s="77" t="s"/>
      <x:c r="G235" s="92" t="n">
        <x:v>1</x:v>
      </x:c>
      <x:c r="H235" s="77" t="s">
        <x:v>154</x:v>
      </x:c>
      <x:c r="I235" s="77" t="s">
        <x:v>57</x:v>
      </x:c>
      <x:c r="J235" s="79" t="n">
        <x:v>4.07</x:v>
      </x:c>
      <x:c r="K235" s="211" t="n">
        <x:v>24</x:v>
      </x:c>
      <x:c r="L235" s="212" t="s"/>
      <x:c r="M235" s="213" t="n">
        <x:v>4.07</x:v>
      </x:c>
      <x:c r="N235" s="214" t="n">
        <x:v>0</x:v>
      </x:c>
      <x:c r="O235" s="214" t="n">
        <x:v>0</x:v>
      </x:c>
      <x:c r="P235" s="215">
        <x:f>ROUND(((K235*M235) - (K235*M235*N235/100)) + (((K235*M235) - (K235*M235*N235/100)) * O235/100), 2)</x:f>
      </x:c>
      <x:c r="Q235" s="216" t="s"/>
      <x:c r="R235" s="216" t="s"/>
      <x:c r="S235" s="81" t="s">
        <x:v>685</x:v>
      </x:c>
      <x:c r="T235" s="209" t="s"/>
      <x:c r="U235" s="210" t="s"/>
    </x:row>
    <x:row r="236" spans="1:23">
      <x:c r="A236" s="76" t="n">
        <x:v>216</x:v>
      </x:c>
      <x:c r="B236" s="76" t="n">
        <x:v>5210828</x:v>
      </x:c>
      <x:c r="C236" s="77" t="s">
        <x:v>691</x:v>
      </x:c>
      <x:c r="D236" s="78" t="s">
        <x:v>692</x:v>
      </x:c>
      <x:c r="E236" s="79" t="s"/>
      <x:c r="F236" s="77" t="s"/>
      <x:c r="G236" s="92" t="n">
        <x:v>500</x:v>
      </x:c>
      <x:c r="H236" s="77" t="s">
        <x:v>154</x:v>
      </x:c>
      <x:c r="I236" s="77" t="s">
        <x:v>57</x:v>
      </x:c>
      <x:c r="J236" s="79" t="n">
        <x:v>7.01</x:v>
      </x:c>
      <x:c r="K236" s="211" t="n">
        <x:v>15</x:v>
      </x:c>
      <x:c r="L236" s="212" t="s"/>
      <x:c r="M236" s="213" t="n">
        <x:v>7.01</x:v>
      </x:c>
      <x:c r="N236" s="214" t="n">
        <x:v>0</x:v>
      </x:c>
      <x:c r="O236" s="214" t="n">
        <x:v>0</x:v>
      </x:c>
      <x:c r="P236" s="215">
        <x:f>ROUND(((K236*M236) - (K236*M236*N236/100)) + (((K236*M236) - (K236*M236*N236/100)) * O236/100), 2)</x:f>
      </x:c>
      <x:c r="Q236" s="216" t="s"/>
      <x:c r="R236" s="216" t="s"/>
      <x:c r="S236" s="81" t="s">
        <x:v>693</x:v>
      </x:c>
      <x:c r="T236" s="209" t="s"/>
      <x:c r="U236" s="210" t="s"/>
    </x:row>
    <x:row r="237" spans="1:23">
      <x:c r="A237" s="76" t="n">
        <x:v>217</x:v>
      </x:c>
      <x:c r="B237" s="76" t="n">
        <x:v>5211293</x:v>
      </x:c>
      <x:c r="C237" s="77" t="s">
        <x:v>694</x:v>
      </x:c>
      <x:c r="D237" s="78" t="s">
        <x:v>695</x:v>
      </x:c>
      <x:c r="E237" s="79" t="s"/>
      <x:c r="F237" s="77" t="s"/>
      <x:c r="G237" s="92" t="n">
        <x:v>500</x:v>
      </x:c>
      <x:c r="H237" s="77" t="s">
        <x:v>56</x:v>
      </x:c>
      <x:c r="I237" s="77" t="s">
        <x:v>57</x:v>
      </x:c>
      <x:c r="J237" s="79" t="n">
        <x:v>1.8</x:v>
      </x:c>
      <x:c r="K237" s="211" t="n">
        <x:v>10</x:v>
      </x:c>
      <x:c r="L237" s="212" t="s"/>
      <x:c r="M237" s="213" t="n">
        <x:v>1.8</x:v>
      </x:c>
      <x:c r="N237" s="214" t="n">
        <x:v>0</x:v>
      </x:c>
      <x:c r="O237" s="214" t="n">
        <x:v>0</x:v>
      </x:c>
      <x:c r="P237" s="215">
        <x:f>ROUND(((K237*M237) - (K237*M237*N237/100)) + (((K237*M237) - (K237*M237*N237/100)) * O237/100), 2)</x:f>
      </x:c>
      <x:c r="Q237" s="216" t="s"/>
      <x:c r="R237" s="216" t="s"/>
      <x:c r="S237" s="81" t="s">
        <x:v>696</x:v>
      </x:c>
      <x:c r="T237" s="209" t="s"/>
      <x:c r="U237" s="210" t="s"/>
    </x:row>
    <x:row r="238" spans="1:23">
      <x:c r="A238" s="76" t="n">
        <x:v>218</x:v>
      </x:c>
      <x:c r="B238" s="76" t="n">
        <x:v>5210829</x:v>
      </x:c>
      <x:c r="C238" s="77" t="s">
        <x:v>697</x:v>
      </x:c>
      <x:c r="D238" s="78" t="s">
        <x:v>698</x:v>
      </x:c>
      <x:c r="E238" s="79" t="s"/>
      <x:c r="F238" s="77" t="s"/>
      <x:c r="G238" s="92" t="n">
        <x:v>500</x:v>
      </x:c>
      <x:c r="H238" s="77" t="s">
        <x:v>56</x:v>
      </x:c>
      <x:c r="I238" s="77" t="s">
        <x:v>57</x:v>
      </x:c>
      <x:c r="J238" s="79" t="n">
        <x:v>7.01</x:v>
      </x:c>
      <x:c r="K238" s="211" t="n">
        <x:v>10</x:v>
      </x:c>
      <x:c r="L238" s="212" t="s"/>
      <x:c r="M238" s="213" t="n">
        <x:v>7.01</x:v>
      </x:c>
      <x:c r="N238" s="214" t="n">
        <x:v>0</x:v>
      </x:c>
      <x:c r="O238" s="214" t="n">
        <x:v>0</x:v>
      </x:c>
      <x:c r="P238" s="215">
        <x:f>ROUND(((K238*M238) - (K238*M238*N238/100)) + (((K238*M238) - (K238*M238*N238/100)) * O238/100), 2)</x:f>
      </x:c>
      <x:c r="Q238" s="216" t="s"/>
      <x:c r="R238" s="216" t="s"/>
      <x:c r="S238" s="81" t="s">
        <x:v>699</x:v>
      </x:c>
      <x:c r="T238" s="209" t="s"/>
      <x:c r="U238" s="210" t="s"/>
    </x:row>
    <x:row r="239" spans="1:23">
      <x:c r="A239" s="76" t="n">
        <x:v>219</x:v>
      </x:c>
      <x:c r="B239" s="76" t="n">
        <x:v>5211288</x:v>
      </x:c>
      <x:c r="C239" s="77" t="s">
        <x:v>700</x:v>
      </x:c>
      <x:c r="D239" s="78" t="s">
        <x:v>701</x:v>
      </x:c>
      <x:c r="E239" s="79" t="s"/>
      <x:c r="F239" s="77" t="s"/>
      <x:c r="G239" s="92" t="n">
        <x:v>1</x:v>
      </x:c>
      <x:c r="H239" s="77" t="s">
        <x:v>154</x:v>
      </x:c>
      <x:c r="I239" s="77" t="s">
        <x:v>57</x:v>
      </x:c>
      <x:c r="J239" s="79" t="n">
        <x:v>14.12</x:v>
      </x:c>
      <x:c r="K239" s="211" t="n">
        <x:v>1</x:v>
      </x:c>
      <x:c r="L239" s="212" t="s"/>
      <x:c r="M239" s="213" t="n">
        <x:v>14.12</x:v>
      </x:c>
      <x:c r="N239" s="214" t="n">
        <x:v>0</x:v>
      </x:c>
      <x:c r="O239" s="214" t="n">
        <x:v>0</x:v>
      </x:c>
      <x:c r="P239" s="215">
        <x:f>ROUND(((K239*M239) - (K239*M239*N239/100)) + (((K239*M239) - (K239*M239*N239/100)) * O239/100), 2)</x:f>
      </x:c>
      <x:c r="Q239" s="216" t="s"/>
      <x:c r="R239" s="216" t="s"/>
      <x:c r="S239" s="81" t="s">
        <x:v>702</x:v>
      </x:c>
      <x:c r="T239" s="209" t="s"/>
      <x:c r="U239" s="210" t="s"/>
    </x:row>
    <x:row r="240" spans="1:23">
      <x:c r="A240" s="76" t="n">
        <x:v>220</x:v>
      </x:c>
      <x:c r="B240" s="76" t="n">
        <x:v>6511539</x:v>
      </x:c>
      <x:c r="C240" s="77" t="s">
        <x:v>703</x:v>
      </x:c>
      <x:c r="D240" s="78" t="s">
        <x:v>704</x:v>
      </x:c>
      <x:c r="E240" s="79" t="s"/>
      <x:c r="F240" s="77" t="s"/>
      <x:c r="G240" s="92" t="n">
        <x:v>1</x:v>
      </x:c>
      <x:c r="H240" s="77" t="s">
        <x:v>154</x:v>
      </x:c>
      <x:c r="I240" s="77" t="s">
        <x:v>57</x:v>
      </x:c>
      <x:c r="J240" s="79" t="n">
        <x:v>4.43</x:v>
      </x:c>
      <x:c r="K240" s="211" t="n">
        <x:v>3</x:v>
      </x:c>
      <x:c r="L240" s="212" t="s"/>
      <x:c r="M240" s="213" t="n">
        <x:v>4.43</x:v>
      </x:c>
      <x:c r="N240" s="214" t="n">
        <x:v>0</x:v>
      </x:c>
      <x:c r="O240" s="214" t="n">
        <x:v>0</x:v>
      </x:c>
      <x:c r="P240" s="215">
        <x:f>ROUND(((K240*M240) - (K240*M240*N240/100)) + (((K240*M240) - (K240*M240*N240/100)) * O240/100), 2)</x:f>
      </x:c>
      <x:c r="Q240" s="216" t="s"/>
      <x:c r="R240" s="216" t="s"/>
      <x:c r="S240" s="81" t="s">
        <x:v>705</x:v>
      </x:c>
      <x:c r="T240" s="209" t="s"/>
      <x:c r="U240" s="210" t="s"/>
    </x:row>
    <x:row r="241" spans="1:23">
      <x:c r="A241" s="76" t="n">
        <x:v>221</x:v>
      </x:c>
      <x:c r="B241" s="76" t="n">
        <x:v>5210623</x:v>
      </x:c>
      <x:c r="C241" s="77" t="s">
        <x:v>706</x:v>
      </x:c>
      <x:c r="D241" s="78" t="s">
        <x:v>707</x:v>
      </x:c>
      <x:c r="E241" s="79" t="s"/>
      <x:c r="F241" s="77" t="s"/>
      <x:c r="G241" s="92" t="n">
        <x:v>1</x:v>
      </x:c>
      <x:c r="H241" s="77" t="s">
        <x:v>68</x:v>
      </x:c>
      <x:c r="I241" s="77" t="s">
        <x:v>61</x:v>
      </x:c>
      <x:c r="J241" s="79" t="n">
        <x:v>8.35</x:v>
      </x:c>
      <x:c r="K241" s="211" t="n">
        <x:v>6</x:v>
      </x:c>
      <x:c r="L241" s="212" t="s"/>
      <x:c r="M241" s="213" t="n">
        <x:v>8.35</x:v>
      </x:c>
      <x:c r="N241" s="214" t="n">
        <x:v>0</x:v>
      </x:c>
      <x:c r="O241" s="214" t="n">
        <x:v>0</x:v>
      </x:c>
      <x:c r="P241" s="215">
        <x:f>ROUND(((K241*M241) - (K241*M241*N241/100)) + (((K241*M241) - (K241*M241*N241/100)) * O241/100), 2)</x:f>
      </x:c>
      <x:c r="Q241" s="216" t="s"/>
      <x:c r="R241" s="216" t="s"/>
      <x:c r="S241" s="81" t="s">
        <x:v>708</x:v>
      </x:c>
      <x:c r="T241" s="209" t="s"/>
      <x:c r="U241" s="210" t="s"/>
    </x:row>
    <x:row r="242" spans="1:23">
      <x:c r="A242" s="76" t="n">
        <x:v>222</x:v>
      </x:c>
      <x:c r="B242" s="76" t="n">
        <x:v>5711362</x:v>
      </x:c>
      <x:c r="C242" s="77" t="s">
        <x:v>709</x:v>
      </x:c>
      <x:c r="D242" s="78" t="s">
        <x:v>710</x:v>
      </x:c>
      <x:c r="E242" s="79" t="s"/>
      <x:c r="F242" s="77" t="s"/>
      <x:c r="G242" s="92" t="n">
        <x:v>30</x:v>
      </x:c>
      <x:c r="H242" s="77" t="s">
        <x:v>68</x:v>
      </x:c>
      <x:c r="I242" s="77" t="s">
        <x:v>57</x:v>
      </x:c>
      <x:c r="J242" s="79" t="n">
        <x:v>4.69</x:v>
      </x:c>
      <x:c r="K242" s="211" t="n">
        <x:v>4</x:v>
      </x:c>
      <x:c r="L242" s="212" t="s"/>
      <x:c r="M242" s="213" t="n">
        <x:v>4.69</x:v>
      </x:c>
      <x:c r="N242" s="214" t="n">
        <x:v>0</x:v>
      </x:c>
      <x:c r="O242" s="214" t="n">
        <x:v>0</x:v>
      </x:c>
      <x:c r="P242" s="215">
        <x:f>ROUND(((K242*M242) - (K242*M242*N242/100)) + (((K242*M242) - (K242*M242*N242/100)) * O242/100), 2)</x:f>
      </x:c>
      <x:c r="Q242" s="216" t="s"/>
      <x:c r="R242" s="216" t="s"/>
      <x:c r="S242" s="81" t="s">
        <x:v>711</x:v>
      </x:c>
      <x:c r="T242" s="209" t="s"/>
      <x:c r="U242" s="210" t="s"/>
    </x:row>
    <x:row r="243" spans="1:23">
      <x:c r="A243" s="76" t="n">
        <x:v>223</x:v>
      </x:c>
      <x:c r="B243" s="76" t="n">
        <x:v>5317277</x:v>
      </x:c>
      <x:c r="C243" s="77" t="s">
        <x:v>712</x:v>
      </x:c>
      <x:c r="D243" s="78" t="s">
        <x:v>713</x:v>
      </x:c>
      <x:c r="E243" s="79" t="s"/>
      <x:c r="F243" s="77" t="s"/>
      <x:c r="G243" s="92" t="n">
        <x:v>500</x:v>
      </x:c>
      <x:c r="H243" s="77" t="s">
        <x:v>56</x:v>
      </x:c>
      <x:c r="I243" s="77" t="s">
        <x:v>57</x:v>
      </x:c>
      <x:c r="J243" s="79" t="n">
        <x:v>2.84</x:v>
      </x:c>
      <x:c r="K243" s="211" t="n">
        <x:v>4</x:v>
      </x:c>
      <x:c r="L243" s="212" t="s"/>
      <x:c r="M243" s="213" t="n">
        <x:v>2.84</x:v>
      </x:c>
      <x:c r="N243" s="214" t="n">
        <x:v>0</x:v>
      </x:c>
      <x:c r="O243" s="214" t="n">
        <x:v>0</x:v>
      </x:c>
      <x:c r="P243" s="215">
        <x:f>ROUND(((K243*M243) - (K243*M243*N243/100)) + (((K243*M243) - (K243*M243*N243/100)) * O243/100), 2)</x:f>
      </x:c>
      <x:c r="Q243" s="216" t="s"/>
      <x:c r="R243" s="216" t="s"/>
      <x:c r="S243" s="81" t="s">
        <x:v>714</x:v>
      </x:c>
      <x:c r="T243" s="209" t="s"/>
      <x:c r="U243" s="210" t="s"/>
    </x:row>
    <x:row r="244" spans="1:23">
      <x:c r="A244" s="76" t="n">
        <x:v>224</x:v>
      </x:c>
      <x:c r="B244" s="76" t="n">
        <x:v>5211146</x:v>
      </x:c>
      <x:c r="C244" s="77" t="s">
        <x:v>715</x:v>
      </x:c>
      <x:c r="D244" s="78" t="s">
        <x:v>716</x:v>
      </x:c>
      <x:c r="E244" s="79" t="s"/>
      <x:c r="F244" s="77" t="s"/>
      <x:c r="G244" s="92" t="n">
        <x:v>500</x:v>
      </x:c>
      <x:c r="H244" s="77" t="s">
        <x:v>56</x:v>
      </x:c>
      <x:c r="I244" s="77" t="s">
        <x:v>57</x:v>
      </x:c>
      <x:c r="J244" s="79" t="n">
        <x:v>0.7</x:v>
      </x:c>
      <x:c r="K244" s="211" t="n">
        <x:v>15</x:v>
      </x:c>
      <x:c r="L244" s="212" t="s"/>
      <x:c r="M244" s="213" t="n">
        <x:v>0.7</x:v>
      </x:c>
      <x:c r="N244" s="214" t="n">
        <x:v>0</x:v>
      </x:c>
      <x:c r="O244" s="214" t="n">
        <x:v>0</x:v>
      </x:c>
      <x:c r="P244" s="215">
        <x:f>ROUND(((K244*M244) - (K244*M244*N244/100)) + (((K244*M244) - (K244*M244*N244/100)) * O244/100), 2)</x:f>
      </x:c>
      <x:c r="Q244" s="216" t="s"/>
      <x:c r="R244" s="216" t="s"/>
      <x:c r="S244" s="81" t="s">
        <x:v>717</x:v>
      </x:c>
      <x:c r="T244" s="209" t="s"/>
      <x:c r="U244" s="210" t="s"/>
    </x:row>
    <x:row r="245" spans="1:23">
      <x:c r="A245" s="76" t="n">
        <x:v>225</x:v>
      </x:c>
      <x:c r="B245" s="76" t="n">
        <x:v>5210833</x:v>
      </x:c>
      <x:c r="C245" s="77" t="s">
        <x:v>718</x:v>
      </x:c>
      <x:c r="D245" s="78" t="s">
        <x:v>719</x:v>
      </x:c>
      <x:c r="E245" s="79" t="s"/>
      <x:c r="F245" s="77" t="s"/>
      <x:c r="G245" s="92" t="n">
        <x:v>100</x:v>
      </x:c>
      <x:c r="H245" s="77" t="s">
        <x:v>56</x:v>
      </x:c>
      <x:c r="I245" s="77" t="s">
        <x:v>57</x:v>
      </x:c>
      <x:c r="J245" s="79" t="n">
        <x:v>2.37</x:v>
      </x:c>
      <x:c r="K245" s="211" t="n">
        <x:v>5</x:v>
      </x:c>
      <x:c r="L245" s="212" t="s"/>
      <x:c r="M245" s="213" t="n">
        <x:v>2.37</x:v>
      </x:c>
      <x:c r="N245" s="214" t="n">
        <x:v>0</x:v>
      </x:c>
      <x:c r="O245" s="214" t="n">
        <x:v>0</x:v>
      </x:c>
      <x:c r="P245" s="215">
        <x:f>ROUND(((K245*M245) - (K245*M245*N245/100)) + (((K245*M245) - (K245*M245*N245/100)) * O245/100), 2)</x:f>
      </x:c>
      <x:c r="Q245" s="216" t="s"/>
      <x:c r="R245" s="216" t="s"/>
      <x:c r="S245" s="81" t="s">
        <x:v>720</x:v>
      </x:c>
      <x:c r="T245" s="209" t="s"/>
      <x:c r="U245" s="210" t="s"/>
    </x:row>
    <x:row r="246" spans="1:23">
      <x:c r="A246" s="76" t="n">
        <x:v>226</x:v>
      </x:c>
      <x:c r="B246" s="76" t="n">
        <x:v>5478397</x:v>
      </x:c>
      <x:c r="C246" s="77" t="s">
        <x:v>721</x:v>
      </x:c>
      <x:c r="D246" s="78" t="s">
        <x:v>722</x:v>
      </x:c>
      <x:c r="E246" s="79" t="s"/>
      <x:c r="F246" s="77" t="s"/>
      <x:c r="G246" s="92" t="n">
        <x:v>250</x:v>
      </x:c>
      <x:c r="H246" s="77" t="s">
        <x:v>56</x:v>
      </x:c>
      <x:c r="I246" s="77" t="s">
        <x:v>98</x:v>
      </x:c>
      <x:c r="J246" s="79" t="n">
        <x:v>2.16</x:v>
      </x:c>
      <x:c r="K246" s="211" t="n">
        <x:v>4</x:v>
      </x:c>
      <x:c r="L246" s="212" t="s"/>
      <x:c r="M246" s="213" t="n">
        <x:v>2.16</x:v>
      </x:c>
      <x:c r="N246" s="214" t="n">
        <x:v>0</x:v>
      </x:c>
      <x:c r="O246" s="214" t="n">
        <x:v>0</x:v>
      </x:c>
      <x:c r="P246" s="215">
        <x:f>ROUND(((K246*M246) - (K246*M246*N246/100)) + (((K246*M246) - (K246*M246*N246/100)) * O246/100), 2)</x:f>
      </x:c>
      <x:c r="Q246" s="216" t="s"/>
      <x:c r="R246" s="216" t="s"/>
      <x:c r="S246" s="81" t="s">
        <x:v>723</x:v>
      </x:c>
      <x:c r="T246" s="209" t="s"/>
      <x:c r="U246" s="210" t="s"/>
    </x:row>
    <x:row r="247" spans="1:23">
      <x:c r="A247" s="76" t="n">
        <x:v>227</x:v>
      </x:c>
      <x:c r="B247" s="76" t="n">
        <x:v>5210409</x:v>
      </x:c>
      <x:c r="C247" s="77" t="s">
        <x:v>724</x:v>
      </x:c>
      <x:c r="D247" s="78" t="s">
        <x:v>725</x:v>
      </x:c>
      <x:c r="E247" s="79" t="s"/>
      <x:c r="F247" s="77" t="s"/>
      <x:c r="G247" s="92" t="n">
        <x:v>250</x:v>
      </x:c>
      <x:c r="H247" s="77" t="s">
        <x:v>56</x:v>
      </x:c>
      <x:c r="I247" s="77" t="s">
        <x:v>57</x:v>
      </x:c>
      <x:c r="J247" s="79" t="n">
        <x:v>2.47</x:v>
      </x:c>
      <x:c r="K247" s="211" t="n">
        <x:v>8</x:v>
      </x:c>
      <x:c r="L247" s="212" t="s"/>
      <x:c r="M247" s="213" t="n">
        <x:v>2.47</x:v>
      </x:c>
      <x:c r="N247" s="214" t="n">
        <x:v>0</x:v>
      </x:c>
      <x:c r="O247" s="214" t="n">
        <x:v>0</x:v>
      </x:c>
      <x:c r="P247" s="215">
        <x:f>ROUND(((K247*M247) - (K247*M247*N247/100)) + (((K247*M247) - (K247*M247*N247/100)) * O247/100), 2)</x:f>
      </x:c>
      <x:c r="Q247" s="216" t="s"/>
      <x:c r="R247" s="216" t="s"/>
      <x:c r="S247" s="81" t="s">
        <x:v>726</x:v>
      </x:c>
      <x:c r="T247" s="209" t="s"/>
      <x:c r="U247" s="210" t="s"/>
    </x:row>
    <x:row r="248" spans="1:23">
      <x:c r="A248" s="76" t="n">
        <x:v>228</x:v>
      </x:c>
      <x:c r="B248" s="76" t="n">
        <x:v>5561789</x:v>
      </x:c>
      <x:c r="C248" s="77" t="s">
        <x:v>727</x:v>
      </x:c>
      <x:c r="D248" s="78" t="s">
        <x:v>728</x:v>
      </x:c>
      <x:c r="E248" s="79" t="s"/>
      <x:c r="F248" s="77" t="s"/>
      <x:c r="G248" s="92" t="n">
        <x:v>100</x:v>
      </x:c>
      <x:c r="H248" s="77" t="s">
        <x:v>56</x:v>
      </x:c>
      <x:c r="I248" s="77" t="s">
        <x:v>98</x:v>
      </x:c>
      <x:c r="J248" s="79" t="n">
        <x:v>1.13</x:v>
      </x:c>
      <x:c r="K248" s="211" t="n">
        <x:v>3</x:v>
      </x:c>
      <x:c r="L248" s="212" t="s"/>
      <x:c r="M248" s="213" t="n">
        <x:v>1.13</x:v>
      </x:c>
      <x:c r="N248" s="214" t="n">
        <x:v>0</x:v>
      </x:c>
      <x:c r="O248" s="214" t="n">
        <x:v>0</x:v>
      </x:c>
      <x:c r="P248" s="215">
        <x:f>ROUND(((K248*M248) - (K248*M248*N248/100)) + (((K248*M248) - (K248*M248*N248/100)) * O248/100), 2)</x:f>
      </x:c>
      <x:c r="Q248" s="216" t="s"/>
      <x:c r="R248" s="216" t="s"/>
      <x:c r="S248" s="81" t="s">
        <x:v>729</x:v>
      </x:c>
      <x:c r="T248" s="209" t="s"/>
      <x:c r="U248" s="210" t="s"/>
    </x:row>
    <x:row r="249" spans="1:23">
      <x:c r="A249" s="76" t="n">
        <x:v>229</x:v>
      </x:c>
      <x:c r="B249" s="76" t="n">
        <x:v>5210902</x:v>
      </x:c>
      <x:c r="C249" s="77" t="s">
        <x:v>730</x:v>
      </x:c>
      <x:c r="D249" s="78" t="s">
        <x:v>731</x:v>
      </x:c>
      <x:c r="E249" s="79" t="s"/>
      <x:c r="F249" s="77" t="s"/>
      <x:c r="G249" s="92" t="n">
        <x:v>500</x:v>
      </x:c>
      <x:c r="H249" s="77" t="s">
        <x:v>114</x:v>
      </x:c>
      <x:c r="I249" s="77" t="s">
        <x:v>98</x:v>
      </x:c>
      <x:c r="J249" s="79" t="n">
        <x:v>1.08</x:v>
      </x:c>
      <x:c r="K249" s="211" t="n">
        <x:v>6</x:v>
      </x:c>
      <x:c r="L249" s="212" t="s"/>
      <x:c r="M249" s="213" t="n">
        <x:v>1.08</x:v>
      </x:c>
      <x:c r="N249" s="214" t="n">
        <x:v>0</x:v>
      </x:c>
      <x:c r="O249" s="214" t="n">
        <x:v>0</x:v>
      </x:c>
      <x:c r="P249" s="215">
        <x:f>ROUND(((K249*M249) - (K249*M249*N249/100)) + (((K249*M249) - (K249*M249*N249/100)) * O249/100), 2)</x:f>
      </x:c>
      <x:c r="Q249" s="216" t="s"/>
      <x:c r="R249" s="216" t="s"/>
      <x:c r="S249" s="81" t="s">
        <x:v>732</x:v>
      </x:c>
      <x:c r="T249" s="209" t="s"/>
      <x:c r="U249" s="210" t="s"/>
    </x:row>
    <x:row r="250" spans="1:23">
      <x:c r="A250" s="76" t="n">
        <x:v>230</x:v>
      </x:c>
      <x:c r="B250" s="76" t="n">
        <x:v>5210413</x:v>
      </x:c>
      <x:c r="C250" s="77" t="s">
        <x:v>733</x:v>
      </x:c>
      <x:c r="D250" s="78" t="s">
        <x:v>734</x:v>
      </x:c>
      <x:c r="E250" s="79" t="s"/>
      <x:c r="F250" s="77" t="s"/>
      <x:c r="G250" s="92" t="n">
        <x:v>250</x:v>
      </x:c>
      <x:c r="H250" s="77" t="s">
        <x:v>56</x:v>
      </x:c>
      <x:c r="I250" s="77" t="s">
        <x:v>57</x:v>
      </x:c>
      <x:c r="J250" s="79" t="n">
        <x:v>0.7</x:v>
      </x:c>
      <x:c r="K250" s="211" t="n">
        <x:v>36</x:v>
      </x:c>
      <x:c r="L250" s="212" t="s"/>
      <x:c r="M250" s="213" t="n">
        <x:v>0.7</x:v>
      </x:c>
      <x:c r="N250" s="214" t="n">
        <x:v>0</x:v>
      </x:c>
      <x:c r="O250" s="214" t="n">
        <x:v>0</x:v>
      </x:c>
      <x:c r="P250" s="215">
        <x:f>ROUND(((K250*M250) - (K250*M250*N250/100)) + (((K250*M250) - (K250*M250*N250/100)) * O250/100), 2)</x:f>
      </x:c>
      <x:c r="Q250" s="216" t="s"/>
      <x:c r="R250" s="216" t="s"/>
      <x:c r="S250" s="81" t="s">
        <x:v>735</x:v>
      </x:c>
      <x:c r="T250" s="209" t="s"/>
      <x:c r="U250" s="210" t="s"/>
    </x:row>
    <x:row r="251" spans="1:23">
      <x:c r="A251" s="76" t="n">
        <x:v>231</x:v>
      </x:c>
      <x:c r="B251" s="76" t="n">
        <x:v>7657597</x:v>
      </x:c>
      <x:c r="C251" s="77" t="s">
        <x:v>736</x:v>
      </x:c>
      <x:c r="D251" s="78" t="s">
        <x:v>737</x:v>
      </x:c>
      <x:c r="E251" s="79" t="s"/>
      <x:c r="F251" s="77" t="s"/>
      <x:c r="G251" s="92" t="n">
        <x:v>250</x:v>
      </x:c>
      <x:c r="H251" s="77" t="s">
        <x:v>114</x:v>
      </x:c>
      <x:c r="I251" s="77" t="s">
        <x:v>98</x:v>
      </x:c>
      <x:c r="J251" s="79" t="n">
        <x:v>1.38</x:v>
      </x:c>
      <x:c r="K251" s="211" t="n">
        <x:v>24</x:v>
      </x:c>
      <x:c r="L251" s="212" t="s"/>
      <x:c r="M251" s="213" t="n">
        <x:v>1.38</x:v>
      </x:c>
      <x:c r="N251" s="214" t="n">
        <x:v>0</x:v>
      </x:c>
      <x:c r="O251" s="214" t="n">
        <x:v>0</x:v>
      </x:c>
      <x:c r="P251" s="215">
        <x:f>ROUND(((K251*M251) - (K251*M251*N251/100)) + (((K251*M251) - (K251*M251*N251/100)) * O251/100), 2)</x:f>
      </x:c>
      <x:c r="Q251" s="216" t="s"/>
      <x:c r="R251" s="216" t="s"/>
      <x:c r="S251" s="81" t="s">
        <x:v>738</x:v>
      </x:c>
      <x:c r="T251" s="209" t="s"/>
      <x:c r="U251" s="210" t="s"/>
    </x:row>
    <x:row r="252" spans="1:23">
      <x:c r="A252" s="76" t="n">
        <x:v>232</x:v>
      </x:c>
      <x:c r="B252" s="76" t="n">
        <x:v>5210916</x:v>
      </x:c>
      <x:c r="C252" s="77" t="s">
        <x:v>739</x:v>
      </x:c>
      <x:c r="D252" s="78" t="s">
        <x:v>740</x:v>
      </x:c>
      <x:c r="E252" s="79" t="s"/>
      <x:c r="F252" s="77" t="s"/>
      <x:c r="G252" s="92" t="n">
        <x:v>500</x:v>
      </x:c>
      <x:c r="H252" s="77" t="s">
        <x:v>114</x:v>
      </x:c>
      <x:c r="I252" s="77" t="s">
        <x:v>57</x:v>
      </x:c>
      <x:c r="J252" s="79" t="n">
        <x:v>0.75</x:v>
      </x:c>
      <x:c r="K252" s="211" t="n">
        <x:v>10</x:v>
      </x:c>
      <x:c r="L252" s="212" t="s"/>
      <x:c r="M252" s="213" t="n">
        <x:v>0.75</x:v>
      </x:c>
      <x:c r="N252" s="214" t="n">
        <x:v>0</x:v>
      </x:c>
      <x:c r="O252" s="214" t="n">
        <x:v>0</x:v>
      </x:c>
      <x:c r="P252" s="215">
        <x:f>ROUND(((K252*M252) - (K252*M252*N252/100)) + (((K252*M252) - (K252*M252*N252/100)) * O252/100), 2)</x:f>
      </x:c>
      <x:c r="Q252" s="216" t="s"/>
      <x:c r="R252" s="216" t="s"/>
      <x:c r="S252" s="81" t="s">
        <x:v>741</x:v>
      </x:c>
      <x:c r="T252" s="209" t="s"/>
      <x:c r="U252" s="210" t="s"/>
    </x:row>
    <x:row r="253" spans="1:23">
      <x:c r="A253" s="76" t="n">
        <x:v>233</x:v>
      </x:c>
      <x:c r="B253" s="76" t="n">
        <x:v>5210949</x:v>
      </x:c>
      <x:c r="C253" s="77" t="s">
        <x:v>742</x:v>
      </x:c>
      <x:c r="D253" s="78" t="s">
        <x:v>743</x:v>
      </x:c>
      <x:c r="E253" s="79" t="s"/>
      <x:c r="F253" s="77" t="s"/>
      <x:c r="G253" s="92" t="n">
        <x:v>100</x:v>
      </x:c>
      <x:c r="H253" s="77" t="s">
        <x:v>56</x:v>
      </x:c>
      <x:c r="I253" s="77" t="s">
        <x:v>57</x:v>
      </x:c>
      <x:c r="J253" s="79" t="n">
        <x:v>1.55</x:v>
      </x:c>
      <x:c r="K253" s="211" t="n">
        <x:v>6</x:v>
      </x:c>
      <x:c r="L253" s="212" t="s"/>
      <x:c r="M253" s="213" t="n">
        <x:v>1.55</x:v>
      </x:c>
      <x:c r="N253" s="214" t="n">
        <x:v>0</x:v>
      </x:c>
      <x:c r="O253" s="214" t="n">
        <x:v>0</x:v>
      </x:c>
      <x:c r="P253" s="215">
        <x:f>ROUND(((K253*M253) - (K253*M253*N253/100)) + (((K253*M253) - (K253*M253*N253/100)) * O253/100), 2)</x:f>
      </x:c>
      <x:c r="Q253" s="216" t="s"/>
      <x:c r="R253" s="216" t="s"/>
      <x:c r="S253" s="81" t="s">
        <x:v>744</x:v>
      </x:c>
      <x:c r="T253" s="209" t="s"/>
      <x:c r="U253" s="210" t="s"/>
    </x:row>
    <x:row r="254" spans="1:23">
      <x:c r="A254" s="76" t="n">
        <x:v>234</x:v>
      </x:c>
      <x:c r="B254" s="76" t="n">
        <x:v>5557759</x:v>
      </x:c>
      <x:c r="C254" s="77" t="s">
        <x:v>745</x:v>
      </x:c>
      <x:c r="D254" s="78" t="s">
        <x:v>746</x:v>
      </x:c>
      <x:c r="E254" s="79" t="s"/>
      <x:c r="F254" s="77" t="s"/>
      <x:c r="G254" s="92" t="n">
        <x:v>100</x:v>
      </x:c>
      <x:c r="H254" s="77" t="s">
        <x:v>56</x:v>
      </x:c>
      <x:c r="I254" s="77" t="s">
        <x:v>57</x:v>
      </x:c>
      <x:c r="J254" s="79" t="n">
        <x:v>1.38</x:v>
      </x:c>
      <x:c r="K254" s="211" t="n">
        <x:v>25</x:v>
      </x:c>
      <x:c r="L254" s="212" t="s"/>
      <x:c r="M254" s="213" t="n">
        <x:v>1.38</x:v>
      </x:c>
      <x:c r="N254" s="214" t="n">
        <x:v>0</x:v>
      </x:c>
      <x:c r="O254" s="214" t="n">
        <x:v>0</x:v>
      </x:c>
      <x:c r="P254" s="215">
        <x:f>ROUND(((K254*M254) - (K254*M254*N254/100)) + (((K254*M254) - (K254*M254*N254/100)) * O254/100), 2)</x:f>
      </x:c>
      <x:c r="Q254" s="216" t="s"/>
      <x:c r="R254" s="216" t="s"/>
      <x:c r="S254" s="81" t="s">
        <x:v>747</x:v>
      </x:c>
      <x:c r="T254" s="209" t="s"/>
      <x:c r="U254" s="210" t="s"/>
    </x:row>
    <x:row r="255" spans="1:23">
      <x:c r="A255" s="76" t="n">
        <x:v>235</x:v>
      </x:c>
      <x:c r="B255" s="76" t="n">
        <x:v>5210525</x:v>
      </x:c>
      <x:c r="C255" s="77" t="s">
        <x:v>748</x:v>
      </x:c>
      <x:c r="D255" s="78" t="s">
        <x:v>749</x:v>
      </x:c>
      <x:c r="E255" s="79" t="s"/>
      <x:c r="F255" s="77" t="s"/>
      <x:c r="G255" s="92" t="n">
        <x:v>500</x:v>
      </x:c>
      <x:c r="H255" s="80" t="s">
        <x:v>56</x:v>
      </x:c>
      <x:c r="I255" s="80" t="s"/>
      <x:c r="J255" s="79" t="n">
        <x:v>0</x:v>
      </x:c>
      <x:c r="K255" s="211" t="n">
        <x:v>4</x:v>
      </x:c>
      <x:c r="L255" s="212" t="s"/>
      <x:c r="M255" s="213" t="n">
        <x:v>0</x:v>
      </x:c>
      <x:c r="N255" s="214" t="n">
        <x:v>0</x:v>
      </x:c>
      <x:c r="O255" s="214" t="n">
        <x:v>0</x:v>
      </x:c>
      <x:c r="P255" s="215">
        <x:f>ROUND(((K255*M255) - (K255*M255*N255/100)) + (((K255*M255) - (K255*M255*N255/100)) * O255/100), 2)</x:f>
      </x:c>
      <x:c r="Q255" s="216" t="s"/>
      <x:c r="R255" s="216" t="s"/>
      <x:c r="S255" s="81" t="s"/>
      <x:c r="T255" s="209" t="s"/>
      <x:c r="U255" s="210" t="s"/>
    </x:row>
    <x:row r="256" spans="1:23">
      <x:c r="A256" s="76" t="n">
        <x:v>236</x:v>
      </x:c>
      <x:c r="B256" s="76" t="n">
        <x:v>5210981</x:v>
      </x:c>
      <x:c r="C256" s="77" t="s">
        <x:v>750</x:v>
      </x:c>
      <x:c r="D256" s="78" t="s">
        <x:v>751</x:v>
      </x:c>
      <x:c r="E256" s="79" t="s"/>
      <x:c r="F256" s="77" t="s"/>
      <x:c r="G256" s="92" t="n">
        <x:v>500</x:v>
      </x:c>
      <x:c r="H256" s="77" t="s">
        <x:v>56</x:v>
      </x:c>
      <x:c r="I256" s="77" t="s">
        <x:v>57</x:v>
      </x:c>
      <x:c r="J256" s="79" t="n">
        <x:v>2.63</x:v>
      </x:c>
      <x:c r="K256" s="211" t="n">
        <x:v>6</x:v>
      </x:c>
      <x:c r="L256" s="212" t="s"/>
      <x:c r="M256" s="213" t="n">
        <x:v>2.63</x:v>
      </x:c>
      <x:c r="N256" s="214" t="n">
        <x:v>0</x:v>
      </x:c>
      <x:c r="O256" s="214" t="n">
        <x:v>0</x:v>
      </x:c>
      <x:c r="P256" s="215">
        <x:f>ROUND(((K256*M256) - (K256*M256*N256/100)) + (((K256*M256) - (K256*M256*N256/100)) * O256/100), 2)</x:f>
      </x:c>
      <x:c r="Q256" s="216" t="s"/>
      <x:c r="R256" s="216" t="s"/>
      <x:c r="S256" s="81" t="s">
        <x:v>752</x:v>
      </x:c>
      <x:c r="T256" s="209" t="s"/>
      <x:c r="U256" s="210" t="s"/>
    </x:row>
    <x:row r="257" spans="1:23">
      <x:c r="A257" s="76" t="n">
        <x:v>237</x:v>
      </x:c>
      <x:c r="B257" s="76" t="n">
        <x:v>5210982</x:v>
      </x:c>
      <x:c r="C257" s="77" t="s">
        <x:v>753</x:v>
      </x:c>
      <x:c r="D257" s="78" t="s">
        <x:v>754</x:v>
      </x:c>
      <x:c r="E257" s="79" t="s"/>
      <x:c r="F257" s="77" t="s"/>
      <x:c r="G257" s="92" t="n">
        <x:v>500</x:v>
      </x:c>
      <x:c r="H257" s="77" t="s">
        <x:v>56</x:v>
      </x:c>
      <x:c r="I257" s="77" t="s">
        <x:v>57</x:v>
      </x:c>
      <x:c r="J257" s="79" t="n">
        <x:v>2.16</x:v>
      </x:c>
      <x:c r="K257" s="211" t="n">
        <x:v>3</x:v>
      </x:c>
      <x:c r="L257" s="212" t="s"/>
      <x:c r="M257" s="213" t="n">
        <x:v>2.16</x:v>
      </x:c>
      <x:c r="N257" s="214" t="n">
        <x:v>0</x:v>
      </x:c>
      <x:c r="O257" s="214" t="n">
        <x:v>0</x:v>
      </x:c>
      <x:c r="P257" s="215">
        <x:f>ROUND(((K257*M257) - (K257*M257*N257/100)) + (((K257*M257) - (K257*M257*N257/100)) * O257/100), 2)</x:f>
      </x:c>
      <x:c r="Q257" s="216" t="s"/>
      <x:c r="R257" s="216" t="s"/>
      <x:c r="S257" s="81" t="s">
        <x:v>755</x:v>
      </x:c>
      <x:c r="T257" s="209" t="s"/>
      <x:c r="U257" s="210" t="s"/>
    </x:row>
    <x:row r="258" spans="1:23">
      <x:c r="A258" s="76" t="n">
        <x:v>238</x:v>
      </x:c>
      <x:c r="B258" s="76" t="n">
        <x:v>5477685</x:v>
      </x:c>
      <x:c r="C258" s="77" t="s">
        <x:v>756</x:v>
      </x:c>
      <x:c r="D258" s="78" t="s">
        <x:v>757</x:v>
      </x:c>
      <x:c r="E258" s="79" t="s"/>
      <x:c r="F258" s="77" t="s"/>
      <x:c r="G258" s="92" t="n">
        <x:v>250</x:v>
      </x:c>
      <x:c r="H258" s="77" t="s">
        <x:v>56</x:v>
      </x:c>
      <x:c r="I258" s="77" t="s">
        <x:v>57</x:v>
      </x:c>
      <x:c r="J258" s="79" t="n">
        <x:v>1.65</x:v>
      </x:c>
      <x:c r="K258" s="211" t="n">
        <x:v>4</x:v>
      </x:c>
      <x:c r="L258" s="212" t="s"/>
      <x:c r="M258" s="213" t="n">
        <x:v>1.65</x:v>
      </x:c>
      <x:c r="N258" s="214" t="n">
        <x:v>0</x:v>
      </x:c>
      <x:c r="O258" s="214" t="n">
        <x:v>0</x:v>
      </x:c>
      <x:c r="P258" s="215">
        <x:f>ROUND(((K258*M258) - (K258*M258*N258/100)) + (((K258*M258) - (K258*M258*N258/100)) * O258/100), 2)</x:f>
      </x:c>
      <x:c r="Q258" s="216" t="s"/>
      <x:c r="R258" s="216" t="s"/>
      <x:c r="S258" s="81" t="s">
        <x:v>758</x:v>
      </x:c>
      <x:c r="T258" s="209" t="s"/>
      <x:c r="U258" s="210" t="s"/>
    </x:row>
    <x:row r="259" spans="1:23">
      <x:c r="A259" s="76" t="n">
        <x:v>239</x:v>
      </x:c>
      <x:c r="B259" s="76" t="n">
        <x:v>5210432</x:v>
      </x:c>
      <x:c r="C259" s="77" t="s">
        <x:v>759</x:v>
      </x:c>
      <x:c r="D259" s="78" t="s">
        <x:v>760</x:v>
      </x:c>
      <x:c r="E259" s="79" t="s"/>
      <x:c r="F259" s="77" t="s"/>
      <x:c r="G259" s="92" t="n">
        <x:v>500</x:v>
      </x:c>
      <x:c r="H259" s="77" t="s">
        <x:v>114</x:v>
      </x:c>
      <x:c r="I259" s="77" t="s">
        <x:v>98</x:v>
      </x:c>
      <x:c r="J259" s="79" t="n">
        <x:v>1.65</x:v>
      </x:c>
      <x:c r="K259" s="211" t="n">
        <x:v>6</x:v>
      </x:c>
      <x:c r="L259" s="212" t="s"/>
      <x:c r="M259" s="213" t="n">
        <x:v>1.65</x:v>
      </x:c>
      <x:c r="N259" s="214" t="n">
        <x:v>0</x:v>
      </x:c>
      <x:c r="O259" s="214" t="n">
        <x:v>0</x:v>
      </x:c>
      <x:c r="P259" s="215">
        <x:f>ROUND(((K259*M259) - (K259*M259*N259/100)) + (((K259*M259) - (K259*M259*N259/100)) * O259/100), 2)</x:f>
      </x:c>
      <x:c r="Q259" s="216" t="s"/>
      <x:c r="R259" s="216" t="s"/>
      <x:c r="S259" s="81" t="s">
        <x:v>761</x:v>
      </x:c>
      <x:c r="T259" s="209" t="s"/>
      <x:c r="U259" s="210" t="s"/>
    </x:row>
    <x:row r="260" spans="1:23">
      <x:c r="A260" s="76" t="n">
        <x:v>240</x:v>
      </x:c>
      <x:c r="B260" s="76" t="n">
        <x:v>5477625</x:v>
      </x:c>
      <x:c r="C260" s="77" t="s">
        <x:v>762</x:v>
      </x:c>
      <x:c r="D260" s="78" t="s">
        <x:v>763</x:v>
      </x:c>
      <x:c r="E260" s="79" t="s"/>
      <x:c r="F260" s="77" t="s"/>
      <x:c r="G260" s="92" t="n">
        <x:v>500</x:v>
      </x:c>
      <x:c r="H260" s="77" t="s">
        <x:v>56</x:v>
      </x:c>
      <x:c r="I260" s="77" t="s">
        <x:v>98</x:v>
      </x:c>
      <x:c r="J260" s="79" t="n">
        <x:v>2.11</x:v>
      </x:c>
      <x:c r="K260" s="211" t="n">
        <x:v>3</x:v>
      </x:c>
      <x:c r="L260" s="212" t="s"/>
      <x:c r="M260" s="213" t="n">
        <x:v>2.11</x:v>
      </x:c>
      <x:c r="N260" s="214" t="n">
        <x:v>0</x:v>
      </x:c>
      <x:c r="O260" s="214" t="n">
        <x:v>0</x:v>
      </x:c>
      <x:c r="P260" s="215">
        <x:f>ROUND(((K260*M260) - (K260*M260*N260/100)) + (((K260*M260) - (K260*M260*N260/100)) * O260/100), 2)</x:f>
      </x:c>
      <x:c r="Q260" s="216" t="s"/>
      <x:c r="R260" s="216" t="s"/>
      <x:c r="S260" s="81" t="s">
        <x:v>764</x:v>
      </x:c>
      <x:c r="T260" s="209" t="s"/>
      <x:c r="U260" s="210" t="s"/>
    </x:row>
    <x:row r="261" spans="1:23">
      <x:c r="A261" s="76" t="n">
        <x:v>241</x:v>
      </x:c>
      <x:c r="B261" s="76" t="n">
        <x:v>5210433</x:v>
      </x:c>
      <x:c r="C261" s="77" t="s">
        <x:v>765</x:v>
      </x:c>
      <x:c r="D261" s="78" t="s">
        <x:v>766</x:v>
      </x:c>
      <x:c r="E261" s="79" t="s"/>
      <x:c r="F261" s="77" t="s"/>
      <x:c r="G261" s="92" t="n">
        <x:v>100</x:v>
      </x:c>
      <x:c r="H261" s="77" t="s">
        <x:v>114</x:v>
      </x:c>
      <x:c r="I261" s="77" t="s">
        <x:v>98</x:v>
      </x:c>
      <x:c r="J261" s="79" t="n">
        <x:v>2.06</x:v>
      </x:c>
      <x:c r="K261" s="211" t="n">
        <x:v>8</x:v>
      </x:c>
      <x:c r="L261" s="212" t="s"/>
      <x:c r="M261" s="213" t="n">
        <x:v>2.06</x:v>
      </x:c>
      <x:c r="N261" s="214" t="n">
        <x:v>0</x:v>
      </x:c>
      <x:c r="O261" s="214" t="n">
        <x:v>0</x:v>
      </x:c>
      <x:c r="P261" s="215">
        <x:f>ROUND(((K261*M261) - (K261*M261*N261/100)) + (((K261*M261) - (K261*M261*N261/100)) * O261/100), 2)</x:f>
      </x:c>
      <x:c r="Q261" s="216" t="s"/>
      <x:c r="R261" s="216" t="s"/>
      <x:c r="S261" s="81" t="s">
        <x:v>767</x:v>
      </x:c>
      <x:c r="T261" s="209" t="s"/>
      <x:c r="U261" s="210" t="s"/>
    </x:row>
    <x:row r="262" spans="1:23">
      <x:c r="A262" s="76" t="n">
        <x:v>242</x:v>
      </x:c>
      <x:c r="B262" s="76" t="n">
        <x:v>5210434</x:v>
      </x:c>
      <x:c r="C262" s="77" t="s">
        <x:v>768</x:v>
      </x:c>
      <x:c r="D262" s="78" t="s">
        <x:v>769</x:v>
      </x:c>
      <x:c r="E262" s="79" t="s"/>
      <x:c r="F262" s="77" t="s"/>
      <x:c r="G262" s="92" t="n">
        <x:v>250</x:v>
      </x:c>
      <x:c r="H262" s="77" t="s">
        <x:v>56</x:v>
      </x:c>
      <x:c r="I262" s="77" t="s">
        <x:v>98</x:v>
      </x:c>
      <x:c r="J262" s="79" t="n">
        <x:v>2.42</x:v>
      </x:c>
      <x:c r="K262" s="211" t="n">
        <x:v>12</x:v>
      </x:c>
      <x:c r="L262" s="212" t="s"/>
      <x:c r="M262" s="213" t="n">
        <x:v>2.42</x:v>
      </x:c>
      <x:c r="N262" s="214" t="n">
        <x:v>0</x:v>
      </x:c>
      <x:c r="O262" s="214" t="n">
        <x:v>0</x:v>
      </x:c>
      <x:c r="P262" s="215">
        <x:f>ROUND(((K262*M262) - (K262*M262*N262/100)) + (((K262*M262) - (K262*M262*N262/100)) * O262/100), 2)</x:f>
      </x:c>
      <x:c r="Q262" s="216" t="s"/>
      <x:c r="R262" s="216" t="s"/>
      <x:c r="S262" s="81" t="s">
        <x:v>770</x:v>
      </x:c>
      <x:c r="T262" s="209" t="s"/>
      <x:c r="U262" s="210" t="s"/>
    </x:row>
    <x:row r="263" spans="1:23">
      <x:c r="A263" s="76" t="n">
        <x:v>243</x:v>
      </x:c>
      <x:c r="B263" s="76" t="n">
        <x:v>5210438</x:v>
      </x:c>
      <x:c r="C263" s="77" t="s">
        <x:v>771</x:v>
      </x:c>
      <x:c r="D263" s="78" t="s">
        <x:v>772</x:v>
      </x:c>
      <x:c r="E263" s="79" t="s"/>
      <x:c r="F263" s="77" t="s"/>
      <x:c r="G263" s="92" t="n">
        <x:v>1</x:v>
      </x:c>
      <x:c r="H263" s="77" t="s">
        <x:v>132</x:v>
      </x:c>
      <x:c r="I263" s="77" t="s">
        <x:v>57</x:v>
      </x:c>
      <x:c r="J263" s="79" t="n">
        <x:v>4.59</x:v>
      </x:c>
      <x:c r="K263" s="211" t="n">
        <x:v>1</x:v>
      </x:c>
      <x:c r="L263" s="212" t="s"/>
      <x:c r="M263" s="213" t="n">
        <x:v>4.59</x:v>
      </x:c>
      <x:c r="N263" s="214" t="n">
        <x:v>0</x:v>
      </x:c>
      <x:c r="O263" s="214" t="n">
        <x:v>0</x:v>
      </x:c>
      <x:c r="P263" s="215">
        <x:f>ROUND(((K263*M263) - (K263*M263*N263/100)) + (((K263*M263) - (K263*M263*N263/100)) * O263/100), 2)</x:f>
      </x:c>
      <x:c r="Q263" s="216" t="s"/>
      <x:c r="R263" s="216" t="s"/>
      <x:c r="S263" s="81" t="s">
        <x:v>773</x:v>
      </x:c>
      <x:c r="T263" s="209" t="s"/>
      <x:c r="U263" s="210" t="s"/>
    </x:row>
    <x:row r="264" spans="1:23">
      <x:c r="A264" s="76" t="n">
        <x:v>244</x:v>
      </x:c>
      <x:c r="B264" s="76" t="n">
        <x:v>5235699</x:v>
      </x:c>
      <x:c r="C264" s="77" t="s">
        <x:v>774</x:v>
      </x:c>
      <x:c r="D264" s="78" t="s">
        <x:v>775</x:v>
      </x:c>
      <x:c r="E264" s="79" t="s"/>
      <x:c r="F264" s="77" t="s"/>
      <x:c r="G264" s="92" t="n">
        <x:v>250</x:v>
      </x:c>
      <x:c r="H264" s="77" t="s">
        <x:v>114</x:v>
      </x:c>
      <x:c r="I264" s="77" t="s">
        <x:v>98</x:v>
      </x:c>
      <x:c r="J264" s="79" t="n">
        <x:v>7.89</x:v>
      </x:c>
      <x:c r="K264" s="211" t="n">
        <x:v>8</x:v>
      </x:c>
      <x:c r="L264" s="212" t="s"/>
      <x:c r="M264" s="213" t="n">
        <x:v>7.89</x:v>
      </x:c>
      <x:c r="N264" s="214" t="n">
        <x:v>0</x:v>
      </x:c>
      <x:c r="O264" s="214" t="n">
        <x:v>0</x:v>
      </x:c>
      <x:c r="P264" s="215">
        <x:f>ROUND(((K264*M264) - (K264*M264*N264/100)) + (((K264*M264) - (K264*M264*N264/100)) * O264/100), 2)</x:f>
      </x:c>
      <x:c r="Q264" s="216" t="s"/>
      <x:c r="R264" s="216" t="s"/>
      <x:c r="S264" s="81" t="s">
        <x:v>776</x:v>
      </x:c>
      <x:c r="T264" s="209" t="s"/>
      <x:c r="U264" s="210" t="s"/>
    </x:row>
    <x:row r="265" spans="1:23">
      <x:c r="A265" s="76" t="n">
        <x:v>245</x:v>
      </x:c>
      <x:c r="B265" s="76" t="n">
        <x:v>5210445</x:v>
      </x:c>
      <x:c r="C265" s="77" t="s">
        <x:v>777</x:v>
      </x:c>
      <x:c r="D265" s="78" t="s">
        <x:v>778</x:v>
      </x:c>
      <x:c r="E265" s="79" t="s"/>
      <x:c r="F265" s="77" t="s"/>
      <x:c r="G265" s="92" t="n">
        <x:v>500</x:v>
      </x:c>
      <x:c r="H265" s="77" t="s">
        <x:v>56</x:v>
      </x:c>
      <x:c r="I265" s="77" t="s">
        <x:v>57</x:v>
      </x:c>
      <x:c r="J265" s="79" t="n">
        <x:v>1.33</x:v>
      </x:c>
      <x:c r="K265" s="211" t="n">
        <x:v>15</x:v>
      </x:c>
      <x:c r="L265" s="212" t="s"/>
      <x:c r="M265" s="213" t="n">
        <x:v>1.33</x:v>
      </x:c>
      <x:c r="N265" s="214" t="n">
        <x:v>0</x:v>
      </x:c>
      <x:c r="O265" s="214" t="n">
        <x:v>0</x:v>
      </x:c>
      <x:c r="P265" s="215">
        <x:f>ROUND(((K265*M265) - (K265*M265*N265/100)) + (((K265*M265) - (K265*M265*N265/100)) * O265/100), 2)</x:f>
      </x:c>
      <x:c r="Q265" s="216" t="s"/>
      <x:c r="R265" s="216" t="s"/>
      <x:c r="S265" s="81" t="s">
        <x:v>779</x:v>
      </x:c>
      <x:c r="T265" s="209" t="s"/>
      <x:c r="U265" s="210" t="s"/>
    </x:row>
    <x:row r="266" spans="1:23">
      <x:c r="A266" s="76" t="n">
        <x:v>246</x:v>
      </x:c>
      <x:c r="B266" s="76" t="n">
        <x:v>5211041</x:v>
      </x:c>
      <x:c r="C266" s="77" t="s">
        <x:v>780</x:v>
      </x:c>
      <x:c r="D266" s="78" t="s">
        <x:v>781</x:v>
      </x:c>
      <x:c r="E266" s="79" t="s"/>
      <x:c r="F266" s="77" t="s"/>
      <x:c r="G266" s="92" t="n">
        <x:v>500</x:v>
      </x:c>
      <x:c r="H266" s="77" t="s">
        <x:v>56</x:v>
      </x:c>
      <x:c r="I266" s="77" t="s">
        <x:v>57</x:v>
      </x:c>
      <x:c r="J266" s="79" t="n">
        <x:v>2.73</x:v>
      </x:c>
      <x:c r="K266" s="211" t="n">
        <x:v>2</x:v>
      </x:c>
      <x:c r="L266" s="212" t="s"/>
      <x:c r="M266" s="213" t="n">
        <x:v>2.73</x:v>
      </x:c>
      <x:c r="N266" s="214" t="n">
        <x:v>0</x:v>
      </x:c>
      <x:c r="O266" s="214" t="n">
        <x:v>0</x:v>
      </x:c>
      <x:c r="P266" s="215">
        <x:f>ROUND(((K266*M266) - (K266*M266*N266/100)) + (((K266*M266) - (K266*M266*N266/100)) * O266/100), 2)</x:f>
      </x:c>
      <x:c r="Q266" s="216" t="s"/>
      <x:c r="R266" s="216" t="s"/>
      <x:c r="S266" s="81" t="s">
        <x:v>782</x:v>
      </x:c>
      <x:c r="T266" s="209" t="s"/>
      <x:c r="U266" s="210" t="s"/>
    </x:row>
    <x:row r="267" spans="1:23">
      <x:c r="A267" s="76" t="n">
        <x:v>247</x:v>
      </x:c>
      <x:c r="B267" s="76" t="n">
        <x:v>5557765</x:v>
      </x:c>
      <x:c r="C267" s="77" t="s">
        <x:v>783</x:v>
      </x:c>
      <x:c r="D267" s="78" t="s">
        <x:v>784</x:v>
      </x:c>
      <x:c r="E267" s="79" t="s"/>
      <x:c r="F267" s="77" t="s"/>
      <x:c r="G267" s="92" t="n">
        <x:v>100</x:v>
      </x:c>
      <x:c r="H267" s="77" t="s">
        <x:v>56</x:v>
      </x:c>
      <x:c r="I267" s="77" t="s">
        <x:v>57</x:v>
      </x:c>
      <x:c r="J267" s="79" t="n">
        <x:v>5.31</x:v>
      </x:c>
      <x:c r="K267" s="211" t="n">
        <x:v>10</x:v>
      </x:c>
      <x:c r="L267" s="212" t="s"/>
      <x:c r="M267" s="213" t="n">
        <x:v>5.31</x:v>
      </x:c>
      <x:c r="N267" s="214" t="n">
        <x:v>0</x:v>
      </x:c>
      <x:c r="O267" s="214" t="n">
        <x:v>0</x:v>
      </x:c>
      <x:c r="P267" s="215">
        <x:f>ROUND(((K267*M267) - (K267*M267*N267/100)) + (((K267*M267) - (K267*M267*N267/100)) * O267/100), 2)</x:f>
      </x:c>
      <x:c r="Q267" s="216" t="s"/>
      <x:c r="R267" s="216" t="s"/>
      <x:c r="S267" s="81" t="s">
        <x:v>785</x:v>
      </x:c>
      <x:c r="T267" s="209" t="s"/>
      <x:c r="U267" s="210" t="s"/>
    </x:row>
    <x:row r="268" spans="1:23">
      <x:c r="A268" s="76" t="n">
        <x:v>248</x:v>
      </x:c>
      <x:c r="B268" s="76" t="n">
        <x:v>5210526</x:v>
      </x:c>
      <x:c r="C268" s="77" t="s">
        <x:v>786</x:v>
      </x:c>
      <x:c r="D268" s="78" t="s">
        <x:v>787</x:v>
      </x:c>
      <x:c r="E268" s="79" t="s"/>
      <x:c r="F268" s="77" t="s"/>
      <x:c r="G268" s="92" t="n">
        <x:v>400</x:v>
      </x:c>
      <x:c r="H268" s="77" t="s">
        <x:v>56</x:v>
      </x:c>
      <x:c r="I268" s="77" t="s">
        <x:v>98</x:v>
      </x:c>
      <x:c r="J268" s="79" t="n">
        <x:v>6.24</x:v>
      </x:c>
      <x:c r="K268" s="211" t="n">
        <x:v>24</x:v>
      </x:c>
      <x:c r="L268" s="212" t="s"/>
      <x:c r="M268" s="213" t="n">
        <x:v>6.24</x:v>
      </x:c>
      <x:c r="N268" s="214" t="n">
        <x:v>0</x:v>
      </x:c>
      <x:c r="O268" s="214" t="n">
        <x:v>0</x:v>
      </x:c>
      <x:c r="P268" s="215">
        <x:f>ROUND(((K268*M268) - (K268*M268*N268/100)) + (((K268*M268) - (K268*M268*N268/100)) * O268/100), 2)</x:f>
      </x:c>
      <x:c r="Q268" s="216" t="s"/>
      <x:c r="R268" s="216" t="s"/>
      <x:c r="S268" s="81" t="s">
        <x:v>788</x:v>
      </x:c>
      <x:c r="T268" s="209" t="s"/>
      <x:c r="U268" s="210" t="s"/>
    </x:row>
    <x:row r="269" spans="1:23">
      <x:c r="A269" s="76" t="n">
        <x:v>249</x:v>
      </x:c>
      <x:c r="B269" s="76" t="n">
        <x:v>5210454</x:v>
      </x:c>
      <x:c r="C269" s="77" t="s">
        <x:v>789</x:v>
      </x:c>
      <x:c r="D269" s="78" t="s">
        <x:v>790</x:v>
      </x:c>
      <x:c r="E269" s="79" t="s"/>
      <x:c r="F269" s="77" t="s"/>
      <x:c r="G269" s="92" t="n">
        <x:v>500</x:v>
      </x:c>
      <x:c r="H269" s="77" t="s">
        <x:v>56</x:v>
      </x:c>
      <x:c r="I269" s="77" t="s">
        <x:v>98</x:v>
      </x:c>
      <x:c r="J269" s="79" t="n">
        <x:v>1.24</x:v>
      </x:c>
      <x:c r="K269" s="211" t="n">
        <x:v>5</x:v>
      </x:c>
      <x:c r="L269" s="212" t="s"/>
      <x:c r="M269" s="213" t="n">
        <x:v>1.24</x:v>
      </x:c>
      <x:c r="N269" s="214" t="n">
        <x:v>0</x:v>
      </x:c>
      <x:c r="O269" s="214" t="n">
        <x:v>0</x:v>
      </x:c>
      <x:c r="P269" s="215">
        <x:f>ROUND(((K269*M269) - (K269*M269*N269/100)) + (((K269*M269) - (K269*M269*N269/100)) * O269/100), 2)</x:f>
      </x:c>
      <x:c r="Q269" s="216" t="s"/>
      <x:c r="R269" s="216" t="s"/>
      <x:c r="S269" s="81" t="s">
        <x:v>791</x:v>
      </x:c>
      <x:c r="T269" s="209" t="s"/>
      <x:c r="U269" s="210" t="s"/>
    </x:row>
    <x:row r="270" spans="1:23">
      <x:c r="A270" s="76" t="n">
        <x:v>250</x:v>
      </x:c>
      <x:c r="B270" s="76" t="n">
        <x:v>5210455</x:v>
      </x:c>
      <x:c r="C270" s="77" t="s">
        <x:v>792</x:v>
      </x:c>
      <x:c r="D270" s="78" t="s">
        <x:v>793</x:v>
      </x:c>
      <x:c r="E270" s="79" t="s"/>
      <x:c r="F270" s="77" t="s"/>
      <x:c r="G270" s="92" t="n">
        <x:v>500</x:v>
      </x:c>
      <x:c r="H270" s="77" t="s">
        <x:v>56</x:v>
      </x:c>
      <x:c r="I270" s="77" t="s">
        <x:v>57</x:v>
      </x:c>
      <x:c r="J270" s="79" t="n">
        <x:v>1.75</x:v>
      </x:c>
      <x:c r="K270" s="211" t="n">
        <x:v>5</x:v>
      </x:c>
      <x:c r="L270" s="212" t="s"/>
      <x:c r="M270" s="213" t="n">
        <x:v>1.75</x:v>
      </x:c>
      <x:c r="N270" s="214" t="n">
        <x:v>0</x:v>
      </x:c>
      <x:c r="O270" s="214" t="n">
        <x:v>0</x:v>
      </x:c>
      <x:c r="P270" s="215">
        <x:f>ROUND(((K270*M270) - (K270*M270*N270/100)) + (((K270*M270) - (K270*M270*N270/100)) * O270/100), 2)</x:f>
      </x:c>
      <x:c r="Q270" s="216" t="s"/>
      <x:c r="R270" s="216" t="s"/>
      <x:c r="S270" s="81" t="s">
        <x:v>794</x:v>
      </x:c>
      <x:c r="T270" s="209" t="s"/>
      <x:c r="U270" s="210" t="s"/>
    </x:row>
    <x:row r="271" spans="1:23">
      <x:c r="A271" s="76" t="n">
        <x:v>251</x:v>
      </x:c>
      <x:c r="B271" s="76" t="n">
        <x:v>5210458</x:v>
      </x:c>
      <x:c r="C271" s="77" t="s">
        <x:v>795</x:v>
      </x:c>
      <x:c r="D271" s="78" t="s">
        <x:v>796</x:v>
      </x:c>
      <x:c r="E271" s="79" t="s"/>
      <x:c r="F271" s="77" t="s"/>
      <x:c r="G271" s="92" t="n">
        <x:v>250</x:v>
      </x:c>
      <x:c r="H271" s="77" t="s">
        <x:v>56</x:v>
      </x:c>
      <x:c r="I271" s="77" t="s">
        <x:v>57</x:v>
      </x:c>
      <x:c r="J271" s="79" t="n">
        <x:v>1.19</x:v>
      </x:c>
      <x:c r="K271" s="211" t="n">
        <x:v>5</x:v>
      </x:c>
      <x:c r="L271" s="212" t="s"/>
      <x:c r="M271" s="213" t="n">
        <x:v>1.19</x:v>
      </x:c>
      <x:c r="N271" s="214" t="n">
        <x:v>0</x:v>
      </x:c>
      <x:c r="O271" s="214" t="n">
        <x:v>0</x:v>
      </x:c>
      <x:c r="P271" s="215">
        <x:f>ROUND(((K271*M271) - (K271*M271*N271/100)) + (((K271*M271) - (K271*M271*N271/100)) * O271/100), 2)</x:f>
      </x:c>
      <x:c r="Q271" s="216" t="s"/>
      <x:c r="R271" s="216" t="s"/>
      <x:c r="S271" s="81" t="s">
        <x:v>797</x:v>
      </x:c>
      <x:c r="T271" s="209" t="s"/>
      <x:c r="U271" s="210" t="s"/>
    </x:row>
    <x:row r="272" spans="1:23">
      <x:c r="A272" s="76" t="n">
        <x:v>252</x:v>
      </x:c>
      <x:c r="B272" s="76" t="n">
        <x:v>5210459</x:v>
      </x:c>
      <x:c r="C272" s="77" t="s">
        <x:v>798</x:v>
      </x:c>
      <x:c r="D272" s="78" t="s">
        <x:v>799</x:v>
      </x:c>
      <x:c r="E272" s="79" t="s"/>
      <x:c r="F272" s="77" t="s"/>
      <x:c r="G272" s="92" t="n">
        <x:v>500</x:v>
      </x:c>
      <x:c r="H272" s="77" t="s">
        <x:v>114</x:v>
      </x:c>
      <x:c r="I272" s="77" t="s">
        <x:v>98</x:v>
      </x:c>
      <x:c r="J272" s="79" t="n">
        <x:v>1.08</x:v>
      </x:c>
      <x:c r="K272" s="211" t="n">
        <x:v>8</x:v>
      </x:c>
      <x:c r="L272" s="212" t="s"/>
      <x:c r="M272" s="213" t="n">
        <x:v>1.08</x:v>
      </x:c>
      <x:c r="N272" s="214" t="n">
        <x:v>0</x:v>
      </x:c>
      <x:c r="O272" s="214" t="n">
        <x:v>0</x:v>
      </x:c>
      <x:c r="P272" s="215">
        <x:f>ROUND(((K272*M272) - (K272*M272*N272/100)) + (((K272*M272) - (K272*M272*N272/100)) * O272/100), 2)</x:f>
      </x:c>
      <x:c r="Q272" s="216" t="s"/>
      <x:c r="R272" s="216" t="s"/>
      <x:c r="S272" s="81" t="s">
        <x:v>800</x:v>
      </x:c>
      <x:c r="T272" s="209" t="s"/>
      <x:c r="U272" s="210" t="s"/>
    </x:row>
    <x:row r="273" spans="1:23">
      <x:c r="A273" s="76" t="n">
        <x:v>253</x:v>
      </x:c>
      <x:c r="B273" s="76" t="n">
        <x:v>5557750</x:v>
      </x:c>
      <x:c r="C273" s="77" t="s">
        <x:v>801</x:v>
      </x:c>
      <x:c r="D273" s="78" t="s">
        <x:v>802</x:v>
      </x:c>
      <x:c r="E273" s="79" t="s"/>
      <x:c r="F273" s="77" t="s"/>
      <x:c r="G273" s="92" t="n">
        <x:v>500</x:v>
      </x:c>
      <x:c r="H273" s="77" t="s">
        <x:v>56</x:v>
      </x:c>
      <x:c r="I273" s="77" t="s">
        <x:v>98</x:v>
      </x:c>
      <x:c r="J273" s="79" t="n">
        <x:v>2.84</x:v>
      </x:c>
      <x:c r="K273" s="211" t="n">
        <x:v>10</x:v>
      </x:c>
      <x:c r="L273" s="212" t="s"/>
      <x:c r="M273" s="213" t="n">
        <x:v>2.84</x:v>
      </x:c>
      <x:c r="N273" s="214" t="n">
        <x:v>0</x:v>
      </x:c>
      <x:c r="O273" s="214" t="n">
        <x:v>0</x:v>
      </x:c>
      <x:c r="P273" s="215">
        <x:f>ROUND(((K273*M273) - (K273*M273*N273/100)) + (((K273*M273) - (K273*M273*N273/100)) * O273/100), 2)</x:f>
      </x:c>
      <x:c r="Q273" s="216" t="s"/>
      <x:c r="R273" s="216" t="s"/>
      <x:c r="S273" s="81" t="s">
        <x:v>803</x:v>
      </x:c>
      <x:c r="T273" s="209" t="s"/>
      <x:c r="U273" s="210" t="s"/>
    </x:row>
    <x:row r="274" spans="1:23">
      <x:c r="A274" s="76" t="n">
        <x:v>254</x:v>
      </x:c>
      <x:c r="B274" s="76" t="n">
        <x:v>5210461</x:v>
      </x:c>
      <x:c r="C274" s="77" t="s">
        <x:v>804</x:v>
      </x:c>
      <x:c r="D274" s="78" t="s">
        <x:v>805</x:v>
      </x:c>
      <x:c r="E274" s="79" t="s"/>
      <x:c r="F274" s="77" t="s"/>
      <x:c r="G274" s="92" t="n">
        <x:v>500</x:v>
      </x:c>
      <x:c r="H274" s="77" t="s">
        <x:v>56</x:v>
      </x:c>
      <x:c r="I274" s="77" t="s">
        <x:v>57</x:v>
      </x:c>
      <x:c r="J274" s="79" t="n">
        <x:v>1.6</x:v>
      </x:c>
      <x:c r="K274" s="211" t="n">
        <x:v>10</x:v>
      </x:c>
      <x:c r="L274" s="212" t="s"/>
      <x:c r="M274" s="213" t="n">
        <x:v>1.6</x:v>
      </x:c>
      <x:c r="N274" s="214" t="n">
        <x:v>0</x:v>
      </x:c>
      <x:c r="O274" s="214" t="n">
        <x:v>0</x:v>
      </x:c>
      <x:c r="P274" s="215">
        <x:f>ROUND(((K274*M274) - (K274*M274*N274/100)) + (((K274*M274) - (K274*M274*N274/100)) * O274/100), 2)</x:f>
      </x:c>
      <x:c r="Q274" s="216" t="s"/>
      <x:c r="R274" s="216" t="s"/>
      <x:c r="S274" s="81" t="s">
        <x:v>806</x:v>
      </x:c>
      <x:c r="T274" s="209" t="s"/>
      <x:c r="U274" s="210" t="s"/>
    </x:row>
    <x:row r="275" spans="1:23">
      <x:c r="A275" s="76" t="n">
        <x:v>255</x:v>
      </x:c>
      <x:c r="B275" s="76" t="n">
        <x:v>6142843</x:v>
      </x:c>
      <x:c r="C275" s="77" t="s">
        <x:v>807</x:v>
      </x:c>
      <x:c r="D275" s="78" t="s">
        <x:v>808</x:v>
      </x:c>
      <x:c r="E275" s="79" t="s"/>
      <x:c r="F275" s="77" t="s"/>
      <x:c r="G275" s="92" t="n">
        <x:v>500</x:v>
      </x:c>
      <x:c r="H275" s="77" t="s">
        <x:v>56</x:v>
      </x:c>
      <x:c r="I275" s="77" t="s">
        <x:v>98</x:v>
      </x:c>
      <x:c r="J275" s="79" t="n">
        <x:v>2.47</x:v>
      </x:c>
      <x:c r="K275" s="211" t="n">
        <x:v>24</x:v>
      </x:c>
      <x:c r="L275" s="212" t="s"/>
      <x:c r="M275" s="213" t="n">
        <x:v>2.47</x:v>
      </x:c>
      <x:c r="N275" s="214" t="n">
        <x:v>0</x:v>
      </x:c>
      <x:c r="O275" s="214" t="n">
        <x:v>0</x:v>
      </x:c>
      <x:c r="P275" s="215">
        <x:f>ROUND(((K275*M275) - (K275*M275*N275/100)) + (((K275*M275) - (K275*M275*N275/100)) * O275/100), 2)</x:f>
      </x:c>
      <x:c r="Q275" s="216" t="s"/>
      <x:c r="R275" s="216" t="s"/>
      <x:c r="S275" s="81" t="s">
        <x:v>809</x:v>
      </x:c>
      <x:c r="T275" s="209" t="s"/>
      <x:c r="U275" s="210" t="s"/>
    </x:row>
    <x:row r="276" spans="1:23">
      <x:c r="A276" s="76" t="n">
        <x:v>256</x:v>
      </x:c>
      <x:c r="B276" s="76" t="n">
        <x:v>5211105</x:v>
      </x:c>
      <x:c r="C276" s="77" t="s">
        <x:v>810</x:v>
      </x:c>
      <x:c r="D276" s="78" t="s">
        <x:v>811</x:v>
      </x:c>
      <x:c r="E276" s="79" t="s"/>
      <x:c r="F276" s="77" t="s"/>
      <x:c r="G276" s="92" t="n">
        <x:v>100</x:v>
      </x:c>
      <x:c r="H276" s="77" t="s">
        <x:v>56</x:v>
      </x:c>
      <x:c r="I276" s="77" t="s">
        <x:v>98</x:v>
      </x:c>
      <x:c r="J276" s="79" t="n">
        <x:v>5</x:v>
      </x:c>
      <x:c r="K276" s="211" t="n">
        <x:v>8</x:v>
      </x:c>
      <x:c r="L276" s="212" t="s"/>
      <x:c r="M276" s="213" t="n">
        <x:v>5</x:v>
      </x:c>
      <x:c r="N276" s="214" t="n">
        <x:v>0</x:v>
      </x:c>
      <x:c r="O276" s="214" t="n">
        <x:v>0</x:v>
      </x:c>
      <x:c r="P276" s="215">
        <x:f>ROUND(((K276*M276) - (K276*M276*N276/100)) + (((K276*M276) - (K276*M276*N276/100)) * O276/100), 2)</x:f>
      </x:c>
      <x:c r="Q276" s="216" t="s"/>
      <x:c r="R276" s="216" t="s"/>
      <x:c r="S276" s="81" t="s">
        <x:v>812</x:v>
      </x:c>
      <x:c r="T276" s="209" t="s"/>
      <x:c r="U276" s="210" t="s"/>
    </x:row>
    <x:row r="277" spans="1:23">
      <x:c r="A277" s="76" t="n">
        <x:v>257</x:v>
      </x:c>
      <x:c r="B277" s="76" t="n">
        <x:v>5210475</x:v>
      </x:c>
      <x:c r="C277" s="77" t="s">
        <x:v>813</x:v>
      </x:c>
      <x:c r="D277" s="78" t="s">
        <x:v>814</x:v>
      </x:c>
      <x:c r="E277" s="79" t="s"/>
      <x:c r="F277" s="77" t="s"/>
      <x:c r="G277" s="92" t="n">
        <x:v>250</x:v>
      </x:c>
      <x:c r="H277" s="77" t="s">
        <x:v>114</x:v>
      </x:c>
      <x:c r="I277" s="77" t="s">
        <x:v>98</x:v>
      </x:c>
      <x:c r="J277" s="79" t="n">
        <x:v>4.74</x:v>
      </x:c>
      <x:c r="K277" s="211" t="n">
        <x:v>10</x:v>
      </x:c>
      <x:c r="L277" s="212" t="s"/>
      <x:c r="M277" s="213" t="n">
        <x:v>4.74</x:v>
      </x:c>
      <x:c r="N277" s="214" t="n">
        <x:v>0</x:v>
      </x:c>
      <x:c r="O277" s="214" t="n">
        <x:v>0</x:v>
      </x:c>
      <x:c r="P277" s="215">
        <x:f>ROUND(((K277*M277) - (K277*M277*N277/100)) + (((K277*M277) - (K277*M277*N277/100)) * O277/100), 2)</x:f>
      </x:c>
      <x:c r="Q277" s="216" t="s"/>
      <x:c r="R277" s="216" t="s"/>
      <x:c r="S277" s="81" t="s">
        <x:v>815</x:v>
      </x:c>
      <x:c r="T277" s="209" t="s"/>
      <x:c r="U277" s="210" t="s"/>
    </x:row>
    <x:row r="278" spans="1:23">
      <x:c r="A278" s="76" t="n">
        <x:v>258</x:v>
      </x:c>
      <x:c r="B278" s="76" t="n">
        <x:v>5210477</x:v>
      </x:c>
      <x:c r="C278" s="77" t="s">
        <x:v>816</x:v>
      </x:c>
      <x:c r="D278" s="78" t="s">
        <x:v>817</x:v>
      </x:c>
      <x:c r="E278" s="79" t="s"/>
      <x:c r="F278" s="77" t="s"/>
      <x:c r="G278" s="92" t="n">
        <x:v>250</x:v>
      </x:c>
      <x:c r="H278" s="77" t="s">
        <x:v>56</x:v>
      </x:c>
      <x:c r="I278" s="77" t="s">
        <x:v>57</x:v>
      </x:c>
      <x:c r="J278" s="79" t="n">
        <x:v>1.49</x:v>
      </x:c>
      <x:c r="K278" s="211" t="n">
        <x:v>12</x:v>
      </x:c>
      <x:c r="L278" s="212" t="s"/>
      <x:c r="M278" s="213" t="n">
        <x:v>1.49</x:v>
      </x:c>
      <x:c r="N278" s="214" t="n">
        <x:v>0</x:v>
      </x:c>
      <x:c r="O278" s="214" t="n">
        <x:v>0</x:v>
      </x:c>
      <x:c r="P278" s="215">
        <x:f>ROUND(((K278*M278) - (K278*M278*N278/100)) + (((K278*M278) - (K278*M278*N278/100)) * O278/100), 2)</x:f>
      </x:c>
      <x:c r="Q278" s="216" t="s"/>
      <x:c r="R278" s="216" t="s"/>
      <x:c r="S278" s="81" t="s">
        <x:v>818</x:v>
      </x:c>
      <x:c r="T278" s="209" t="s"/>
      <x:c r="U278" s="210" t="s"/>
    </x:row>
    <x:row r="279" spans="1:23">
      <x:c r="A279" s="76" t="n">
        <x:v>259</x:v>
      </x:c>
      <x:c r="B279" s="76" t="n">
        <x:v>5210481</x:v>
      </x:c>
      <x:c r="C279" s="77" t="s">
        <x:v>819</x:v>
      </x:c>
      <x:c r="D279" s="78" t="s">
        <x:v>820</x:v>
      </x:c>
      <x:c r="E279" s="79" t="s"/>
      <x:c r="F279" s="77" t="s"/>
      <x:c r="G279" s="92" t="n">
        <x:v>1</x:v>
      </x:c>
      <x:c r="H279" s="77" t="s">
        <x:v>132</x:v>
      </x:c>
      <x:c r="I279" s="77" t="s">
        <x:v>57</x:v>
      </x:c>
      <x:c r="J279" s="79" t="n">
        <x:v>1.08</x:v>
      </x:c>
      <x:c r="K279" s="211" t="n">
        <x:v>5</x:v>
      </x:c>
      <x:c r="L279" s="212" t="s"/>
      <x:c r="M279" s="213" t="n">
        <x:v>1.08</x:v>
      </x:c>
      <x:c r="N279" s="214" t="n">
        <x:v>0</x:v>
      </x:c>
      <x:c r="O279" s="214" t="n">
        <x:v>0</x:v>
      </x:c>
      <x:c r="P279" s="215">
        <x:f>ROUND(((K279*M279) - (K279*M279*N279/100)) + (((K279*M279) - (K279*M279*N279/100)) * O279/100), 2)</x:f>
      </x:c>
      <x:c r="Q279" s="216" t="s"/>
      <x:c r="R279" s="216" t="s"/>
      <x:c r="S279" s="81" t="s">
        <x:v>821</x:v>
      </x:c>
      <x:c r="T279" s="209" t="s"/>
      <x:c r="U279" s="210" t="s"/>
    </x:row>
    <x:row r="280" spans="1:23">
      <x:c r="A280" s="76" t="n">
        <x:v>260</x:v>
      </x:c>
      <x:c r="B280" s="76" t="n">
        <x:v>5235119</x:v>
      </x:c>
      <x:c r="C280" s="77" t="s">
        <x:v>822</x:v>
      </x:c>
      <x:c r="D280" s="78" t="s">
        <x:v>823</x:v>
      </x:c>
      <x:c r="E280" s="79" t="s"/>
      <x:c r="F280" s="77" t="s"/>
      <x:c r="G280" s="92" t="n">
        <x:v>500</x:v>
      </x:c>
      <x:c r="H280" s="77" t="s">
        <x:v>56</x:v>
      </x:c>
      <x:c r="I280" s="77" t="s">
        <x:v>57</x:v>
      </x:c>
      <x:c r="J280" s="79" t="n">
        <x:v>3.14</x:v>
      </x:c>
      <x:c r="K280" s="211" t="n">
        <x:v>15</x:v>
      </x:c>
      <x:c r="L280" s="212" t="s"/>
      <x:c r="M280" s="213" t="n">
        <x:v>3.14</x:v>
      </x:c>
      <x:c r="N280" s="214" t="n">
        <x:v>0</x:v>
      </x:c>
      <x:c r="O280" s="214" t="n">
        <x:v>0</x:v>
      </x:c>
      <x:c r="P280" s="215">
        <x:f>ROUND(((K280*M280) - (K280*M280*N280/100)) + (((K280*M280) - (K280*M280*N280/100)) * O280/100), 2)</x:f>
      </x:c>
      <x:c r="Q280" s="216" t="s"/>
      <x:c r="R280" s="216" t="s"/>
      <x:c r="S280" s="81" t="s">
        <x:v>824</x:v>
      </x:c>
      <x:c r="T280" s="209" t="s"/>
      <x:c r="U280" s="210" t="s"/>
    </x:row>
    <x:row r="281" spans="1:23">
      <x:c r="A281" s="76" t="n">
        <x:v>261</x:v>
      </x:c>
      <x:c r="B281" s="76" t="n">
        <x:v>5211161</x:v>
      </x:c>
      <x:c r="C281" s="77" t="s">
        <x:v>825</x:v>
      </x:c>
      <x:c r="D281" s="78" t="s">
        <x:v>826</x:v>
      </x:c>
      <x:c r="E281" s="79" t="s"/>
      <x:c r="F281" s="77" t="s"/>
      <x:c r="G281" s="92" t="n">
        <x:v>1</x:v>
      </x:c>
      <x:c r="H281" s="77" t="s">
        <x:v>154</x:v>
      </x:c>
      <x:c r="I281" s="77" t="s">
        <x:v>98</x:v>
      </x:c>
      <x:c r="J281" s="79" t="n">
        <x:v>0.35</x:v>
      </x:c>
      <x:c r="K281" s="211" t="n">
        <x:v>20</x:v>
      </x:c>
      <x:c r="L281" s="212" t="s"/>
      <x:c r="M281" s="213" t="n">
        <x:v>0.35</x:v>
      </x:c>
      <x:c r="N281" s="214" t="n">
        <x:v>0</x:v>
      </x:c>
      <x:c r="O281" s="214" t="n">
        <x:v>0</x:v>
      </x:c>
      <x:c r="P281" s="215">
        <x:f>ROUND(((K281*M281) - (K281*M281*N281/100)) + (((K281*M281) - (K281*M281*N281/100)) * O281/100), 2)</x:f>
      </x:c>
      <x:c r="Q281" s="216" t="s"/>
      <x:c r="R281" s="216" t="s"/>
      <x:c r="S281" s="81" t="s">
        <x:v>827</x:v>
      </x:c>
      <x:c r="T281" s="209" t="s"/>
      <x:c r="U281" s="210" t="s"/>
    </x:row>
    <x:row r="282" spans="1:23">
      <x:c r="A282" s="76" t="n">
        <x:v>262</x:v>
      </x:c>
      <x:c r="B282" s="76" t="n">
        <x:v>5210488</x:v>
      </x:c>
      <x:c r="C282" s="77" t="s">
        <x:v>828</x:v>
      </x:c>
      <x:c r="D282" s="78" t="s">
        <x:v>829</x:v>
      </x:c>
      <x:c r="E282" s="79" t="s"/>
      <x:c r="F282" s="77" t="s"/>
      <x:c r="G282" s="92" t="n">
        <x:v>250</x:v>
      </x:c>
      <x:c r="H282" s="77" t="s">
        <x:v>56</x:v>
      </x:c>
      <x:c r="I282" s="77" t="s">
        <x:v>57</x:v>
      </x:c>
      <x:c r="J282" s="79" t="n">
        <x:v>2.84</x:v>
      </x:c>
      <x:c r="K282" s="211" t="n">
        <x:v>6</x:v>
      </x:c>
      <x:c r="L282" s="212" t="s"/>
      <x:c r="M282" s="213" t="n">
        <x:v>2.84</x:v>
      </x:c>
      <x:c r="N282" s="214" t="n">
        <x:v>0</x:v>
      </x:c>
      <x:c r="O282" s="214" t="n">
        <x:v>0</x:v>
      </x:c>
      <x:c r="P282" s="215">
        <x:f>ROUND(((K282*M282) - (K282*M282*N282/100)) + (((K282*M282) - (K282*M282*N282/100)) * O282/100), 2)</x:f>
      </x:c>
      <x:c r="Q282" s="216" t="s"/>
      <x:c r="R282" s="216" t="s"/>
      <x:c r="S282" s="81" t="s">
        <x:v>830</x:v>
      </x:c>
      <x:c r="T282" s="209" t="s"/>
      <x:c r="U282" s="210" t="s"/>
    </x:row>
    <x:row r="283" spans="1:23">
      <x:c r="A283" s="76" t="n">
        <x:v>263</x:v>
      </x:c>
      <x:c r="B283" s="76" t="n">
        <x:v>5210489</x:v>
      </x:c>
      <x:c r="C283" s="77" t="s">
        <x:v>831</x:v>
      </x:c>
      <x:c r="D283" s="78" t="s">
        <x:v>832</x:v>
      </x:c>
      <x:c r="E283" s="79" t="s"/>
      <x:c r="F283" s="77" t="s"/>
      <x:c r="G283" s="92" t="n">
        <x:v>250</x:v>
      </x:c>
      <x:c r="H283" s="77" t="s">
        <x:v>56</x:v>
      </x:c>
      <x:c r="I283" s="77" t="s">
        <x:v>98</x:v>
      </x:c>
      <x:c r="J283" s="79" t="n">
        <x:v>1.49</x:v>
      </x:c>
      <x:c r="K283" s="211" t="n">
        <x:v>12</x:v>
      </x:c>
      <x:c r="L283" s="212" t="s"/>
      <x:c r="M283" s="213" t="n">
        <x:v>1.49</x:v>
      </x:c>
      <x:c r="N283" s="214" t="n">
        <x:v>0</x:v>
      </x:c>
      <x:c r="O283" s="214" t="n">
        <x:v>0</x:v>
      </x:c>
      <x:c r="P283" s="215">
        <x:f>ROUND(((K283*M283) - (K283*M283*N283/100)) + (((K283*M283) - (K283*M283*N283/100)) * O283/100), 2)</x:f>
      </x:c>
      <x:c r="Q283" s="216" t="s"/>
      <x:c r="R283" s="216" t="s"/>
      <x:c r="S283" s="81" t="s">
        <x:v>833</x:v>
      </x:c>
      <x:c r="T283" s="209" t="s"/>
      <x:c r="U283" s="210" t="s"/>
    </x:row>
    <x:row r="284" spans="1:23">
      <x:c r="A284" s="76" t="n">
        <x:v>264</x:v>
      </x:c>
      <x:c r="B284" s="76" t="n">
        <x:v>5210490</x:v>
      </x:c>
      <x:c r="C284" s="77" t="s">
        <x:v>834</x:v>
      </x:c>
      <x:c r="D284" s="78" t="s">
        <x:v>835</x:v>
      </x:c>
      <x:c r="E284" s="79" t="s"/>
      <x:c r="F284" s="77" t="s"/>
      <x:c r="G284" s="92" t="n">
        <x:v>100</x:v>
      </x:c>
      <x:c r="H284" s="77" t="s">
        <x:v>56</x:v>
      </x:c>
      <x:c r="I284" s="77" t="s">
        <x:v>98</x:v>
      </x:c>
      <x:c r="J284" s="79" t="n">
        <x:v>2.99</x:v>
      </x:c>
      <x:c r="K284" s="211" t="n">
        <x:v>6</x:v>
      </x:c>
      <x:c r="L284" s="212" t="s"/>
      <x:c r="M284" s="213" t="n">
        <x:v>2.99</x:v>
      </x:c>
      <x:c r="N284" s="214" t="n">
        <x:v>0</x:v>
      </x:c>
      <x:c r="O284" s="214" t="n">
        <x:v>0</x:v>
      </x:c>
      <x:c r="P284" s="215">
        <x:f>ROUND(((K284*M284) - (K284*M284*N284/100)) + (((K284*M284) - (K284*M284*N284/100)) * O284/100), 2)</x:f>
      </x:c>
      <x:c r="Q284" s="216" t="s"/>
      <x:c r="R284" s="216" t="s"/>
      <x:c r="S284" s="81" t="s">
        <x:v>836</x:v>
      </x:c>
      <x:c r="T284" s="209" t="s"/>
      <x:c r="U284" s="210" t="s"/>
    </x:row>
    <x:row r="285" spans="1:23">
      <x:c r="A285" s="76" t="n">
        <x:v>265</x:v>
      </x:c>
      <x:c r="B285" s="76" t="n">
        <x:v>5210491</x:v>
      </x:c>
      <x:c r="C285" s="77" t="s">
        <x:v>837</x:v>
      </x:c>
      <x:c r="D285" s="78" t="s">
        <x:v>838</x:v>
      </x:c>
      <x:c r="E285" s="79" t="s"/>
      <x:c r="F285" s="77" t="s"/>
      <x:c r="G285" s="92" t="n">
        <x:v>500</x:v>
      </x:c>
      <x:c r="H285" s="77" t="s">
        <x:v>56</x:v>
      </x:c>
      <x:c r="I285" s="77" t="s">
        <x:v>98</x:v>
      </x:c>
      <x:c r="J285" s="79" t="n">
        <x:v>0.7</x:v>
      </x:c>
      <x:c r="K285" s="211" t="n">
        <x:v>60</x:v>
      </x:c>
      <x:c r="L285" s="212" t="s"/>
      <x:c r="M285" s="213" t="n">
        <x:v>0.7</x:v>
      </x:c>
      <x:c r="N285" s="214" t="n">
        <x:v>0</x:v>
      </x:c>
      <x:c r="O285" s="214" t="n">
        <x:v>0</x:v>
      </x:c>
      <x:c r="P285" s="215">
        <x:f>ROUND(((K285*M285) - (K285*M285*N285/100)) + (((K285*M285) - (K285*M285*N285/100)) * O285/100), 2)</x:f>
      </x:c>
      <x:c r="Q285" s="216" t="s"/>
      <x:c r="R285" s="216" t="s"/>
      <x:c r="S285" s="81" t="s">
        <x:v>839</x:v>
      </x:c>
      <x:c r="T285" s="209" t="s"/>
      <x:c r="U285" s="210" t="s"/>
    </x:row>
    <x:row r="286" spans="1:23">
      <x:c r="A286" s="76" t="n">
        <x:v>266</x:v>
      </x:c>
      <x:c r="B286" s="76" t="n">
        <x:v>5478465</x:v>
      </x:c>
      <x:c r="C286" s="77" t="s">
        <x:v>840</x:v>
      </x:c>
      <x:c r="D286" s="78" t="s">
        <x:v>841</x:v>
      </x:c>
      <x:c r="E286" s="79" t="s"/>
      <x:c r="F286" s="77" t="s"/>
      <x:c r="G286" s="92" t="n">
        <x:v>250</x:v>
      </x:c>
      <x:c r="H286" s="77" t="s">
        <x:v>56</x:v>
      </x:c>
      <x:c r="I286" s="77" t="s">
        <x:v>57</x:v>
      </x:c>
      <x:c r="J286" s="79" t="n">
        <x:v>1.65</x:v>
      </x:c>
      <x:c r="K286" s="211" t="n">
        <x:v>5</x:v>
      </x:c>
      <x:c r="L286" s="212" t="s"/>
      <x:c r="M286" s="213" t="n">
        <x:v>1.65</x:v>
      </x:c>
      <x:c r="N286" s="214" t="n">
        <x:v>0</x:v>
      </x:c>
      <x:c r="O286" s="214" t="n">
        <x:v>0</x:v>
      </x:c>
      <x:c r="P286" s="215">
        <x:f>ROUND(((K286*M286) - (K286*M286*N286/100)) + (((K286*M286) - (K286*M286*N286/100)) * O286/100), 2)</x:f>
      </x:c>
      <x:c r="Q286" s="216" t="s"/>
      <x:c r="R286" s="216" t="s"/>
      <x:c r="S286" s="81" t="s">
        <x:v>842</x:v>
      </x:c>
      <x:c r="T286" s="209" t="s"/>
      <x:c r="U286" s="210" t="s"/>
    </x:row>
    <x:row r="287" spans="1:23">
      <x:c r="A287" s="76" t="n">
        <x:v>267</x:v>
      </x:c>
      <x:c r="B287" s="76" t="n">
        <x:v>5317279</x:v>
      </x:c>
      <x:c r="C287" s="77" t="s">
        <x:v>843</x:v>
      </x:c>
      <x:c r="D287" s="78" t="s">
        <x:v>844</x:v>
      </x:c>
      <x:c r="E287" s="79" t="s"/>
      <x:c r="F287" s="77" t="s"/>
      <x:c r="G287" s="92" t="n">
        <x:v>500</x:v>
      </x:c>
      <x:c r="H287" s="77" t="s">
        <x:v>56</x:v>
      </x:c>
      <x:c r="I287" s="77" t="s">
        <x:v>57</x:v>
      </x:c>
      <x:c r="J287" s="79" t="n">
        <x:v>1.65</x:v>
      </x:c>
      <x:c r="K287" s="211" t="n">
        <x:v>2</x:v>
      </x:c>
      <x:c r="L287" s="212" t="s"/>
      <x:c r="M287" s="213" t="n">
        <x:v>1.65</x:v>
      </x:c>
      <x:c r="N287" s="214" t="n">
        <x:v>0</x:v>
      </x:c>
      <x:c r="O287" s="214" t="n">
        <x:v>0</x:v>
      </x:c>
      <x:c r="P287" s="215">
        <x:f>ROUND(((K287*M287) - (K287*M287*N287/100)) + (((K287*M287) - (K287*M287*N287/100)) * O287/100), 2)</x:f>
      </x:c>
      <x:c r="Q287" s="216" t="s"/>
      <x:c r="R287" s="216" t="s"/>
      <x:c r="S287" s="81" t="s">
        <x:v>845</x:v>
      </x:c>
      <x:c r="T287" s="209" t="s"/>
      <x:c r="U287" s="210" t="s"/>
    </x:row>
    <x:row r="288" spans="1:23">
      <x:c r="A288" s="76" t="n">
        <x:v>268</x:v>
      </x:c>
      <x:c r="B288" s="76" t="n">
        <x:v>5210496</x:v>
      </x:c>
      <x:c r="C288" s="77" t="s">
        <x:v>846</x:v>
      </x:c>
      <x:c r="D288" s="78" t="s">
        <x:v>847</x:v>
      </x:c>
      <x:c r="E288" s="79" t="s"/>
      <x:c r="F288" s="77" t="s"/>
      <x:c r="G288" s="92" t="n">
        <x:v>1</x:v>
      </x:c>
      <x:c r="H288" s="77" t="s">
        <x:v>132</x:v>
      </x:c>
      <x:c r="I288" s="77" t="s">
        <x:v>98</x:v>
      </x:c>
      <x:c r="J288" s="79" t="n">
        <x:v>1.44</x:v>
      </x:c>
      <x:c r="K288" s="211" t="n">
        <x:v>6</x:v>
      </x:c>
      <x:c r="L288" s="212" t="s"/>
      <x:c r="M288" s="213" t="n">
        <x:v>1.44</x:v>
      </x:c>
      <x:c r="N288" s="214" t="n">
        <x:v>0</x:v>
      </x:c>
      <x:c r="O288" s="214" t="n">
        <x:v>0</x:v>
      </x:c>
      <x:c r="P288" s="215">
        <x:f>ROUND(((K288*M288) - (K288*M288*N288/100)) + (((K288*M288) - (K288*M288*N288/100)) * O288/100), 2)</x:f>
      </x:c>
      <x:c r="Q288" s="216" t="s"/>
      <x:c r="R288" s="216" t="s"/>
      <x:c r="S288" s="81" t="s">
        <x:v>848</x:v>
      </x:c>
      <x:c r="T288" s="209" t="s"/>
      <x:c r="U288" s="210" t="s"/>
    </x:row>
    <x:row r="289" spans="1:23">
      <x:c r="A289" s="76" t="n">
        <x:v>269</x:v>
      </x:c>
      <x:c r="B289" s="76" t="n">
        <x:v>5235121</x:v>
      </x:c>
      <x:c r="C289" s="77" t="s">
        <x:v>849</x:v>
      </x:c>
      <x:c r="D289" s="78" t="s">
        <x:v>850</x:v>
      </x:c>
      <x:c r="E289" s="79" t="s"/>
      <x:c r="F289" s="77" t="s"/>
      <x:c r="G289" s="92" t="n">
        <x:v>100</x:v>
      </x:c>
      <x:c r="H289" s="77" t="s">
        <x:v>56</x:v>
      </x:c>
      <x:c r="I289" s="77" t="s">
        <x:v>98</x:v>
      </x:c>
      <x:c r="J289" s="79" t="n">
        <x:v>2.63</x:v>
      </x:c>
      <x:c r="K289" s="211" t="n">
        <x:v>2</x:v>
      </x:c>
      <x:c r="L289" s="212" t="s"/>
      <x:c r="M289" s="213" t="n">
        <x:v>2.63</x:v>
      </x:c>
      <x:c r="N289" s="214" t="n">
        <x:v>0</x:v>
      </x:c>
      <x:c r="O289" s="214" t="n">
        <x:v>0</x:v>
      </x:c>
      <x:c r="P289" s="215">
        <x:f>ROUND(((K289*M289) - (K289*M289*N289/100)) + (((K289*M289) - (K289*M289*N289/100)) * O289/100), 2)</x:f>
      </x:c>
      <x:c r="Q289" s="216" t="s"/>
      <x:c r="R289" s="216" t="s"/>
      <x:c r="S289" s="81" t="s">
        <x:v>851</x:v>
      </x:c>
      <x:c r="T289" s="209" t="s"/>
      <x:c r="U289" s="210" t="s"/>
    </x:row>
    <x:row r="290" spans="1:23">
      <x:c r="A290" s="76" t="n">
        <x:v>270</x:v>
      </x:c>
      <x:c r="B290" s="76" t="n">
        <x:v>5210898</x:v>
      </x:c>
      <x:c r="C290" s="77" t="s">
        <x:v>852</x:v>
      </x:c>
      <x:c r="D290" s="78" t="s">
        <x:v>853</x:v>
      </x:c>
      <x:c r="E290" s="79" t="s"/>
      <x:c r="F290" s="77" t="s"/>
      <x:c r="G290" s="92" t="n">
        <x:v>500</x:v>
      </x:c>
      <x:c r="H290" s="77" t="s">
        <x:v>56</x:v>
      </x:c>
      <x:c r="I290" s="77" t="s">
        <x:v>98</x:v>
      </x:c>
      <x:c r="J290" s="79" t="n">
        <x:v>3.14</x:v>
      </x:c>
      <x:c r="K290" s="211" t="n">
        <x:v>3</x:v>
      </x:c>
      <x:c r="L290" s="212" t="s"/>
      <x:c r="M290" s="213" t="n">
        <x:v>3.14</x:v>
      </x:c>
      <x:c r="N290" s="214" t="n">
        <x:v>0</x:v>
      </x:c>
      <x:c r="O290" s="214" t="n">
        <x:v>0</x:v>
      </x:c>
      <x:c r="P290" s="215">
        <x:f>ROUND(((K290*M290) - (K290*M290*N290/100)) + (((K290*M290) - (K290*M290*N290/100)) * O290/100), 2)</x:f>
      </x:c>
      <x:c r="Q290" s="216" t="s"/>
      <x:c r="R290" s="216" t="s"/>
      <x:c r="S290" s="81" t="s">
        <x:v>854</x:v>
      </x:c>
      <x:c r="T290" s="209" t="s"/>
      <x:c r="U290" s="210" t="s"/>
    </x:row>
    <x:row r="291" spans="1:23">
      <x:c r="A291" s="76" t="n">
        <x:v>271</x:v>
      </x:c>
      <x:c r="B291" s="76" t="n">
        <x:v>5210948</x:v>
      </x:c>
      <x:c r="C291" s="77" t="s">
        <x:v>855</x:v>
      </x:c>
      <x:c r="D291" s="78" t="s">
        <x:v>856</x:v>
      </x:c>
      <x:c r="E291" s="79" t="s"/>
      <x:c r="F291" s="77" t="s"/>
      <x:c r="G291" s="92" t="n">
        <x:v>500</x:v>
      </x:c>
      <x:c r="H291" s="77" t="s">
        <x:v>154</x:v>
      </x:c>
      <x:c r="I291" s="77" t="s">
        <x:v>98</x:v>
      </x:c>
      <x:c r="J291" s="79" t="n">
        <x:v>3.97</x:v>
      </x:c>
      <x:c r="K291" s="211" t="n">
        <x:v>4</x:v>
      </x:c>
      <x:c r="L291" s="212" t="s"/>
      <x:c r="M291" s="213" t="n">
        <x:v>3.97</x:v>
      </x:c>
      <x:c r="N291" s="214" t="n">
        <x:v>0</x:v>
      </x:c>
      <x:c r="O291" s="214" t="n">
        <x:v>0</x:v>
      </x:c>
      <x:c r="P291" s="215">
        <x:f>ROUND(((K291*M291) - (K291*M291*N291/100)) + (((K291*M291) - (K291*M291*N291/100)) * O291/100), 2)</x:f>
      </x:c>
      <x:c r="Q291" s="216" t="s"/>
      <x:c r="R291" s="216" t="s"/>
      <x:c r="S291" s="81" t="s">
        <x:v>857</x:v>
      </x:c>
      <x:c r="T291" s="209" t="s"/>
      <x:c r="U291" s="210" t="s"/>
    </x:row>
    <x:row r="292" spans="1:23">
      <x:c r="A292" s="76" t="n">
        <x:v>272</x:v>
      </x:c>
      <x:c r="B292" s="76" t="n">
        <x:v>5210972</x:v>
      </x:c>
      <x:c r="C292" s="77" t="s">
        <x:v>858</x:v>
      </x:c>
      <x:c r="D292" s="78" t="s">
        <x:v>859</x:v>
      </x:c>
      <x:c r="E292" s="79" t="s"/>
      <x:c r="F292" s="77" t="s"/>
      <x:c r="G292" s="92" t="n">
        <x:v>500</x:v>
      </x:c>
      <x:c r="H292" s="77" t="s">
        <x:v>56</x:v>
      </x:c>
      <x:c r="I292" s="77" t="s">
        <x:v>98</x:v>
      </x:c>
      <x:c r="J292" s="79" t="n">
        <x:v>1.65</x:v>
      </x:c>
      <x:c r="K292" s="211" t="n">
        <x:v>12</x:v>
      </x:c>
      <x:c r="L292" s="212" t="s"/>
      <x:c r="M292" s="213" t="n">
        <x:v>1.65</x:v>
      </x:c>
      <x:c r="N292" s="214" t="n">
        <x:v>0</x:v>
      </x:c>
      <x:c r="O292" s="214" t="n">
        <x:v>0</x:v>
      </x:c>
      <x:c r="P292" s="215">
        <x:f>ROUND(((K292*M292) - (K292*M292*N292/100)) + (((K292*M292) - (K292*M292*N292/100)) * O292/100), 2)</x:f>
      </x:c>
      <x:c r="Q292" s="216" t="s"/>
      <x:c r="R292" s="216" t="s"/>
      <x:c r="S292" s="81" t="s">
        <x:v>860</x:v>
      </x:c>
      <x:c r="T292" s="209" t="s"/>
      <x:c r="U292" s="210" t="s"/>
    </x:row>
    <x:row r="293" spans="1:23">
      <x:c r="A293" s="76" t="n">
        <x:v>273</x:v>
      </x:c>
      <x:c r="B293" s="76" t="n">
        <x:v>5211035</x:v>
      </x:c>
      <x:c r="C293" s="77" t="s">
        <x:v>861</x:v>
      </x:c>
      <x:c r="D293" s="78" t="s">
        <x:v>862</x:v>
      </x:c>
      <x:c r="E293" s="79" t="s"/>
      <x:c r="F293" s="77" t="s"/>
      <x:c r="G293" s="92" t="n">
        <x:v>500</x:v>
      </x:c>
      <x:c r="H293" s="77" t="s">
        <x:v>56</x:v>
      </x:c>
      <x:c r="I293" s="77" t="s">
        <x:v>98</x:v>
      </x:c>
      <x:c r="J293" s="79" t="n">
        <x:v>3.97</x:v>
      </x:c>
      <x:c r="K293" s="211" t="n">
        <x:v>3</x:v>
      </x:c>
      <x:c r="L293" s="212" t="s"/>
      <x:c r="M293" s="213" t="n">
        <x:v>3.97</x:v>
      </x:c>
      <x:c r="N293" s="214" t="n">
        <x:v>0</x:v>
      </x:c>
      <x:c r="O293" s="214" t="n">
        <x:v>0</x:v>
      </x:c>
      <x:c r="P293" s="215">
        <x:f>ROUND(((K293*M293) - (K293*M293*N293/100)) + (((K293*M293) - (K293*M293*N293/100)) * O293/100), 2)</x:f>
      </x:c>
      <x:c r="Q293" s="216" t="s"/>
      <x:c r="R293" s="216" t="s"/>
      <x:c r="S293" s="81" t="s">
        <x:v>863</x:v>
      </x:c>
      <x:c r="T293" s="209" t="s"/>
      <x:c r="U293" s="210" t="s"/>
    </x:row>
    <x:row r="294" spans="1:23">
      <x:c r="A294" s="76" t="n">
        <x:v>274</x:v>
      </x:c>
      <x:c r="B294" s="76" t="n">
        <x:v>5211081</x:v>
      </x:c>
      <x:c r="C294" s="77" t="s">
        <x:v>864</x:v>
      </x:c>
      <x:c r="D294" s="78" t="s">
        <x:v>865</x:v>
      </x:c>
      <x:c r="E294" s="79" t="s"/>
      <x:c r="F294" s="77" t="s"/>
      <x:c r="G294" s="92" t="n">
        <x:v>500</x:v>
      </x:c>
      <x:c r="H294" s="77" t="s">
        <x:v>56</x:v>
      </x:c>
      <x:c r="I294" s="77" t="s">
        <x:v>57</x:v>
      </x:c>
      <x:c r="J294" s="79" t="n">
        <x:v>1.6</x:v>
      </x:c>
      <x:c r="K294" s="211" t="n">
        <x:v>24</x:v>
      </x:c>
      <x:c r="L294" s="212" t="s"/>
      <x:c r="M294" s="213" t="n">
        <x:v>1.6</x:v>
      </x:c>
      <x:c r="N294" s="214" t="n">
        <x:v>0</x:v>
      </x:c>
      <x:c r="O294" s="214" t="n">
        <x:v>0</x:v>
      </x:c>
      <x:c r="P294" s="215">
        <x:f>ROUND(((K294*M294) - (K294*M294*N294/100)) + (((K294*M294) - (K294*M294*N294/100)) * O294/100), 2)</x:f>
      </x:c>
      <x:c r="Q294" s="216" t="s"/>
      <x:c r="R294" s="216" t="s"/>
      <x:c r="S294" s="81" t="s">
        <x:v>866</x:v>
      </x:c>
      <x:c r="T294" s="209" t="s"/>
      <x:c r="U294" s="210" t="s"/>
    </x:row>
    <x:row r="295" spans="1:23">
      <x:c r="A295" s="76" t="n">
        <x:v>275</x:v>
      </x:c>
      <x:c r="B295" s="76" t="n">
        <x:v>5211083</x:v>
      </x:c>
      <x:c r="C295" s="77" t="s">
        <x:v>867</x:v>
      </x:c>
      <x:c r="D295" s="78" t="s">
        <x:v>868</x:v>
      </x:c>
      <x:c r="E295" s="79" t="s"/>
      <x:c r="F295" s="77" t="s"/>
      <x:c r="G295" s="92" t="n">
        <x:v>500</x:v>
      </x:c>
      <x:c r="H295" s="77" t="s">
        <x:v>56</x:v>
      </x:c>
      <x:c r="I295" s="77" t="s">
        <x:v>72</x:v>
      </x:c>
      <x:c r="J295" s="79" t="n">
        <x:v>1.49</x:v>
      </x:c>
      <x:c r="K295" s="211" t="n">
        <x:v>24</x:v>
      </x:c>
      <x:c r="L295" s="212" t="s"/>
      <x:c r="M295" s="213" t="n">
        <x:v>1.49</x:v>
      </x:c>
      <x:c r="N295" s="214" t="n">
        <x:v>0</x:v>
      </x:c>
      <x:c r="O295" s="214" t="n">
        <x:v>0</x:v>
      </x:c>
      <x:c r="P295" s="215">
        <x:f>ROUND(((K295*M295) - (K295*M295*N295/100)) + (((K295*M295) - (K295*M295*N295/100)) * O295/100), 2)</x:f>
      </x:c>
      <x:c r="Q295" s="216" t="s"/>
      <x:c r="R295" s="216" t="s"/>
      <x:c r="S295" s="81" t="s">
        <x:v>869</x:v>
      </x:c>
      <x:c r="T295" s="209" t="s"/>
      <x:c r="U295" s="210" t="s"/>
    </x:row>
    <x:row r="296" spans="1:23">
      <x:c r="A296" s="76" t="n">
        <x:v>276</x:v>
      </x:c>
      <x:c r="B296" s="76" t="n">
        <x:v>5211087</x:v>
      </x:c>
      <x:c r="C296" s="77" t="s">
        <x:v>870</x:v>
      </x:c>
      <x:c r="D296" s="78" t="s">
        <x:v>871</x:v>
      </x:c>
      <x:c r="E296" s="79" t="s"/>
      <x:c r="F296" s="77" t="s"/>
      <x:c r="G296" s="92" t="n">
        <x:v>500</x:v>
      </x:c>
      <x:c r="H296" s="77" t="s">
        <x:v>56</x:v>
      </x:c>
      <x:c r="I296" s="77" t="s">
        <x:v>872</x:v>
      </x:c>
      <x:c r="J296" s="79" t="n">
        <x:v>1.24</x:v>
      </x:c>
      <x:c r="K296" s="211" t="n">
        <x:v>12</x:v>
      </x:c>
      <x:c r="L296" s="212" t="s"/>
      <x:c r="M296" s="213" t="n">
        <x:v>1.24</x:v>
      </x:c>
      <x:c r="N296" s="214" t="n">
        <x:v>0</x:v>
      </x:c>
      <x:c r="O296" s="214" t="n">
        <x:v>0</x:v>
      </x:c>
      <x:c r="P296" s="215">
        <x:f>ROUND(((K296*M296) - (K296*M296*N296/100)) + (((K296*M296) - (K296*M296*N296/100)) * O296/100), 2)</x:f>
      </x:c>
      <x:c r="Q296" s="216" t="s"/>
      <x:c r="R296" s="216" t="s"/>
      <x:c r="S296" s="81" t="s">
        <x:v>873</x:v>
      </x:c>
      <x:c r="T296" s="209" t="s"/>
      <x:c r="U296" s="210" t="s"/>
    </x:row>
    <x:row r="297" spans="1:23">
      <x:c r="A297" s="76" t="n">
        <x:v>277</x:v>
      </x:c>
      <x:c r="B297" s="76" t="n">
        <x:v>5211173</x:v>
      </x:c>
      <x:c r="C297" s="77" t="s">
        <x:v>874</x:v>
      </x:c>
      <x:c r="D297" s="78" t="s">
        <x:v>875</x:v>
      </x:c>
      <x:c r="E297" s="79" t="s"/>
      <x:c r="F297" s="77" t="s"/>
      <x:c r="G297" s="92" t="n">
        <x:v>500</x:v>
      </x:c>
      <x:c r="H297" s="77" t="s">
        <x:v>56</x:v>
      </x:c>
      <x:c r="I297" s="77" t="s">
        <x:v>872</x:v>
      </x:c>
      <x:c r="J297" s="79" t="n">
        <x:v>1.49</x:v>
      </x:c>
      <x:c r="K297" s="211" t="n">
        <x:v>36</x:v>
      </x:c>
      <x:c r="L297" s="212" t="s"/>
      <x:c r="M297" s="213" t="n">
        <x:v>1.49</x:v>
      </x:c>
      <x:c r="N297" s="214" t="n">
        <x:v>0</x:v>
      </x:c>
      <x:c r="O297" s="214" t="n">
        <x:v>0</x:v>
      </x:c>
      <x:c r="P297" s="215">
        <x:f>ROUND(((K297*M297) - (K297*M297*N297/100)) + (((K297*M297) - (K297*M297*N297/100)) * O297/100), 2)</x:f>
      </x:c>
      <x:c r="Q297" s="216" t="s"/>
      <x:c r="R297" s="216" t="s"/>
      <x:c r="S297" s="81" t="s">
        <x:v>876</x:v>
      </x:c>
      <x:c r="T297" s="209" t="s"/>
      <x:c r="U297" s="210" t="s"/>
    </x:row>
    <x:row r="298" spans="1:23">
      <x:c r="A298" s="76" t="n">
        <x:v>278</x:v>
      </x:c>
      <x:c r="B298" s="76" t="n">
        <x:v>5211174</x:v>
      </x:c>
      <x:c r="C298" s="77" t="s">
        <x:v>877</x:v>
      </x:c>
      <x:c r="D298" s="78" t="s">
        <x:v>878</x:v>
      </x:c>
      <x:c r="E298" s="79" t="s"/>
      <x:c r="F298" s="77" t="s"/>
      <x:c r="G298" s="92" t="n">
        <x:v>500</x:v>
      </x:c>
      <x:c r="H298" s="77" t="s">
        <x:v>154</x:v>
      </x:c>
      <x:c r="I298" s="77" t="s">
        <x:v>57</x:v>
      </x:c>
      <x:c r="J298" s="79" t="n">
        <x:v>1.44</x:v>
      </x:c>
      <x:c r="K298" s="211" t="n">
        <x:v>24</x:v>
      </x:c>
      <x:c r="L298" s="212" t="s"/>
      <x:c r="M298" s="213" t="n">
        <x:v>1.44</x:v>
      </x:c>
      <x:c r="N298" s="214" t="n">
        <x:v>0</x:v>
      </x:c>
      <x:c r="O298" s="214" t="n">
        <x:v>0</x:v>
      </x:c>
      <x:c r="P298" s="215">
        <x:f>ROUND(((K298*M298) - (K298*M298*N298/100)) + (((K298*M298) - (K298*M298*N298/100)) * O298/100), 2)</x:f>
      </x:c>
      <x:c r="Q298" s="216" t="s"/>
      <x:c r="R298" s="216" t="s"/>
      <x:c r="S298" s="81" t="s">
        <x:v>879</x:v>
      </x:c>
      <x:c r="T298" s="209" t="s"/>
      <x:c r="U298" s="210" t="s"/>
    </x:row>
    <x:row r="299" spans="1:23">
      <x:c r="A299" s="76" t="n">
        <x:v>279</x:v>
      </x:c>
      <x:c r="B299" s="76" t="n">
        <x:v>5211176</x:v>
      </x:c>
      <x:c r="C299" s="77" t="s">
        <x:v>880</x:v>
      </x:c>
      <x:c r="D299" s="78" t="s">
        <x:v>881</x:v>
      </x:c>
      <x:c r="E299" s="79" t="s"/>
      <x:c r="F299" s="77" t="s"/>
      <x:c r="G299" s="92" t="n">
        <x:v>500</x:v>
      </x:c>
      <x:c r="H299" s="77" t="s">
        <x:v>56</x:v>
      </x:c>
      <x:c r="I299" s="77" t="s">
        <x:v>57</x:v>
      </x:c>
      <x:c r="J299" s="79" t="n">
        <x:v>1.19</x:v>
      </x:c>
      <x:c r="K299" s="211" t="n">
        <x:v>24</x:v>
      </x:c>
      <x:c r="L299" s="212" t="s"/>
      <x:c r="M299" s="213" t="n">
        <x:v>1.19</x:v>
      </x:c>
      <x:c r="N299" s="214" t="n">
        <x:v>0</x:v>
      </x:c>
      <x:c r="O299" s="214" t="n">
        <x:v>0</x:v>
      </x:c>
      <x:c r="P299" s="215">
        <x:f>ROUND(((K299*M299) - (K299*M299*N299/100)) + (((K299*M299) - (K299*M299*N299/100)) * O299/100), 2)</x:f>
      </x:c>
      <x:c r="Q299" s="216" t="s"/>
      <x:c r="R299" s="216" t="s"/>
      <x:c r="S299" s="81" t="s">
        <x:v>882</x:v>
      </x:c>
      <x:c r="T299" s="209" t="s"/>
      <x:c r="U299" s="210" t="s"/>
    </x:row>
    <x:row r="300" spans="1:23">
      <x:c r="A300" s="76" t="n">
        <x:v>280</x:v>
      </x:c>
      <x:c r="B300" s="76" t="n">
        <x:v>5210543</x:v>
      </x:c>
      <x:c r="C300" s="77" t="s">
        <x:v>883</x:v>
      </x:c>
      <x:c r="D300" s="78" t="s">
        <x:v>884</x:v>
      </x:c>
      <x:c r="E300" s="79" t="s"/>
      <x:c r="F300" s="77" t="s"/>
      <x:c r="G300" s="92" t="n">
        <x:v>1</x:v>
      </x:c>
      <x:c r="H300" s="77" t="s">
        <x:v>154</x:v>
      </x:c>
      <x:c r="I300" s="77" t="s">
        <x:v>220</x:v>
      </x:c>
      <x:c r="J300" s="79" t="n">
        <x:v>12.42</x:v>
      </x:c>
      <x:c r="K300" s="211" t="n">
        <x:v>4</x:v>
      </x:c>
      <x:c r="L300" s="212" t="s"/>
      <x:c r="M300" s="213" t="n">
        <x:v>12.42</x:v>
      </x:c>
      <x:c r="N300" s="214" t="n">
        <x:v>0</x:v>
      </x:c>
      <x:c r="O300" s="214" t="n">
        <x:v>0</x:v>
      </x:c>
      <x:c r="P300" s="215">
        <x:f>ROUND(((K300*M300) - (K300*M300*N300/100)) + (((K300*M300) - (K300*M300*N300/100)) * O300/100), 2)</x:f>
      </x:c>
      <x:c r="Q300" s="216" t="s"/>
      <x:c r="R300" s="216" t="s"/>
      <x:c r="S300" s="81" t="s">
        <x:v>885</x:v>
      </x:c>
      <x:c r="T300" s="209" t="s"/>
      <x:c r="U300" s="210" t="s"/>
    </x:row>
    <x:row r="301" spans="1:23">
      <x:c r="A301" s="76" t="n">
        <x:v>281</x:v>
      </x:c>
      <x:c r="B301" s="76" t="n">
        <x:v>5210655</x:v>
      </x:c>
      <x:c r="C301" s="77" t="s">
        <x:v>886</x:v>
      </x:c>
      <x:c r="D301" s="78" t="s">
        <x:v>887</x:v>
      </x:c>
      <x:c r="E301" s="79" t="s"/>
      <x:c r="F301" s="77" t="s"/>
      <x:c r="G301" s="92" t="n">
        <x:v>1</x:v>
      </x:c>
      <x:c r="H301" s="77" t="s">
        <x:v>154</x:v>
      </x:c>
      <x:c r="I301" s="77" t="s">
        <x:v>98</x:v>
      </x:c>
      <x:c r="J301" s="79" t="n">
        <x:v>11.86</x:v>
      </x:c>
      <x:c r="K301" s="211" t="n">
        <x:v>5</x:v>
      </x:c>
      <x:c r="L301" s="212" t="s"/>
      <x:c r="M301" s="213" t="n">
        <x:v>11.86</x:v>
      </x:c>
      <x:c r="N301" s="214" t="n">
        <x:v>0</x:v>
      </x:c>
      <x:c r="O301" s="214" t="n">
        <x:v>0</x:v>
      </x:c>
      <x:c r="P301" s="215">
        <x:f>ROUND(((K301*M301) - (K301*M301*N301/100)) + (((K301*M301) - (K301*M301*N301/100)) * O301/100), 2)</x:f>
      </x:c>
      <x:c r="Q301" s="216" t="s"/>
      <x:c r="R301" s="216" t="s"/>
      <x:c r="S301" s="81" t="s">
        <x:v>888</x:v>
      </x:c>
      <x:c r="T301" s="209" t="s"/>
      <x:c r="U301" s="210" t="s"/>
    </x:row>
    <x:row r="302" spans="1:23">
      <x:c r="A302" s="76" t="n">
        <x:v>282</x:v>
      </x:c>
      <x:c r="B302" s="76" t="n">
        <x:v>6623227</x:v>
      </x:c>
      <x:c r="C302" s="77" t="s">
        <x:v>889</x:v>
      </x:c>
      <x:c r="D302" s="78" t="s">
        <x:v>890</x:v>
      </x:c>
      <x:c r="E302" s="79" t="s"/>
      <x:c r="F302" s="77" t="s"/>
      <x:c r="G302" s="92" t="n">
        <x:v>1</x:v>
      </x:c>
      <x:c r="H302" s="77" t="s">
        <x:v>154</x:v>
      </x:c>
      <x:c r="I302" s="77" t="s">
        <x:v>98</x:v>
      </x:c>
      <x:c r="J302" s="79" t="n">
        <x:v>5.67</x:v>
      </x:c>
      <x:c r="K302" s="211" t="n">
        <x:v>4</x:v>
      </x:c>
      <x:c r="L302" s="212" t="s"/>
      <x:c r="M302" s="213" t="n">
        <x:v>5.67</x:v>
      </x:c>
      <x:c r="N302" s="214" t="n">
        <x:v>0</x:v>
      </x:c>
      <x:c r="O302" s="214" t="n">
        <x:v>0</x:v>
      </x:c>
      <x:c r="P302" s="215">
        <x:f>ROUND(((K302*M302) - (K302*M302*N302/100)) + (((K302*M302) - (K302*M302*N302/100)) * O302/100), 2)</x:f>
      </x:c>
      <x:c r="Q302" s="216" t="s"/>
      <x:c r="R302" s="216" t="s"/>
      <x:c r="S302" s="81" t="s">
        <x:v>891</x:v>
      </x:c>
      <x:c r="T302" s="209" t="s"/>
      <x:c r="U302" s="210" t="s"/>
    </x:row>
    <x:row r="303" spans="1:23">
      <x:c r="A303" s="76" t="n">
        <x:v>283</x:v>
      </x:c>
      <x:c r="B303" s="76" t="n">
        <x:v>5986069</x:v>
      </x:c>
      <x:c r="C303" s="77" t="s">
        <x:v>892</x:v>
      </x:c>
      <x:c r="D303" s="78" t="s">
        <x:v>893</x:v>
      </x:c>
      <x:c r="E303" s="79" t="s"/>
      <x:c r="F303" s="77" t="s"/>
      <x:c r="G303" s="92" t="n">
        <x:v>1</x:v>
      </x:c>
      <x:c r="H303" s="77" t="s">
        <x:v>154</x:v>
      </x:c>
      <x:c r="I303" s="77" t="s">
        <x:v>72</x:v>
      </x:c>
      <x:c r="J303" s="79" t="n">
        <x:v>10.72</x:v>
      </x:c>
      <x:c r="K303" s="211" t="n">
        <x:v>5</x:v>
      </x:c>
      <x:c r="L303" s="212" t="s"/>
      <x:c r="M303" s="213" t="n">
        <x:v>10.72</x:v>
      </x:c>
      <x:c r="N303" s="214" t="n">
        <x:v>0</x:v>
      </x:c>
      <x:c r="O303" s="214" t="n">
        <x:v>0</x:v>
      </x:c>
      <x:c r="P303" s="215">
        <x:f>ROUND(((K303*M303) - (K303*M303*N303/100)) + (((K303*M303) - (K303*M303*N303/100)) * O303/100), 2)</x:f>
      </x:c>
      <x:c r="Q303" s="216" t="s"/>
      <x:c r="R303" s="216" t="s"/>
      <x:c r="S303" s="81" t="s">
        <x:v>894</x:v>
      </x:c>
      <x:c r="T303" s="209" t="s"/>
      <x:c r="U303" s="210" t="s"/>
    </x:row>
    <x:row r="304" spans="1:23">
      <x:c r="A304" s="76" t="n">
        <x:v>284</x:v>
      </x:c>
      <x:c r="B304" s="76" t="n">
        <x:v>5210605</x:v>
      </x:c>
      <x:c r="C304" s="77" t="s">
        <x:v>895</x:v>
      </x:c>
      <x:c r="D304" s="78" t="s">
        <x:v>896</x:v>
      </x:c>
      <x:c r="E304" s="79" t="s"/>
      <x:c r="F304" s="77" t="s"/>
      <x:c r="G304" s="92" t="n">
        <x:v>1</x:v>
      </x:c>
      <x:c r="H304" s="77" t="s">
        <x:v>154</x:v>
      </x:c>
      <x:c r="I304" s="77" t="s">
        <x:v>72</x:v>
      </x:c>
      <x:c r="J304" s="79" t="n">
        <x:v>10.72</x:v>
      </x:c>
      <x:c r="K304" s="211" t="n">
        <x:v>20</x:v>
      </x:c>
      <x:c r="L304" s="212" t="s"/>
      <x:c r="M304" s="213" t="n">
        <x:v>10.72</x:v>
      </x:c>
      <x:c r="N304" s="214" t="n">
        <x:v>0</x:v>
      </x:c>
      <x:c r="O304" s="214" t="n">
        <x:v>0</x:v>
      </x:c>
      <x:c r="P304" s="215">
        <x:f>ROUND(((K304*M304) - (K304*M304*N304/100)) + (((K304*M304) - (K304*M304*N304/100)) * O304/100), 2)</x:f>
      </x:c>
      <x:c r="Q304" s="216" t="s"/>
      <x:c r="R304" s="216" t="s"/>
      <x:c r="S304" s="81" t="s">
        <x:v>894</x:v>
      </x:c>
      <x:c r="T304" s="209" t="s"/>
      <x:c r="U304" s="210" t="s"/>
    </x:row>
    <x:row r="305" spans="1:23">
      <x:c r="A305" s="76" t="n">
        <x:v>285</x:v>
      </x:c>
      <x:c r="B305" s="76" t="n">
        <x:v>5317288</x:v>
      </x:c>
      <x:c r="C305" s="77" t="s">
        <x:v>897</x:v>
      </x:c>
      <x:c r="D305" s="78" t="s">
        <x:v>898</x:v>
      </x:c>
      <x:c r="E305" s="79" t="s"/>
      <x:c r="F305" s="77" t="s"/>
      <x:c r="G305" s="92" t="n">
        <x:v>1</x:v>
      </x:c>
      <x:c r="H305" s="77" t="s">
        <x:v>154</x:v>
      </x:c>
      <x:c r="I305" s="77" t="s">
        <x:v>72</x:v>
      </x:c>
      <x:c r="J305" s="79" t="n">
        <x:v>29.9</x:v>
      </x:c>
      <x:c r="K305" s="211" t="n">
        <x:v>10</x:v>
      </x:c>
      <x:c r="L305" s="212" t="s"/>
      <x:c r="M305" s="213" t="n">
        <x:v>29.9</x:v>
      </x:c>
      <x:c r="N305" s="214" t="n">
        <x:v>0</x:v>
      </x:c>
      <x:c r="O305" s="214" t="n">
        <x:v>0</x:v>
      </x:c>
      <x:c r="P305" s="215">
        <x:f>ROUND(((K305*M305) - (K305*M305*N305/100)) + (((K305*M305) - (K305*M305*N305/100)) * O305/100), 2)</x:f>
      </x:c>
      <x:c r="Q305" s="216" t="s"/>
      <x:c r="R305" s="216" t="s"/>
      <x:c r="S305" s="81" t="s">
        <x:v>899</x:v>
      </x:c>
      <x:c r="T305" s="209" t="s"/>
      <x:c r="U305" s="210" t="s"/>
    </x:row>
    <x:row r="306" spans="1:23">
      <x:c r="A306" s="76" t="n">
        <x:v>286</x:v>
      </x:c>
      <x:c r="B306" s="76" t="n">
        <x:v>5210874</x:v>
      </x:c>
      <x:c r="C306" s="77" t="s">
        <x:v>900</x:v>
      </x:c>
      <x:c r="D306" s="78" t="s">
        <x:v>901</x:v>
      </x:c>
      <x:c r="E306" s="79" t="s"/>
      <x:c r="F306" s="77" t="s"/>
      <x:c r="G306" s="92" t="n">
        <x:v>500</x:v>
      </x:c>
      <x:c r="H306" s="77" t="s">
        <x:v>56</x:v>
      </x:c>
      <x:c r="I306" s="77" t="s">
        <x:v>57</x:v>
      </x:c>
      <x:c r="J306" s="79" t="n">
        <x:v>1.38</x:v>
      </x:c>
      <x:c r="K306" s="211" t="n">
        <x:v>8</x:v>
      </x:c>
      <x:c r="L306" s="212" t="s"/>
      <x:c r="M306" s="213" t="n">
        <x:v>1.38</x:v>
      </x:c>
      <x:c r="N306" s="214" t="n">
        <x:v>0</x:v>
      </x:c>
      <x:c r="O306" s="214" t="n">
        <x:v>0</x:v>
      </x:c>
      <x:c r="P306" s="215">
        <x:f>ROUND(((K306*M306) - (K306*M306*N306/100)) + (((K306*M306) - (K306*M306*N306/100)) * O306/100), 2)</x:f>
      </x:c>
      <x:c r="Q306" s="216" t="s"/>
      <x:c r="R306" s="216" t="s"/>
      <x:c r="S306" s="81" t="s">
        <x:v>902</x:v>
      </x:c>
      <x:c r="T306" s="209" t="s"/>
      <x:c r="U306" s="210" t="s"/>
    </x:row>
    <x:row r="307" spans="1:23">
      <x:c r="A307" s="76" t="n">
        <x:v>287</x:v>
      </x:c>
      <x:c r="B307" s="76" t="n">
        <x:v>5210877</x:v>
      </x:c>
      <x:c r="C307" s="77" t="s">
        <x:v>903</x:v>
      </x:c>
      <x:c r="D307" s="78" t="s">
        <x:v>904</x:v>
      </x:c>
      <x:c r="E307" s="79" t="s"/>
      <x:c r="F307" s="77" t="s"/>
      <x:c r="G307" s="92" t="n">
        <x:v>500</x:v>
      </x:c>
      <x:c r="H307" s="77" t="s">
        <x:v>56</x:v>
      </x:c>
      <x:c r="I307" s="77" t="s">
        <x:v>220</x:v>
      </x:c>
      <x:c r="J307" s="79" t="n">
        <x:v>0.7</x:v>
      </x:c>
      <x:c r="K307" s="211" t="n">
        <x:v>6</x:v>
      </x:c>
      <x:c r="L307" s="212" t="s"/>
      <x:c r="M307" s="213" t="n">
        <x:v>0.7</x:v>
      </x:c>
      <x:c r="N307" s="214" t="n">
        <x:v>0</x:v>
      </x:c>
      <x:c r="O307" s="214" t="n">
        <x:v>0</x:v>
      </x:c>
      <x:c r="P307" s="215">
        <x:f>ROUND(((K307*M307) - (K307*M307*N307/100)) + (((K307*M307) - (K307*M307*N307/100)) * O307/100), 2)</x:f>
      </x:c>
      <x:c r="Q307" s="216" t="s"/>
      <x:c r="R307" s="216" t="s"/>
      <x:c r="S307" s="81" t="s">
        <x:v>905</x:v>
      </x:c>
      <x:c r="T307" s="209" t="s"/>
      <x:c r="U307" s="210" t="s"/>
    </x:row>
    <x:row r="308" spans="1:23">
      <x:c r="A308" s="76" t="n">
        <x:v>288</x:v>
      </x:c>
      <x:c r="B308" s="76" t="n">
        <x:v>6660435</x:v>
      </x:c>
      <x:c r="C308" s="77" t="s">
        <x:v>906</x:v>
      </x:c>
      <x:c r="D308" s="78" t="s">
        <x:v>907</x:v>
      </x:c>
      <x:c r="E308" s="79" t="s"/>
      <x:c r="F308" s="77" t="s"/>
      <x:c r="G308" s="92" t="n">
        <x:v>500</x:v>
      </x:c>
      <x:c r="H308" s="77" t="s">
        <x:v>56</x:v>
      </x:c>
      <x:c r="I308" s="77" t="s">
        <x:v>220</x:v>
      </x:c>
      <x:c r="J308" s="79" t="n">
        <x:v>0.92</x:v>
      </x:c>
      <x:c r="K308" s="211" t="n">
        <x:v>12</x:v>
      </x:c>
      <x:c r="L308" s="212" t="s"/>
      <x:c r="M308" s="213" t="n">
        <x:v>0.92</x:v>
      </x:c>
      <x:c r="N308" s="214" t="n">
        <x:v>0</x:v>
      </x:c>
      <x:c r="O308" s="214" t="n">
        <x:v>0</x:v>
      </x:c>
      <x:c r="P308" s="215">
        <x:f>ROUND(((K308*M308) - (K308*M308*N308/100)) + (((K308*M308) - (K308*M308*N308/100)) * O308/100), 2)</x:f>
      </x:c>
      <x:c r="Q308" s="216" t="s"/>
      <x:c r="R308" s="216" t="s"/>
      <x:c r="S308" s="81" t="s">
        <x:v>908</x:v>
      </x:c>
      <x:c r="T308" s="209" t="s"/>
      <x:c r="U308" s="210" t="s"/>
    </x:row>
    <x:row r="309" spans="1:23">
      <x:c r="A309" s="76" t="n">
        <x:v>289</x:v>
      </x:c>
      <x:c r="B309" s="76" t="n">
        <x:v>5211160</x:v>
      </x:c>
      <x:c r="C309" s="77" t="s">
        <x:v>909</x:v>
      </x:c>
      <x:c r="D309" s="78" t="s">
        <x:v>910</x:v>
      </x:c>
      <x:c r="E309" s="79" t="s"/>
      <x:c r="F309" s="77" t="s"/>
      <x:c r="G309" s="92" t="n">
        <x:v>500</x:v>
      </x:c>
      <x:c r="H309" s="77" t="s">
        <x:v>56</x:v>
      </x:c>
      <x:c r="I309" s="77" t="s">
        <x:v>220</x:v>
      </x:c>
      <x:c r="J309" s="79" t="n">
        <x:v>0.7</x:v>
      </x:c>
      <x:c r="K309" s="211" t="n">
        <x:v>12</x:v>
      </x:c>
      <x:c r="L309" s="212" t="s"/>
      <x:c r="M309" s="213" t="n">
        <x:v>0.7</x:v>
      </x:c>
      <x:c r="N309" s="214" t="n">
        <x:v>0</x:v>
      </x:c>
      <x:c r="O309" s="214" t="n">
        <x:v>0</x:v>
      </x:c>
      <x:c r="P309" s="215">
        <x:f>ROUND(((K309*M309) - (K309*M309*N309/100)) + (((K309*M309) - (K309*M309*N309/100)) * O309/100), 2)</x:f>
      </x:c>
      <x:c r="Q309" s="216" t="s"/>
      <x:c r="R309" s="216" t="s"/>
      <x:c r="S309" s="81" t="s">
        <x:v>911</x:v>
      </x:c>
      <x:c r="T309" s="209" t="s"/>
      <x:c r="U309" s="210" t="s"/>
    </x:row>
    <x:row r="310" spans="1:23">
      <x:c r="A310" s="76" t="n">
        <x:v>290</x:v>
      </x:c>
      <x:c r="B310" s="76" t="n">
        <x:v>5210572</x:v>
      </x:c>
      <x:c r="C310" s="77" t="s">
        <x:v>912</x:v>
      </x:c>
      <x:c r="D310" s="78" t="s">
        <x:v>913</x:v>
      </x:c>
      <x:c r="E310" s="79" t="s"/>
      <x:c r="F310" s="77" t="s"/>
      <x:c r="G310" s="92" t="n">
        <x:v>1</x:v>
      </x:c>
      <x:c r="H310" s="77" t="s">
        <x:v>154</x:v>
      </x:c>
      <x:c r="I310" s="77" t="s">
        <x:v>72</x:v>
      </x:c>
      <x:c r="J310" s="79" t="n">
        <x:v>3.3</x:v>
      </x:c>
      <x:c r="K310" s="211" t="n">
        <x:v>12</x:v>
      </x:c>
      <x:c r="L310" s="212" t="s"/>
      <x:c r="M310" s="213" t="n">
        <x:v>3.3</x:v>
      </x:c>
      <x:c r="N310" s="214" t="n">
        <x:v>0</x:v>
      </x:c>
      <x:c r="O310" s="214" t="n">
        <x:v>0</x:v>
      </x:c>
      <x:c r="P310" s="215">
        <x:f>ROUND(((K310*M310) - (K310*M310*N310/100)) + (((K310*M310) - (K310*M310*N310/100)) * O310/100), 2)</x:f>
      </x:c>
      <x:c r="Q310" s="216" t="s"/>
      <x:c r="R310" s="216" t="s"/>
      <x:c r="S310" s="81" t="s">
        <x:v>914</x:v>
      </x:c>
      <x:c r="T310" s="209" t="s"/>
      <x:c r="U310" s="210" t="s"/>
    </x:row>
    <x:row r="311" spans="1:23">
      <x:c r="A311" s="76" t="n">
        <x:v>291</x:v>
      </x:c>
      <x:c r="B311" s="76" t="n">
        <x:v>5210626</x:v>
      </x:c>
      <x:c r="C311" s="77" t="s">
        <x:v>915</x:v>
      </x:c>
      <x:c r="D311" s="78" t="s">
        <x:v>916</x:v>
      </x:c>
      <x:c r="E311" s="79" t="s"/>
      <x:c r="F311" s="77" t="s"/>
      <x:c r="G311" s="92" t="n">
        <x:v>1</x:v>
      </x:c>
      <x:c r="H311" s="77" t="s">
        <x:v>154</x:v>
      </x:c>
      <x:c r="I311" s="77" t="s">
        <x:v>72</x:v>
      </x:c>
      <x:c r="J311" s="79" t="n">
        <x:v>2.63</x:v>
      </x:c>
      <x:c r="K311" s="211" t="n">
        <x:v>10</x:v>
      </x:c>
      <x:c r="L311" s="212" t="s"/>
      <x:c r="M311" s="213" t="n">
        <x:v>2.63</x:v>
      </x:c>
      <x:c r="N311" s="214" t="n">
        <x:v>0</x:v>
      </x:c>
      <x:c r="O311" s="214" t="n">
        <x:v>0</x:v>
      </x:c>
      <x:c r="P311" s="215">
        <x:f>ROUND(((K311*M311) - (K311*M311*N311/100)) + (((K311*M311) - (K311*M311*N311/100)) * O311/100), 2)</x:f>
      </x:c>
      <x:c r="Q311" s="216" t="s"/>
      <x:c r="R311" s="216" t="s"/>
      <x:c r="S311" s="81" t="s">
        <x:v>917</x:v>
      </x:c>
      <x:c r="T311" s="209" t="s"/>
      <x:c r="U311" s="210" t="s"/>
    </x:row>
    <x:row r="312" spans="1:23">
      <x:c r="A312" s="76" t="n">
        <x:v>292</x:v>
      </x:c>
      <x:c r="B312" s="76" t="n">
        <x:v>5211082</x:v>
      </x:c>
      <x:c r="C312" s="77" t="s">
        <x:v>918</x:v>
      </x:c>
      <x:c r="D312" s="78" t="s">
        <x:v>919</x:v>
      </x:c>
      <x:c r="E312" s="79" t="s"/>
      <x:c r="F312" s="77" t="s"/>
      <x:c r="G312" s="92" t="n">
        <x:v>1</x:v>
      </x:c>
      <x:c r="H312" s="77" t="s">
        <x:v>154</x:v>
      </x:c>
      <x:c r="I312" s="77" t="s">
        <x:v>72</x:v>
      </x:c>
      <x:c r="J312" s="79" t="n">
        <x:v>2.94</x:v>
      </x:c>
      <x:c r="K312" s="211" t="n">
        <x:v>4</x:v>
      </x:c>
      <x:c r="L312" s="212" t="s"/>
      <x:c r="M312" s="213" t="n">
        <x:v>2.94</x:v>
      </x:c>
      <x:c r="N312" s="214" t="n">
        <x:v>0</x:v>
      </x:c>
      <x:c r="O312" s="214" t="n">
        <x:v>0</x:v>
      </x:c>
      <x:c r="P312" s="215">
        <x:f>ROUND(((K312*M312) - (K312*M312*N312/100)) + (((K312*M312) - (K312*M312*N312/100)) * O312/100), 2)</x:f>
      </x:c>
      <x:c r="Q312" s="216" t="s"/>
      <x:c r="R312" s="216" t="s"/>
      <x:c r="S312" s="81" t="s">
        <x:v>920</x:v>
      </x:c>
      <x:c r="T312" s="209" t="s"/>
      <x:c r="U312" s="210" t="s"/>
    </x:row>
    <x:row r="313" spans="1:23">
      <x:c r="A313" s="76" t="n">
        <x:v>293</x:v>
      </x:c>
      <x:c r="B313" s="76" t="n">
        <x:v>5210750</x:v>
      </x:c>
      <x:c r="C313" s="77" t="s">
        <x:v>921</x:v>
      </x:c>
      <x:c r="D313" s="78" t="s">
        <x:v>922</x:v>
      </x:c>
      <x:c r="E313" s="79" t="s"/>
      <x:c r="F313" s="77" t="s"/>
      <x:c r="G313" s="92" t="n">
        <x:v>1</x:v>
      </x:c>
      <x:c r="H313" s="77" t="s">
        <x:v>154</x:v>
      </x:c>
      <x:c r="I313" s="77" t="s">
        <x:v>57</x:v>
      </x:c>
      <x:c r="J313" s="79" t="n">
        <x:v>1.49</x:v>
      </x:c>
      <x:c r="K313" s="211" t="n">
        <x:v>5</x:v>
      </x:c>
      <x:c r="L313" s="212" t="s"/>
      <x:c r="M313" s="213" t="n">
        <x:v>1.49</x:v>
      </x:c>
      <x:c r="N313" s="214" t="n">
        <x:v>0</x:v>
      </x:c>
      <x:c r="O313" s="214" t="n">
        <x:v>0</x:v>
      </x:c>
      <x:c r="P313" s="215">
        <x:f>ROUND(((K313*M313) - (K313*M313*N313/100)) + (((K313*M313) - (K313*M313*N313/100)) * O313/100), 2)</x:f>
      </x:c>
      <x:c r="Q313" s="216" t="s"/>
      <x:c r="R313" s="216" t="s"/>
      <x:c r="S313" s="81" t="s">
        <x:v>923</x:v>
      </x:c>
      <x:c r="T313" s="209" t="s"/>
      <x:c r="U313" s="210" t="s"/>
    </x:row>
    <x:row r="314" spans="1:23">
      <x:c r="A314" s="76" t="n">
        <x:v>294</x:v>
      </x:c>
      <x:c r="B314" s="76" t="n">
        <x:v>5309416</x:v>
      </x:c>
      <x:c r="C314" s="77" t="s">
        <x:v>924</x:v>
      </x:c>
      <x:c r="D314" s="78" t="s">
        <x:v>925</x:v>
      </x:c>
      <x:c r="E314" s="79" t="s"/>
      <x:c r="F314" s="77" t="s"/>
      <x:c r="G314" s="92" t="n">
        <x:v>1</x:v>
      </x:c>
      <x:c r="H314" s="77" t="s">
        <x:v>154</x:v>
      </x:c>
      <x:c r="I314" s="77" t="s">
        <x:v>57</x:v>
      </x:c>
      <x:c r="J314" s="79" t="n">
        <x:v>1.96</x:v>
      </x:c>
      <x:c r="K314" s="211" t="n">
        <x:v>5</x:v>
      </x:c>
      <x:c r="L314" s="212" t="s"/>
      <x:c r="M314" s="213" t="n">
        <x:v>1.96</x:v>
      </x:c>
      <x:c r="N314" s="214" t="n">
        <x:v>0</x:v>
      </x:c>
      <x:c r="O314" s="214" t="n">
        <x:v>0</x:v>
      </x:c>
      <x:c r="P314" s="215">
        <x:f>ROUND(((K314*M314) - (K314*M314*N314/100)) + (((K314*M314) - (K314*M314*N314/100)) * O314/100), 2)</x:f>
      </x:c>
      <x:c r="Q314" s="216" t="s"/>
      <x:c r="R314" s="216" t="s"/>
      <x:c r="S314" s="81" t="s">
        <x:v>926</x:v>
      </x:c>
      <x:c r="T314" s="209" t="s"/>
      <x:c r="U314" s="210" t="s"/>
    </x:row>
    <x:row r="315" spans="1:23">
      <x:c r="A315" s="76" t="n">
        <x:v>295</x:v>
      </x:c>
      <x:c r="B315" s="76" t="n">
        <x:v>5211150</x:v>
      </x:c>
      <x:c r="C315" s="77" t="s">
        <x:v>927</x:v>
      </x:c>
      <x:c r="D315" s="78" t="s">
        <x:v>928</x:v>
      </x:c>
      <x:c r="E315" s="79" t="s"/>
      <x:c r="F315" s="77" t="s"/>
      <x:c r="G315" s="92" t="n">
        <x:v>1</x:v>
      </x:c>
      <x:c r="H315" s="77" t="s">
        <x:v>154</x:v>
      </x:c>
      <x:c r="I315" s="77" t="s">
        <x:v>220</x:v>
      </x:c>
      <x:c r="J315" s="79" t="n">
        <x:v>3.4</x:v>
      </x:c>
      <x:c r="K315" s="211" t="n">
        <x:v>7</x:v>
      </x:c>
      <x:c r="L315" s="212" t="s"/>
      <x:c r="M315" s="213" t="n">
        <x:v>3.4</x:v>
      </x:c>
      <x:c r="N315" s="214" t="n">
        <x:v>0</x:v>
      </x:c>
      <x:c r="O315" s="214" t="n">
        <x:v>0</x:v>
      </x:c>
      <x:c r="P315" s="215">
        <x:f>ROUND(((K315*M315) - (K315*M315*N315/100)) + (((K315*M315) - (K315*M315*N315/100)) * O315/100), 2)</x:f>
      </x:c>
      <x:c r="Q315" s="216" t="s"/>
      <x:c r="R315" s="216" t="s"/>
      <x:c r="S315" s="81" t="s">
        <x:v>929</x:v>
      </x:c>
      <x:c r="T315" s="209" t="s"/>
      <x:c r="U315" s="210" t="s"/>
    </x:row>
    <x:row r="316" spans="1:23">
      <x:c r="A316" s="76" t="n">
        <x:v>296</x:v>
      </x:c>
      <x:c r="B316" s="76" t="n">
        <x:v>5211151</x:v>
      </x:c>
      <x:c r="C316" s="77" t="s">
        <x:v>930</x:v>
      </x:c>
      <x:c r="D316" s="78" t="s">
        <x:v>931</x:v>
      </x:c>
      <x:c r="E316" s="79" t="s"/>
      <x:c r="F316" s="77" t="s"/>
      <x:c r="G316" s="92" t="n">
        <x:v>1</x:v>
      </x:c>
      <x:c r="H316" s="77" t="s">
        <x:v>154</x:v>
      </x:c>
      <x:c r="I316" s="77" t="s">
        <x:v>72</x:v>
      </x:c>
      <x:c r="J316" s="79" t="n">
        <x:v>2.27</x:v>
      </x:c>
      <x:c r="K316" s="211" t="n">
        <x:v>20</x:v>
      </x:c>
      <x:c r="L316" s="212" t="s"/>
      <x:c r="M316" s="213" t="n">
        <x:v>2.27</x:v>
      </x:c>
      <x:c r="N316" s="214" t="n">
        <x:v>0</x:v>
      </x:c>
      <x:c r="O316" s="214" t="n">
        <x:v>0</x:v>
      </x:c>
      <x:c r="P316" s="215">
        <x:f>ROUND(((K316*M316) - (K316*M316*N316/100)) + (((K316*M316) - (K316*M316*N316/100)) * O316/100), 2)</x:f>
      </x:c>
      <x:c r="Q316" s="216" t="s"/>
      <x:c r="R316" s="216" t="s"/>
      <x:c r="S316" s="81" t="s">
        <x:v>932</x:v>
      </x:c>
      <x:c r="T316" s="209" t="s"/>
      <x:c r="U316" s="210" t="s"/>
    </x:row>
    <x:row r="317" spans="1:23">
      <x:c r="A317" s="76" t="n">
        <x:v>297</x:v>
      </x:c>
      <x:c r="B317" s="76" t="n">
        <x:v>5211152</x:v>
      </x:c>
      <x:c r="C317" s="77" t="s">
        <x:v>933</x:v>
      </x:c>
      <x:c r="D317" s="78" t="s">
        <x:v>934</x:v>
      </x:c>
      <x:c r="E317" s="79" t="s"/>
      <x:c r="F317" s="77" t="s"/>
      <x:c r="G317" s="92" t="n">
        <x:v>1</x:v>
      </x:c>
      <x:c r="H317" s="77" t="s">
        <x:v>154</x:v>
      </x:c>
      <x:c r="I317" s="77" t="s">
        <x:v>72</x:v>
      </x:c>
      <x:c r="J317" s="79" t="n">
        <x:v>1.86</x:v>
      </x:c>
      <x:c r="K317" s="211" t="n">
        <x:v>20</x:v>
      </x:c>
      <x:c r="L317" s="212" t="s"/>
      <x:c r="M317" s="213" t="n">
        <x:v>1.86</x:v>
      </x:c>
      <x:c r="N317" s="214" t="n">
        <x:v>0</x:v>
      </x:c>
      <x:c r="O317" s="214" t="n">
        <x:v>0</x:v>
      </x:c>
      <x:c r="P317" s="215">
        <x:f>ROUND(((K317*M317) - (K317*M317*N317/100)) + (((K317*M317) - (K317*M317*N317/100)) * O317/100), 2)</x:f>
      </x:c>
      <x:c r="Q317" s="216" t="s"/>
      <x:c r="R317" s="216" t="s"/>
      <x:c r="S317" s="81" t="s">
        <x:v>935</x:v>
      </x:c>
      <x:c r="T317" s="209" t="s"/>
      <x:c r="U317" s="210" t="s"/>
    </x:row>
    <x:row r="318" spans="1:23">
      <x:c r="A318" s="76" t="n">
        <x:v>298</x:v>
      </x:c>
      <x:c r="B318" s="76" t="n">
        <x:v>5211153</x:v>
      </x:c>
      <x:c r="C318" s="77" t="s">
        <x:v>936</x:v>
      </x:c>
      <x:c r="D318" s="78" t="s">
        <x:v>937</x:v>
      </x:c>
      <x:c r="E318" s="79" t="s"/>
      <x:c r="F318" s="77" t="s"/>
      <x:c r="G318" s="92" t="n">
        <x:v>1</x:v>
      </x:c>
      <x:c r="H318" s="77" t="s">
        <x:v>154</x:v>
      </x:c>
      <x:c r="I318" s="77" t="s">
        <x:v>57</x:v>
      </x:c>
      <x:c r="J318" s="79" t="n">
        <x:v>1.8</x:v>
      </x:c>
      <x:c r="K318" s="211" t="n">
        <x:v>15</x:v>
      </x:c>
      <x:c r="L318" s="212" t="s"/>
      <x:c r="M318" s="213" t="n">
        <x:v>1.8</x:v>
      </x:c>
      <x:c r="N318" s="214" t="n">
        <x:v>0</x:v>
      </x:c>
      <x:c r="O318" s="214" t="n">
        <x:v>0</x:v>
      </x:c>
      <x:c r="P318" s="215">
        <x:f>ROUND(((K318*M318) - (K318*M318*N318/100)) + (((K318*M318) - (K318*M318*N318/100)) * O318/100), 2)</x:f>
      </x:c>
      <x:c r="Q318" s="216" t="s"/>
      <x:c r="R318" s="216" t="s"/>
      <x:c r="S318" s="81" t="s">
        <x:v>938</x:v>
      </x:c>
      <x:c r="T318" s="209" t="s"/>
      <x:c r="U318" s="210" t="s"/>
    </x:row>
    <x:row r="319" spans="1:23">
      <x:c r="A319" s="76" t="n">
        <x:v>299</x:v>
      </x:c>
      <x:c r="B319" s="76" t="n">
        <x:v>6820124</x:v>
      </x:c>
      <x:c r="C319" s="77" t="s">
        <x:v>939</x:v>
      </x:c>
      <x:c r="D319" s="78" t="s">
        <x:v>940</x:v>
      </x:c>
      <x:c r="E319" s="79" t="s"/>
      <x:c r="F319" s="77" t="s"/>
      <x:c r="G319" s="92" t="n">
        <x:v>200</x:v>
      </x:c>
      <x:c r="H319" s="77" t="s">
        <x:v>56</x:v>
      </x:c>
      <x:c r="I319" s="77" t="s">
        <x:v>57</x:v>
      </x:c>
      <x:c r="J319" s="79" t="n">
        <x:v>1.38</x:v>
      </x:c>
      <x:c r="K319" s="211" t="n">
        <x:v>16</x:v>
      </x:c>
      <x:c r="L319" s="212" t="s"/>
      <x:c r="M319" s="213" t="n">
        <x:v>1.38</x:v>
      </x:c>
      <x:c r="N319" s="214" t="n">
        <x:v>0</x:v>
      </x:c>
      <x:c r="O319" s="214" t="n">
        <x:v>0</x:v>
      </x:c>
      <x:c r="P319" s="215">
        <x:f>ROUND(((K319*M319) - (K319*M319*N319/100)) + (((K319*M319) - (K319*M319*N319/100)) * O319/100), 2)</x:f>
      </x:c>
      <x:c r="Q319" s="216" t="s"/>
      <x:c r="R319" s="216" t="s"/>
      <x:c r="S319" s="81" t="s">
        <x:v>941</x:v>
      </x:c>
      <x:c r="T319" s="209" t="s"/>
      <x:c r="U319" s="210" t="s"/>
    </x:row>
    <x:row r="320" spans="1:23">
      <x:c r="A320" s="76" t="n">
        <x:v>300</x:v>
      </x:c>
      <x:c r="B320" s="76" t="n">
        <x:v>5210945</x:v>
      </x:c>
      <x:c r="C320" s="77" t="s">
        <x:v>942</x:v>
      </x:c>
      <x:c r="D320" s="78" t="s">
        <x:v>943</x:v>
      </x:c>
      <x:c r="E320" s="79" t="s"/>
      <x:c r="F320" s="77" t="s"/>
      <x:c r="G320" s="92" t="n">
        <x:v>200</x:v>
      </x:c>
      <x:c r="H320" s="77" t="s">
        <x:v>56</x:v>
      </x:c>
      <x:c r="I320" s="77" t="s">
        <x:v>57</x:v>
      </x:c>
      <x:c r="J320" s="79" t="n">
        <x:v>1.24</x:v>
      </x:c>
      <x:c r="K320" s="211" t="n">
        <x:v>58</x:v>
      </x:c>
      <x:c r="L320" s="212" t="s"/>
      <x:c r="M320" s="213" t="n">
        <x:v>1.24</x:v>
      </x:c>
      <x:c r="N320" s="214" t="n">
        <x:v>0</x:v>
      </x:c>
      <x:c r="O320" s="214" t="n">
        <x:v>0</x:v>
      </x:c>
      <x:c r="P320" s="215">
        <x:f>ROUND(((K320*M320) - (K320*M320*N320/100)) + (((K320*M320) - (K320*M320*N320/100)) * O320/100), 2)</x:f>
      </x:c>
      <x:c r="Q320" s="216" t="s"/>
      <x:c r="R320" s="216" t="s"/>
      <x:c r="S320" s="81" t="s">
        <x:v>944</x:v>
      </x:c>
      <x:c r="T320" s="209" t="s"/>
      <x:c r="U320" s="210" t="s"/>
    </x:row>
    <x:row r="321" spans="1:23">
      <x:c r="A321" s="76" t="n">
        <x:v>301</x:v>
      </x:c>
      <x:c r="B321" s="76" t="n">
        <x:v>5211003</x:v>
      </x:c>
      <x:c r="C321" s="77" t="s">
        <x:v>945</x:v>
      </x:c>
      <x:c r="D321" s="78" t="s">
        <x:v>946</x:v>
      </x:c>
      <x:c r="E321" s="79" t="s"/>
      <x:c r="F321" s="77" t="s"/>
      <x:c r="G321" s="92" t="n">
        <x:v>200</x:v>
      </x:c>
      <x:c r="H321" s="77" t="s">
        <x:v>56</x:v>
      </x:c>
      <x:c r="I321" s="77" t="s">
        <x:v>57</x:v>
      </x:c>
      <x:c r="J321" s="79" t="n">
        <x:v>1.24</x:v>
      </x:c>
      <x:c r="K321" s="211" t="n">
        <x:v>58</x:v>
      </x:c>
      <x:c r="L321" s="212" t="s"/>
      <x:c r="M321" s="213" t="n">
        <x:v>1.24</x:v>
      </x:c>
      <x:c r="N321" s="214" t="n">
        <x:v>0</x:v>
      </x:c>
      <x:c r="O321" s="214" t="n">
        <x:v>0</x:v>
      </x:c>
      <x:c r="P321" s="215">
        <x:f>ROUND(((K321*M321) - (K321*M321*N321/100)) + (((K321*M321) - (K321*M321*N321/100)) * O321/100), 2)</x:f>
      </x:c>
      <x:c r="Q321" s="216" t="s"/>
      <x:c r="R321" s="216" t="s"/>
      <x:c r="S321" s="81" t="s">
        <x:v>947</x:v>
      </x:c>
      <x:c r="T321" s="209" t="s"/>
      <x:c r="U321" s="210" t="s"/>
    </x:row>
    <x:row r="322" spans="1:23">
      <x:c r="A322" s="76" t="n">
        <x:v>302</x:v>
      </x:c>
      <x:c r="B322" s="76" t="n">
        <x:v>6799250</x:v>
      </x:c>
      <x:c r="C322" s="77" t="s">
        <x:v>948</x:v>
      </x:c>
      <x:c r="D322" s="78" t="s">
        <x:v>949</x:v>
      </x:c>
      <x:c r="E322" s="79" t="s"/>
      <x:c r="F322" s="77" t="s"/>
      <x:c r="G322" s="92" t="n">
        <x:v>200</x:v>
      </x:c>
      <x:c r="H322" s="77" t="s">
        <x:v>56</x:v>
      </x:c>
      <x:c r="I322" s="77" t="s">
        <x:v>57</x:v>
      </x:c>
      <x:c r="J322" s="79" t="n">
        <x:v>1.7</x:v>
      </x:c>
      <x:c r="K322" s="211" t="n">
        <x:v>24</x:v>
      </x:c>
      <x:c r="L322" s="212" t="s"/>
      <x:c r="M322" s="213" t="n">
        <x:v>1.7</x:v>
      </x:c>
      <x:c r="N322" s="214" t="n">
        <x:v>0</x:v>
      </x:c>
      <x:c r="O322" s="214" t="n">
        <x:v>0</x:v>
      </x:c>
      <x:c r="P322" s="215">
        <x:f>ROUND(((K322*M322) - (K322*M322*N322/100)) + (((K322*M322) - (K322*M322*N322/100)) * O322/100), 2)</x:f>
      </x:c>
      <x:c r="Q322" s="216" t="s"/>
      <x:c r="R322" s="216" t="s"/>
      <x:c r="S322" s="81" t="s">
        <x:v>950</x:v>
      </x:c>
      <x:c r="T322" s="209" t="s"/>
      <x:c r="U322" s="210" t="s"/>
    </x:row>
    <x:row r="323" spans="1:23">
      <x:c r="A323" s="76" t="n">
        <x:v>303</x:v>
      </x:c>
      <x:c r="B323" s="76" t="n">
        <x:v>5210824</x:v>
      </x:c>
      <x:c r="C323" s="77" t="s">
        <x:v>951</x:v>
      </x:c>
      <x:c r="D323" s="78" t="s">
        <x:v>952</x:v>
      </x:c>
      <x:c r="E323" s="79" t="s"/>
      <x:c r="F323" s="77" t="s"/>
      <x:c r="G323" s="92" t="n">
        <x:v>1</x:v>
      </x:c>
      <x:c r="H323" s="77" t="s">
        <x:v>154</x:v>
      </x:c>
      <x:c r="I323" s="77" t="s">
        <x:v>57</x:v>
      </x:c>
      <x:c r="J323" s="79" t="n">
        <x:v>3.4</x:v>
      </x:c>
      <x:c r="K323" s="211" t="n">
        <x:v>1</x:v>
      </x:c>
      <x:c r="L323" s="212" t="s"/>
      <x:c r="M323" s="213" t="n">
        <x:v>3.4</x:v>
      </x:c>
      <x:c r="N323" s="214" t="n">
        <x:v>0</x:v>
      </x:c>
      <x:c r="O323" s="214" t="n">
        <x:v>0</x:v>
      </x:c>
      <x:c r="P323" s="215">
        <x:f>ROUND(((K323*M323) - (K323*M323*N323/100)) + (((K323*M323) - (K323*M323*N323/100)) * O323/100), 2)</x:f>
      </x:c>
      <x:c r="Q323" s="216" t="s"/>
      <x:c r="R323" s="216" t="s"/>
      <x:c r="S323" s="81" t="s">
        <x:v>953</x:v>
      </x:c>
      <x:c r="T323" s="209" t="s"/>
      <x:c r="U323" s="210" t="s"/>
    </x:row>
    <x:row r="324" spans="1:23">
      <x:c r="A324" s="76" t="n">
        <x:v>304</x:v>
      </x:c>
      <x:c r="B324" s="76" t="n">
        <x:v>5210840</x:v>
      </x:c>
      <x:c r="C324" s="77" t="s">
        <x:v>954</x:v>
      </x:c>
      <x:c r="D324" s="78" t="s">
        <x:v>955</x:v>
      </x:c>
      <x:c r="E324" s="79" t="s"/>
      <x:c r="F324" s="77" t="s"/>
      <x:c r="G324" s="92" t="n">
        <x:v>100</x:v>
      </x:c>
      <x:c r="H324" s="77" t="s">
        <x:v>56</x:v>
      </x:c>
      <x:c r="I324" s="77" t="s">
        <x:v>57</x:v>
      </x:c>
      <x:c r="J324" s="79" t="n">
        <x:v>2.47</x:v>
      </x:c>
      <x:c r="K324" s="211" t="n">
        <x:v>15</x:v>
      </x:c>
      <x:c r="L324" s="212" t="s"/>
      <x:c r="M324" s="213" t="n">
        <x:v>2.47</x:v>
      </x:c>
      <x:c r="N324" s="214" t="n">
        <x:v>0</x:v>
      </x:c>
      <x:c r="O324" s="214" t="n">
        <x:v>0</x:v>
      </x:c>
      <x:c r="P324" s="215">
        <x:f>ROUND(((K324*M324) - (K324*M324*N324/100)) + (((K324*M324) - (K324*M324*N324/100)) * O324/100), 2)</x:f>
      </x:c>
      <x:c r="Q324" s="216" t="s"/>
      <x:c r="R324" s="216" t="s"/>
      <x:c r="S324" s="81" t="s">
        <x:v>956</x:v>
      </x:c>
      <x:c r="T324" s="209" t="s"/>
      <x:c r="U324" s="210" t="s"/>
    </x:row>
    <x:row r="325" spans="1:23">
      <x:c r="A325" s="76" t="n">
        <x:v>305</x:v>
      </x:c>
      <x:c r="B325" s="76" t="n">
        <x:v>5211287</x:v>
      </x:c>
      <x:c r="C325" s="77" t="s">
        <x:v>957</x:v>
      </x:c>
      <x:c r="D325" s="78" t="s">
        <x:v>958</x:v>
      </x:c>
      <x:c r="E325" s="79" t="s"/>
      <x:c r="F325" s="77" t="s"/>
      <x:c r="G325" s="92" t="n">
        <x:v>100</x:v>
      </x:c>
      <x:c r="H325" s="77" t="s">
        <x:v>56</x:v>
      </x:c>
      <x:c r="I325" s="77" t="s">
        <x:v>57</x:v>
      </x:c>
      <x:c r="J325" s="79" t="n">
        <x:v>1.44</x:v>
      </x:c>
      <x:c r="K325" s="211" t="n">
        <x:v>24</x:v>
      </x:c>
      <x:c r="L325" s="212" t="s"/>
      <x:c r="M325" s="213" t="n">
        <x:v>1.44</x:v>
      </x:c>
      <x:c r="N325" s="214" t="n">
        <x:v>0</x:v>
      </x:c>
      <x:c r="O325" s="214" t="n">
        <x:v>0</x:v>
      </x:c>
      <x:c r="P325" s="215">
        <x:f>ROUND(((K325*M325) - (K325*M325*N325/100)) + (((K325*M325) - (K325*M325*N325/100)) * O325/100), 2)</x:f>
      </x:c>
      <x:c r="Q325" s="216" t="s"/>
      <x:c r="R325" s="216" t="s"/>
      <x:c r="S325" s="81" t="s">
        <x:v>959</x:v>
      </x:c>
      <x:c r="T325" s="209" t="s"/>
      <x:c r="U325" s="210" t="s"/>
    </x:row>
    <x:row r="326" spans="1:23">
      <x:c r="A326" s="76" t="n">
        <x:v>306</x:v>
      </x:c>
      <x:c r="B326" s="76" t="n">
        <x:v>5210861</x:v>
      </x:c>
      <x:c r="C326" s="77" t="s">
        <x:v>960</x:v>
      </x:c>
      <x:c r="D326" s="78" t="s">
        <x:v>961</x:v>
      </x:c>
      <x:c r="E326" s="79" t="s"/>
      <x:c r="F326" s="77" t="s"/>
      <x:c r="G326" s="92" t="n">
        <x:v>100</x:v>
      </x:c>
      <x:c r="H326" s="77" t="s">
        <x:v>56</x:v>
      </x:c>
      <x:c r="I326" s="77" t="s">
        <x:v>57</x:v>
      </x:c>
      <x:c r="J326" s="79" t="n">
        <x:v>5.1</x:v>
      </x:c>
      <x:c r="K326" s="211" t="n">
        <x:v>30</x:v>
      </x:c>
      <x:c r="L326" s="212" t="s"/>
      <x:c r="M326" s="213" t="n">
        <x:v>5.1</x:v>
      </x:c>
      <x:c r="N326" s="214" t="n">
        <x:v>0</x:v>
      </x:c>
      <x:c r="O326" s="214" t="n">
        <x:v>0</x:v>
      </x:c>
      <x:c r="P326" s="215">
        <x:f>ROUND(((K326*M326) - (K326*M326*N326/100)) + (((K326*M326) - (K326*M326*N326/100)) * O326/100), 2)</x:f>
      </x:c>
      <x:c r="Q326" s="216" t="s"/>
      <x:c r="R326" s="216" t="s"/>
      <x:c r="S326" s="81" t="s">
        <x:v>962</x:v>
      </x:c>
      <x:c r="T326" s="209" t="s"/>
      <x:c r="U326" s="210" t="s"/>
    </x:row>
    <x:row r="327" spans="1:23">
      <x:c r="A327" s="76" t="n">
        <x:v>307</x:v>
      </x:c>
      <x:c r="B327" s="76" t="n">
        <x:v>5317839</x:v>
      </x:c>
      <x:c r="C327" s="77" t="s">
        <x:v>963</x:v>
      </x:c>
      <x:c r="D327" s="78" t="s">
        <x:v>964</x:v>
      </x:c>
      <x:c r="E327" s="79" t="s"/>
      <x:c r="F327" s="77" t="s"/>
      <x:c r="G327" s="92" t="n">
        <x:v>100</x:v>
      </x:c>
      <x:c r="H327" s="77" t="s">
        <x:v>56</x:v>
      </x:c>
      <x:c r="I327" s="77" t="s">
        <x:v>57</x:v>
      </x:c>
      <x:c r="J327" s="79" t="n">
        <x:v>1.44</x:v>
      </x:c>
      <x:c r="K327" s="211" t="n">
        <x:v>10</x:v>
      </x:c>
      <x:c r="L327" s="212" t="s"/>
      <x:c r="M327" s="213" t="n">
        <x:v>1.44</x:v>
      </x:c>
      <x:c r="N327" s="214" t="n">
        <x:v>0</x:v>
      </x:c>
      <x:c r="O327" s="214" t="n">
        <x:v>0</x:v>
      </x:c>
      <x:c r="P327" s="215">
        <x:f>ROUND(((K327*M327) - (K327*M327*N327/100)) + (((K327*M327) - (K327*M327*N327/100)) * O327/100), 2)</x:f>
      </x:c>
      <x:c r="Q327" s="216" t="s"/>
      <x:c r="R327" s="216" t="s"/>
      <x:c r="S327" s="81" t="s">
        <x:v>965</x:v>
      </x:c>
      <x:c r="T327" s="209" t="s"/>
      <x:c r="U327" s="210" t="s"/>
    </x:row>
    <x:row r="328" spans="1:23">
      <x:c r="A328" s="76" t="n">
        <x:v>308</x:v>
      </x:c>
      <x:c r="B328" s="76" t="n">
        <x:v>5210887</x:v>
      </x:c>
      <x:c r="C328" s="77" t="s">
        <x:v>966</x:v>
      </x:c>
      <x:c r="D328" s="78" t="s">
        <x:v>967</x:v>
      </x:c>
      <x:c r="E328" s="79" t="s"/>
      <x:c r="F328" s="77" t="s"/>
      <x:c r="G328" s="92" t="n">
        <x:v>100</x:v>
      </x:c>
      <x:c r="H328" s="77" t="s">
        <x:v>154</x:v>
      </x:c>
      <x:c r="I328" s="77" t="s">
        <x:v>57</x:v>
      </x:c>
      <x:c r="J328" s="79" t="n">
        <x:v>24.79</x:v>
      </x:c>
      <x:c r="K328" s="211" t="n">
        <x:v>10</x:v>
      </x:c>
      <x:c r="L328" s="212" t="s"/>
      <x:c r="M328" s="213" t="n">
        <x:v>24.79</x:v>
      </x:c>
      <x:c r="N328" s="214" t="n">
        <x:v>0</x:v>
      </x:c>
      <x:c r="O328" s="214" t="n">
        <x:v>0</x:v>
      </x:c>
      <x:c r="P328" s="215">
        <x:f>ROUND(((K328*M328) - (K328*M328*N328/100)) + (((K328*M328) - (K328*M328*N328/100)) * O328/100), 2)</x:f>
      </x:c>
      <x:c r="Q328" s="216" t="s"/>
      <x:c r="R328" s="216" t="s"/>
      <x:c r="S328" s="81" t="s">
        <x:v>968</x:v>
      </x:c>
      <x:c r="T328" s="209" t="s"/>
      <x:c r="U328" s="210" t="s"/>
    </x:row>
    <x:row r="329" spans="1:23">
      <x:c r="A329" s="76" t="n">
        <x:v>309</x:v>
      </x:c>
      <x:c r="B329" s="76" t="n">
        <x:v>5210893</x:v>
      </x:c>
      <x:c r="C329" s="77" t="s">
        <x:v>969</x:v>
      </x:c>
      <x:c r="D329" s="78" t="s">
        <x:v>970</x:v>
      </x:c>
      <x:c r="E329" s="79" t="s"/>
      <x:c r="F329" s="77" t="s"/>
      <x:c r="G329" s="92" t="n">
        <x:v>100</x:v>
      </x:c>
      <x:c r="H329" s="77" t="s">
        <x:v>56</x:v>
      </x:c>
      <x:c r="I329" s="77" t="s">
        <x:v>57</x:v>
      </x:c>
      <x:c r="J329" s="79" t="n">
        <x:v>1.24</x:v>
      </x:c>
      <x:c r="K329" s="211" t="n">
        <x:v>15</x:v>
      </x:c>
      <x:c r="L329" s="212" t="s"/>
      <x:c r="M329" s="213" t="n">
        <x:v>1.24</x:v>
      </x:c>
      <x:c r="N329" s="214" t="n">
        <x:v>0</x:v>
      </x:c>
      <x:c r="O329" s="214" t="n">
        <x:v>0</x:v>
      </x:c>
      <x:c r="P329" s="215">
        <x:f>ROUND(((K329*M329) - (K329*M329*N329/100)) + (((K329*M329) - (K329*M329*N329/100)) * O329/100), 2)</x:f>
      </x:c>
      <x:c r="Q329" s="216" t="s"/>
      <x:c r="R329" s="216" t="s"/>
      <x:c r="S329" s="81" t="s">
        <x:v>971</x:v>
      </x:c>
      <x:c r="T329" s="209" t="s"/>
      <x:c r="U329" s="210" t="s"/>
    </x:row>
    <x:row r="330" spans="1:23">
      <x:c r="A330" s="76" t="n">
        <x:v>310</x:v>
      </x:c>
      <x:c r="B330" s="76" t="n">
        <x:v>5561791</x:v>
      </x:c>
      <x:c r="C330" s="77" t="s">
        <x:v>972</x:v>
      </x:c>
      <x:c r="D330" s="78" t="s">
        <x:v>973</x:v>
      </x:c>
      <x:c r="E330" s="79" t="s"/>
      <x:c r="F330" s="77" t="s"/>
      <x:c r="G330" s="92" t="n">
        <x:v>100</x:v>
      </x:c>
      <x:c r="H330" s="77" t="s">
        <x:v>56</x:v>
      </x:c>
      <x:c r="I330" s="77" t="s">
        <x:v>57</x:v>
      </x:c>
      <x:c r="J330" s="79" t="n">
        <x:v>1.44</x:v>
      </x:c>
      <x:c r="K330" s="211" t="n">
        <x:v>36</x:v>
      </x:c>
      <x:c r="L330" s="212" t="s"/>
      <x:c r="M330" s="213" t="n">
        <x:v>1.44</x:v>
      </x:c>
      <x:c r="N330" s="214" t="n">
        <x:v>0</x:v>
      </x:c>
      <x:c r="O330" s="214" t="n">
        <x:v>0</x:v>
      </x:c>
      <x:c r="P330" s="215">
        <x:f>ROUND(((K330*M330) - (K330*M330*N330/100)) + (((K330*M330) - (K330*M330*N330/100)) * O330/100), 2)</x:f>
      </x:c>
      <x:c r="Q330" s="216" t="s"/>
      <x:c r="R330" s="216" t="s"/>
      <x:c r="S330" s="81" t="s">
        <x:v>974</x:v>
      </x:c>
      <x:c r="T330" s="209" t="s"/>
      <x:c r="U330" s="210" t="s"/>
    </x:row>
    <x:row r="331" spans="1:23">
      <x:c r="A331" s="76" t="n">
        <x:v>311</x:v>
      </x:c>
      <x:c r="B331" s="76" t="n">
        <x:v>5211291</x:v>
      </x:c>
      <x:c r="C331" s="77" t="s">
        <x:v>975</x:v>
      </x:c>
      <x:c r="D331" s="78" t="s">
        <x:v>976</x:v>
      </x:c>
      <x:c r="E331" s="79" t="s"/>
      <x:c r="F331" s="77" t="s"/>
      <x:c r="G331" s="92" t="n">
        <x:v>100</x:v>
      </x:c>
      <x:c r="H331" s="77" t="s">
        <x:v>56</x:v>
      </x:c>
      <x:c r="I331" s="77" t="s">
        <x:v>57</x:v>
      </x:c>
      <x:c r="J331" s="79" t="n">
        <x:v>1.44</x:v>
      </x:c>
      <x:c r="K331" s="211" t="n">
        <x:v>12</x:v>
      </x:c>
      <x:c r="L331" s="212" t="s"/>
      <x:c r="M331" s="213" t="n">
        <x:v>1.44</x:v>
      </x:c>
      <x:c r="N331" s="214" t="n">
        <x:v>0</x:v>
      </x:c>
      <x:c r="O331" s="214" t="n">
        <x:v>0</x:v>
      </x:c>
      <x:c r="P331" s="215">
        <x:f>ROUND(((K331*M331) - (K331*M331*N331/100)) + (((K331*M331) - (K331*M331*N331/100)) * O331/100), 2)</x:f>
      </x:c>
      <x:c r="Q331" s="216" t="s"/>
      <x:c r="R331" s="216" t="s"/>
      <x:c r="S331" s="81" t="s">
        <x:v>977</x:v>
      </x:c>
      <x:c r="T331" s="209" t="s"/>
      <x:c r="U331" s="210" t="s"/>
    </x:row>
    <x:row r="332" spans="1:23">
      <x:c r="A332" s="76" t="n">
        <x:v>312</x:v>
      </x:c>
      <x:c r="B332" s="76" t="n">
        <x:v>5210910</x:v>
      </x:c>
      <x:c r="C332" s="77" t="s">
        <x:v>978</x:v>
      </x:c>
      <x:c r="D332" s="78" t="s">
        <x:v>979</x:v>
      </x:c>
      <x:c r="E332" s="79" t="s"/>
      <x:c r="F332" s="77" t="s"/>
      <x:c r="G332" s="92" t="n">
        <x:v>100</x:v>
      </x:c>
      <x:c r="H332" s="77" t="s">
        <x:v>56</x:v>
      </x:c>
      <x:c r="I332" s="77" t="s">
        <x:v>57</x:v>
      </x:c>
      <x:c r="J332" s="79" t="n">
        <x:v>4.23</x:v>
      </x:c>
      <x:c r="K332" s="211" t="n">
        <x:v>30</x:v>
      </x:c>
      <x:c r="L332" s="212" t="s"/>
      <x:c r="M332" s="213" t="n">
        <x:v>4.23</x:v>
      </x:c>
      <x:c r="N332" s="214" t="n">
        <x:v>0</x:v>
      </x:c>
      <x:c r="O332" s="214" t="n">
        <x:v>0</x:v>
      </x:c>
      <x:c r="P332" s="215">
        <x:f>ROUND(((K332*M332) - (K332*M332*N332/100)) + (((K332*M332) - (K332*M332*N332/100)) * O332/100), 2)</x:f>
      </x:c>
      <x:c r="Q332" s="216" t="s"/>
      <x:c r="R332" s="216" t="s"/>
      <x:c r="S332" s="81" t="s">
        <x:v>980</x:v>
      </x:c>
      <x:c r="T332" s="209" t="s"/>
      <x:c r="U332" s="210" t="s"/>
    </x:row>
    <x:row r="333" spans="1:23">
      <x:c r="A333" s="76" t="n">
        <x:v>313</x:v>
      </x:c>
      <x:c r="B333" s="76" t="n">
        <x:v>5210912</x:v>
      </x:c>
      <x:c r="C333" s="77" t="s">
        <x:v>981</x:v>
      </x:c>
      <x:c r="D333" s="78" t="s">
        <x:v>982</x:v>
      </x:c>
      <x:c r="E333" s="79" t="s"/>
      <x:c r="F333" s="77" t="s"/>
      <x:c r="G333" s="92" t="n">
        <x:v>100</x:v>
      </x:c>
      <x:c r="H333" s="77" t="s">
        <x:v>56</x:v>
      </x:c>
      <x:c r="I333" s="77" t="s">
        <x:v>57</x:v>
      </x:c>
      <x:c r="J333" s="79" t="n">
        <x:v>8.45</x:v>
      </x:c>
      <x:c r="K333" s="211" t="n">
        <x:v>10</x:v>
      </x:c>
      <x:c r="L333" s="212" t="s"/>
      <x:c r="M333" s="213" t="n">
        <x:v>8.45</x:v>
      </x:c>
      <x:c r="N333" s="214" t="n">
        <x:v>0</x:v>
      </x:c>
      <x:c r="O333" s="214" t="n">
        <x:v>0</x:v>
      </x:c>
      <x:c r="P333" s="215">
        <x:f>ROUND(((K333*M333) - (K333*M333*N333/100)) + (((K333*M333) - (K333*M333*N333/100)) * O333/100), 2)</x:f>
      </x:c>
      <x:c r="Q333" s="216" t="s"/>
      <x:c r="R333" s="216" t="s"/>
      <x:c r="S333" s="81" t="s">
        <x:v>983</x:v>
      </x:c>
      <x:c r="T333" s="209" t="s"/>
      <x:c r="U333" s="210" t="s"/>
    </x:row>
    <x:row r="334" spans="1:23">
      <x:c r="A334" s="76" t="n">
        <x:v>314</x:v>
      </x:c>
      <x:c r="B334" s="76" t="n">
        <x:v>5210926</x:v>
      </x:c>
      <x:c r="C334" s="77" t="s">
        <x:v>984</x:v>
      </x:c>
      <x:c r="D334" s="78" t="s">
        <x:v>985</x:v>
      </x:c>
      <x:c r="E334" s="79" t="s"/>
      <x:c r="F334" s="77" t="s"/>
      <x:c r="G334" s="92" t="n">
        <x:v>100</x:v>
      </x:c>
      <x:c r="H334" s="77" t="s">
        <x:v>154</x:v>
      </x:c>
      <x:c r="I334" s="77" t="s">
        <x:v>57</x:v>
      </x:c>
      <x:c r="J334" s="79" t="n">
        <x:v>6.24</x:v>
      </x:c>
      <x:c r="K334" s="211" t="n">
        <x:v>60</x:v>
      </x:c>
      <x:c r="L334" s="212" t="s"/>
      <x:c r="M334" s="213" t="n">
        <x:v>6.24</x:v>
      </x:c>
      <x:c r="N334" s="214" t="n">
        <x:v>0</x:v>
      </x:c>
      <x:c r="O334" s="214" t="n">
        <x:v>0</x:v>
      </x:c>
      <x:c r="P334" s="215">
        <x:f>ROUND(((K334*M334) - (K334*M334*N334/100)) + (((K334*M334) - (K334*M334*N334/100)) * O334/100), 2)</x:f>
      </x:c>
      <x:c r="Q334" s="216" t="s"/>
      <x:c r="R334" s="216" t="s"/>
      <x:c r="S334" s="81" t="s">
        <x:v>986</x:v>
      </x:c>
      <x:c r="T334" s="209" t="s"/>
      <x:c r="U334" s="210" t="s"/>
    </x:row>
    <x:row r="335" spans="1:23">
      <x:c r="A335" s="76" t="n">
        <x:v>315</x:v>
      </x:c>
      <x:c r="B335" s="76" t="n">
        <x:v>5210928</x:v>
      </x:c>
      <x:c r="C335" s="77" t="s">
        <x:v>987</x:v>
      </x:c>
      <x:c r="D335" s="78" t="s">
        <x:v>988</x:v>
      </x:c>
      <x:c r="E335" s="79" t="s"/>
      <x:c r="F335" s="77" t="s"/>
      <x:c r="G335" s="92" t="n">
        <x:v>100</x:v>
      </x:c>
      <x:c r="H335" s="77" t="s">
        <x:v>56</x:v>
      </x:c>
      <x:c r="I335" s="77" t="s">
        <x:v>57</x:v>
      </x:c>
      <x:c r="J335" s="79" t="n">
        <x:v>2.06</x:v>
      </x:c>
      <x:c r="K335" s="211" t="n">
        <x:v>20</x:v>
      </x:c>
      <x:c r="L335" s="212" t="s"/>
      <x:c r="M335" s="213" t="n">
        <x:v>2.06</x:v>
      </x:c>
      <x:c r="N335" s="214" t="n">
        <x:v>0</x:v>
      </x:c>
      <x:c r="O335" s="214" t="n">
        <x:v>0</x:v>
      </x:c>
      <x:c r="P335" s="215">
        <x:f>ROUND(((K335*M335) - (K335*M335*N335/100)) + (((K335*M335) - (K335*M335*N335/100)) * O335/100), 2)</x:f>
      </x:c>
      <x:c r="Q335" s="216" t="s"/>
      <x:c r="R335" s="216" t="s"/>
      <x:c r="S335" s="81" t="s">
        <x:v>989</x:v>
      </x:c>
      <x:c r="T335" s="209" t="s"/>
      <x:c r="U335" s="210" t="s"/>
    </x:row>
    <x:row r="336" spans="1:23">
      <x:c r="A336" s="76" t="n">
        <x:v>316</x:v>
      </x:c>
      <x:c r="B336" s="76" t="n">
        <x:v>5210935</x:v>
      </x:c>
      <x:c r="C336" s="77" t="s">
        <x:v>990</x:v>
      </x:c>
      <x:c r="D336" s="78" t="s">
        <x:v>991</x:v>
      </x:c>
      <x:c r="E336" s="79" t="s"/>
      <x:c r="F336" s="77" t="s"/>
      <x:c r="G336" s="92" t="n">
        <x:v>100</x:v>
      </x:c>
      <x:c r="H336" s="77" t="s">
        <x:v>56</x:v>
      </x:c>
      <x:c r="I336" s="77" t="s">
        <x:v>57</x:v>
      </x:c>
      <x:c r="J336" s="79" t="n">
        <x:v>3.4</x:v>
      </x:c>
      <x:c r="K336" s="211" t="n">
        <x:v>20</x:v>
      </x:c>
      <x:c r="L336" s="212" t="s"/>
      <x:c r="M336" s="213" t="n">
        <x:v>3.4</x:v>
      </x:c>
      <x:c r="N336" s="214" t="n">
        <x:v>0</x:v>
      </x:c>
      <x:c r="O336" s="214" t="n">
        <x:v>0</x:v>
      </x:c>
      <x:c r="P336" s="215">
        <x:f>ROUND(((K336*M336) - (K336*M336*N336/100)) + (((K336*M336) - (K336*M336*N336/100)) * O336/100), 2)</x:f>
      </x:c>
      <x:c r="Q336" s="216" t="s"/>
      <x:c r="R336" s="216" t="s"/>
      <x:c r="S336" s="81" t="s">
        <x:v>992</x:v>
      </x:c>
      <x:c r="T336" s="209" t="s"/>
      <x:c r="U336" s="210" t="s"/>
    </x:row>
    <x:row r="337" spans="1:23">
      <x:c r="A337" s="76" t="n">
        <x:v>317</x:v>
      </x:c>
      <x:c r="B337" s="76" t="n">
        <x:v>5210936</x:v>
      </x:c>
      <x:c r="C337" s="77" t="s">
        <x:v>993</x:v>
      </x:c>
      <x:c r="D337" s="78" t="s">
        <x:v>994</x:v>
      </x:c>
      <x:c r="E337" s="79" t="s"/>
      <x:c r="F337" s="77" t="s"/>
      <x:c r="G337" s="92" t="n">
        <x:v>100</x:v>
      </x:c>
      <x:c r="H337" s="77" t="s">
        <x:v>56</x:v>
      </x:c>
      <x:c r="I337" s="77" t="s">
        <x:v>57</x:v>
      </x:c>
      <x:c r="J337" s="79" t="n">
        <x:v>2.73</x:v>
      </x:c>
      <x:c r="K337" s="211" t="n">
        <x:v>40</x:v>
      </x:c>
      <x:c r="L337" s="212" t="s"/>
      <x:c r="M337" s="213" t="n">
        <x:v>2.73</x:v>
      </x:c>
      <x:c r="N337" s="214" t="n">
        <x:v>0</x:v>
      </x:c>
      <x:c r="O337" s="214" t="n">
        <x:v>0</x:v>
      </x:c>
      <x:c r="P337" s="215">
        <x:f>ROUND(((K337*M337) - (K337*M337*N337/100)) + (((K337*M337) - (K337*M337*N337/100)) * O337/100), 2)</x:f>
      </x:c>
      <x:c r="Q337" s="216" t="s"/>
      <x:c r="R337" s="216" t="s"/>
      <x:c r="S337" s="81" t="s">
        <x:v>995</x:v>
      </x:c>
      <x:c r="T337" s="209" t="s"/>
      <x:c r="U337" s="210" t="s"/>
    </x:row>
    <x:row r="338" spans="1:23">
      <x:c r="A338" s="76" t="n">
        <x:v>318</x:v>
      </x:c>
      <x:c r="B338" s="76" t="n">
        <x:v>5210938</x:v>
      </x:c>
      <x:c r="C338" s="77" t="s">
        <x:v>996</x:v>
      </x:c>
      <x:c r="D338" s="78" t="s">
        <x:v>997</x:v>
      </x:c>
      <x:c r="E338" s="79" t="s"/>
      <x:c r="F338" s="77" t="s"/>
      <x:c r="G338" s="92" t="n">
        <x:v>100</x:v>
      </x:c>
      <x:c r="H338" s="77" t="s">
        <x:v>154</x:v>
      </x:c>
      <x:c r="I338" s="77" t="s">
        <x:v>57</x:v>
      </x:c>
      <x:c r="J338" s="79" t="n">
        <x:v>3.4</x:v>
      </x:c>
      <x:c r="K338" s="211" t="n">
        <x:v>20</x:v>
      </x:c>
      <x:c r="L338" s="212" t="s"/>
      <x:c r="M338" s="213" t="n">
        <x:v>3.4</x:v>
      </x:c>
      <x:c r="N338" s="214" t="n">
        <x:v>0</x:v>
      </x:c>
      <x:c r="O338" s="214" t="n">
        <x:v>0</x:v>
      </x:c>
      <x:c r="P338" s="215">
        <x:f>ROUND(((K338*M338) - (K338*M338*N338/100)) + (((K338*M338) - (K338*M338*N338/100)) * O338/100), 2)</x:f>
      </x:c>
      <x:c r="Q338" s="216" t="s"/>
      <x:c r="R338" s="216" t="s"/>
      <x:c r="S338" s="81" t="s">
        <x:v>998</x:v>
      </x:c>
      <x:c r="T338" s="209" t="s"/>
      <x:c r="U338" s="210" t="s"/>
    </x:row>
    <x:row r="339" spans="1:23">
      <x:c r="A339" s="76" t="n">
        <x:v>319</x:v>
      </x:c>
      <x:c r="B339" s="76" t="n">
        <x:v>5561793</x:v>
      </x:c>
      <x:c r="C339" s="77" t="s">
        <x:v>999</x:v>
      </x:c>
      <x:c r="D339" s="78" t="s">
        <x:v>1000</x:v>
      </x:c>
      <x:c r="E339" s="79" t="s"/>
      <x:c r="F339" s="77" t="s"/>
      <x:c r="G339" s="92" t="n">
        <x:v>100</x:v>
      </x:c>
      <x:c r="H339" s="77" t="s">
        <x:v>56</x:v>
      </x:c>
      <x:c r="I339" s="77" t="s">
        <x:v>57</x:v>
      </x:c>
      <x:c r="J339" s="79" t="n">
        <x:v>2.06</x:v>
      </x:c>
      <x:c r="K339" s="211" t="n">
        <x:v>12</x:v>
      </x:c>
      <x:c r="L339" s="212" t="s"/>
      <x:c r="M339" s="213" t="n">
        <x:v>2.06</x:v>
      </x:c>
      <x:c r="N339" s="214" t="n">
        <x:v>0</x:v>
      </x:c>
      <x:c r="O339" s="214" t="n">
        <x:v>0</x:v>
      </x:c>
      <x:c r="P339" s="215">
        <x:f>ROUND(((K339*M339) - (K339*M339*N339/100)) + (((K339*M339) - (K339*M339*N339/100)) * O339/100), 2)</x:f>
      </x:c>
      <x:c r="Q339" s="216" t="s"/>
      <x:c r="R339" s="216" t="s"/>
      <x:c r="S339" s="81" t="s">
        <x:v>1001</x:v>
      </x:c>
      <x:c r="T339" s="209" t="s"/>
      <x:c r="U339" s="210" t="s"/>
    </x:row>
    <x:row r="340" spans="1:23">
      <x:c r="A340" s="76" t="n">
        <x:v>320</x:v>
      </x:c>
      <x:c r="B340" s="76" t="n">
        <x:v>5210968</x:v>
      </x:c>
      <x:c r="C340" s="77" t="s">
        <x:v>1002</x:v>
      </x:c>
      <x:c r="D340" s="78" t="s">
        <x:v>1003</x:v>
      </x:c>
      <x:c r="E340" s="79" t="s"/>
      <x:c r="F340" s="77" t="s"/>
      <x:c r="G340" s="92" t="n">
        <x:v>100</x:v>
      </x:c>
      <x:c r="H340" s="77" t="s">
        <x:v>56</x:v>
      </x:c>
      <x:c r="I340" s="77" t="s">
        <x:v>57</x:v>
      </x:c>
      <x:c r="J340" s="79" t="n">
        <x:v>1.03</x:v>
      </x:c>
      <x:c r="K340" s="211" t="n">
        <x:v>5</x:v>
      </x:c>
      <x:c r="L340" s="212" t="s"/>
      <x:c r="M340" s="213" t="n">
        <x:v>1.03</x:v>
      </x:c>
      <x:c r="N340" s="214" t="n">
        <x:v>0</x:v>
      </x:c>
      <x:c r="O340" s="214" t="n">
        <x:v>0</x:v>
      </x:c>
      <x:c r="P340" s="215">
        <x:f>ROUND(((K340*M340) - (K340*M340*N340/100)) + (((K340*M340) - (K340*M340*N340/100)) * O340/100), 2)</x:f>
      </x:c>
      <x:c r="Q340" s="216" t="s"/>
      <x:c r="R340" s="216" t="s"/>
      <x:c r="S340" s="81" t="s">
        <x:v>1004</x:v>
      </x:c>
      <x:c r="T340" s="209" t="s"/>
      <x:c r="U340" s="210" t="s"/>
    </x:row>
    <x:row r="341" spans="1:23">
      <x:c r="A341" s="76" t="n">
        <x:v>321</x:v>
      </x:c>
      <x:c r="B341" s="76" t="n">
        <x:v>5317260</x:v>
      </x:c>
      <x:c r="C341" s="77" t="s">
        <x:v>1005</x:v>
      </x:c>
      <x:c r="D341" s="78" t="s">
        <x:v>1006</x:v>
      </x:c>
      <x:c r="E341" s="79" t="s"/>
      <x:c r="F341" s="77" t="s"/>
      <x:c r="G341" s="92" t="n">
        <x:v>100</x:v>
      </x:c>
      <x:c r="H341" s="77" t="s">
        <x:v>56</x:v>
      </x:c>
      <x:c r="I341" s="77" t="s">
        <x:v>72</x:v>
      </x:c>
      <x:c r="J341" s="79" t="n">
        <x:v>1.44</x:v>
      </x:c>
      <x:c r="K341" s="211" t="n">
        <x:v>12</x:v>
      </x:c>
      <x:c r="L341" s="212" t="s"/>
      <x:c r="M341" s="213" t="n">
        <x:v>1.44</x:v>
      </x:c>
      <x:c r="N341" s="214" t="n">
        <x:v>0</x:v>
      </x:c>
      <x:c r="O341" s="214" t="n">
        <x:v>0</x:v>
      </x:c>
      <x:c r="P341" s="215">
        <x:f>ROUND(((K341*M341) - (K341*M341*N341/100)) + (((K341*M341) - (K341*M341*N341/100)) * O341/100), 2)</x:f>
      </x:c>
      <x:c r="Q341" s="216" t="s"/>
      <x:c r="R341" s="216" t="s"/>
      <x:c r="S341" s="81" t="s">
        <x:v>1007</x:v>
      </x:c>
      <x:c r="T341" s="209" t="s"/>
      <x:c r="U341" s="210" t="s"/>
    </x:row>
    <x:row r="342" spans="1:23">
      <x:c r="A342" s="76" t="n">
        <x:v>322</x:v>
      </x:c>
      <x:c r="B342" s="76" t="n">
        <x:v>5210973</x:v>
      </x:c>
      <x:c r="C342" s="77" t="s">
        <x:v>1008</x:v>
      </x:c>
      <x:c r="D342" s="78" t="s">
        <x:v>1009</x:v>
      </x:c>
      <x:c r="E342" s="79" t="s"/>
      <x:c r="F342" s="77" t="s"/>
      <x:c r="G342" s="92" t="n">
        <x:v>100</x:v>
      </x:c>
      <x:c r="H342" s="77" t="s">
        <x:v>56</x:v>
      </x:c>
      <x:c r="I342" s="77" t="s">
        <x:v>57</x:v>
      </x:c>
      <x:c r="J342" s="79" t="n">
        <x:v>1.6</x:v>
      </x:c>
      <x:c r="K342" s="211" t="n">
        <x:v>12</x:v>
      </x:c>
      <x:c r="L342" s="212" t="s"/>
      <x:c r="M342" s="213" t="n">
        <x:v>1.6</x:v>
      </x:c>
      <x:c r="N342" s="214" t="n">
        <x:v>0</x:v>
      </x:c>
      <x:c r="O342" s="214" t="n">
        <x:v>0</x:v>
      </x:c>
      <x:c r="P342" s="215">
        <x:f>ROUND(((K342*M342) - (K342*M342*N342/100)) + (((K342*M342) - (K342*M342*N342/100)) * O342/100), 2)</x:f>
      </x:c>
      <x:c r="Q342" s="216" t="s"/>
      <x:c r="R342" s="216" t="s"/>
      <x:c r="S342" s="81" t="s">
        <x:v>1010</x:v>
      </x:c>
      <x:c r="T342" s="209" t="s"/>
      <x:c r="U342" s="210" t="s"/>
    </x:row>
    <x:row r="343" spans="1:23">
      <x:c r="A343" s="76" t="n">
        <x:v>323</x:v>
      </x:c>
      <x:c r="B343" s="76" t="n">
        <x:v>5210642</x:v>
      </x:c>
      <x:c r="C343" s="77" t="s">
        <x:v>1011</x:v>
      </x:c>
      <x:c r="D343" s="78" t="s">
        <x:v>1012</x:v>
      </x:c>
      <x:c r="E343" s="79" t="s"/>
      <x:c r="F343" s="77" t="s"/>
      <x:c r="G343" s="92" t="n">
        <x:v>1</x:v>
      </x:c>
      <x:c r="H343" s="80" t="s">
        <x:v>154</x:v>
      </x:c>
      <x:c r="I343" s="80" t="s"/>
      <x:c r="J343" s="79" t="n">
        <x:v>0</x:v>
      </x:c>
      <x:c r="K343" s="211" t="n">
        <x:v>8</x:v>
      </x:c>
      <x:c r="L343" s="212" t="s"/>
      <x:c r="M343" s="213" t="n">
        <x:v>0</x:v>
      </x:c>
      <x:c r="N343" s="214" t="n">
        <x:v>0</x:v>
      </x:c>
      <x:c r="O343" s="214" t="n">
        <x:v>0</x:v>
      </x:c>
      <x:c r="P343" s="215">
        <x:f>ROUND(((K343*M343) - (K343*M343*N343/100)) + (((K343*M343) - (K343*M343*N343/100)) * O343/100), 2)</x:f>
      </x:c>
      <x:c r="Q343" s="216" t="s"/>
      <x:c r="R343" s="216" t="s"/>
      <x:c r="S343" s="81" t="s"/>
      <x:c r="T343" s="209" t="s"/>
      <x:c r="U343" s="210" t="s"/>
    </x:row>
    <x:row r="344" spans="1:23">
      <x:c r="A344" s="76" t="n">
        <x:v>324</x:v>
      </x:c>
      <x:c r="B344" s="76" t="n">
        <x:v>5210644</x:v>
      </x:c>
      <x:c r="C344" s="77" t="s">
        <x:v>1013</x:v>
      </x:c>
      <x:c r="D344" s="78" t="s">
        <x:v>1014</x:v>
      </x:c>
      <x:c r="E344" s="79" t="s"/>
      <x:c r="F344" s="77" t="s"/>
      <x:c r="G344" s="92" t="n">
        <x:v>1</x:v>
      </x:c>
      <x:c r="H344" s="77" t="s">
        <x:v>154</x:v>
      </x:c>
      <x:c r="I344" s="77" t="s">
        <x:v>57</x:v>
      </x:c>
      <x:c r="J344" s="79" t="n">
        <x:v>1.96</x:v>
      </x:c>
      <x:c r="K344" s="211" t="n">
        <x:v>12</x:v>
      </x:c>
      <x:c r="L344" s="212" t="s"/>
      <x:c r="M344" s="213" t="n">
        <x:v>1.96</x:v>
      </x:c>
      <x:c r="N344" s="214" t="n">
        <x:v>0</x:v>
      </x:c>
      <x:c r="O344" s="214" t="n">
        <x:v>0</x:v>
      </x:c>
      <x:c r="P344" s="215">
        <x:f>ROUND(((K344*M344) - (K344*M344*N344/100)) + (((K344*M344) - (K344*M344*N344/100)) * O344/100), 2)</x:f>
      </x:c>
      <x:c r="Q344" s="216" t="s"/>
      <x:c r="R344" s="216" t="s"/>
      <x:c r="S344" s="81" t="s">
        <x:v>1015</x:v>
      </x:c>
      <x:c r="T344" s="209" t="s"/>
      <x:c r="U344" s="210" t="s"/>
    </x:row>
    <x:row r="345" spans="1:23">
      <x:c r="A345" s="76" t="n">
        <x:v>325</x:v>
      </x:c>
      <x:c r="B345" s="76" t="n">
        <x:v>5210992</x:v>
      </x:c>
      <x:c r="C345" s="77" t="s">
        <x:v>1016</x:v>
      </x:c>
      <x:c r="D345" s="78" t="s">
        <x:v>1017</x:v>
      </x:c>
      <x:c r="E345" s="79" t="s"/>
      <x:c r="F345" s="77" t="s"/>
      <x:c r="G345" s="92" t="n">
        <x:v>100</x:v>
      </x:c>
      <x:c r="H345" s="77" t="s">
        <x:v>154</x:v>
      </x:c>
      <x:c r="I345" s="77" t="s">
        <x:v>57</x:v>
      </x:c>
      <x:c r="J345" s="79" t="n">
        <x:v>3.81</x:v>
      </x:c>
      <x:c r="K345" s="211" t="n">
        <x:v>20</x:v>
      </x:c>
      <x:c r="L345" s="212" t="s"/>
      <x:c r="M345" s="213" t="n">
        <x:v>3.81</x:v>
      </x:c>
      <x:c r="N345" s="214" t="n">
        <x:v>0</x:v>
      </x:c>
      <x:c r="O345" s="214" t="n">
        <x:v>0</x:v>
      </x:c>
      <x:c r="P345" s="215">
        <x:f>ROUND(((K345*M345) - (K345*M345*N345/100)) + (((K345*M345) - (K345*M345*N345/100)) * O345/100), 2)</x:f>
      </x:c>
      <x:c r="Q345" s="216" t="s"/>
      <x:c r="R345" s="216" t="s"/>
      <x:c r="S345" s="81" t="s">
        <x:v>1018</x:v>
      </x:c>
      <x:c r="T345" s="209" t="s"/>
      <x:c r="U345" s="210" t="s"/>
    </x:row>
    <x:row r="346" spans="1:23">
      <x:c r="A346" s="76" t="n">
        <x:v>326</x:v>
      </x:c>
      <x:c r="B346" s="76" t="n">
        <x:v>6799304</x:v>
      </x:c>
      <x:c r="C346" s="77" t="s">
        <x:v>1019</x:v>
      </x:c>
      <x:c r="D346" s="78" t="s">
        <x:v>1020</x:v>
      </x:c>
      <x:c r="E346" s="79" t="s"/>
      <x:c r="F346" s="77" t="s"/>
      <x:c r="G346" s="92" t="n">
        <x:v>100</x:v>
      </x:c>
      <x:c r="H346" s="77" t="s">
        <x:v>56</x:v>
      </x:c>
      <x:c r="I346" s="77" t="s">
        <x:v>57</x:v>
      </x:c>
      <x:c r="J346" s="79" t="n">
        <x:v>1.24</x:v>
      </x:c>
      <x:c r="K346" s="211" t="n">
        <x:v>15</x:v>
      </x:c>
      <x:c r="L346" s="212" t="s"/>
      <x:c r="M346" s="213" t="n">
        <x:v>1.24</x:v>
      </x:c>
      <x:c r="N346" s="214" t="n">
        <x:v>0</x:v>
      </x:c>
      <x:c r="O346" s="214" t="n">
        <x:v>0</x:v>
      </x:c>
      <x:c r="P346" s="215">
        <x:f>ROUND(((K346*M346) - (K346*M346*N346/100)) + (((K346*M346) - (K346*M346*N346/100)) * O346/100), 2)</x:f>
      </x:c>
      <x:c r="Q346" s="216" t="s"/>
      <x:c r="R346" s="216" t="s"/>
      <x:c r="S346" s="81" t="s">
        <x:v>947</x:v>
      </x:c>
      <x:c r="T346" s="209" t="s"/>
      <x:c r="U346" s="210" t="s"/>
    </x:row>
    <x:row r="347" spans="1:23">
      <x:c r="A347" s="76" t="n">
        <x:v>327</x:v>
      </x:c>
      <x:c r="B347" s="76" t="n">
        <x:v>5211014</x:v>
      </x:c>
      <x:c r="C347" s="77" t="s">
        <x:v>1021</x:v>
      </x:c>
      <x:c r="D347" s="78" t="s">
        <x:v>1022</x:v>
      </x:c>
      <x:c r="E347" s="79" t="s"/>
      <x:c r="F347" s="77" t="s"/>
      <x:c r="G347" s="92" t="n">
        <x:v>100</x:v>
      </x:c>
      <x:c r="H347" s="77" t="s">
        <x:v>56</x:v>
      </x:c>
      <x:c r="I347" s="77" t="s">
        <x:v>57</x:v>
      </x:c>
      <x:c r="J347" s="79" t="n">
        <x:v>1.38</x:v>
      </x:c>
      <x:c r="K347" s="211" t="n">
        <x:v>20</x:v>
      </x:c>
      <x:c r="L347" s="212" t="s"/>
      <x:c r="M347" s="213" t="n">
        <x:v>1.38</x:v>
      </x:c>
      <x:c r="N347" s="214" t="n">
        <x:v>0</x:v>
      </x:c>
      <x:c r="O347" s="214" t="n">
        <x:v>0</x:v>
      </x:c>
      <x:c r="P347" s="215">
        <x:f>ROUND(((K347*M347) - (K347*M347*N347/100)) + (((K347*M347) - (K347*M347*N347/100)) * O347/100), 2)</x:f>
      </x:c>
      <x:c r="Q347" s="216" t="s"/>
      <x:c r="R347" s="216" t="s"/>
      <x:c r="S347" s="81" t="s">
        <x:v>1023</x:v>
      </x:c>
      <x:c r="T347" s="209" t="s"/>
      <x:c r="U347" s="210" t="s"/>
    </x:row>
    <x:row r="348" spans="1:23">
      <x:c r="A348" s="76" t="n">
        <x:v>328</x:v>
      </x:c>
      <x:c r="B348" s="76" t="n">
        <x:v>5211023</x:v>
      </x:c>
      <x:c r="C348" s="77" t="s">
        <x:v>1024</x:v>
      </x:c>
      <x:c r="D348" s="78" t="s">
        <x:v>1025</x:v>
      </x:c>
      <x:c r="E348" s="79" t="s"/>
      <x:c r="F348" s="77" t="s"/>
      <x:c r="G348" s="92" t="n">
        <x:v>100</x:v>
      </x:c>
      <x:c r="H348" s="77" t="s">
        <x:v>56</x:v>
      </x:c>
      <x:c r="I348" s="77" t="s">
        <x:v>57</x:v>
      </x:c>
      <x:c r="J348" s="79" t="n">
        <x:v>1.55</x:v>
      </x:c>
      <x:c r="K348" s="211" t="n">
        <x:v>10</x:v>
      </x:c>
      <x:c r="L348" s="212" t="s"/>
      <x:c r="M348" s="213" t="n">
        <x:v>1.55</x:v>
      </x:c>
      <x:c r="N348" s="214" t="n">
        <x:v>0</x:v>
      </x:c>
      <x:c r="O348" s="214" t="n">
        <x:v>0</x:v>
      </x:c>
      <x:c r="P348" s="215">
        <x:f>ROUND(((K348*M348) - (K348*M348*N348/100)) + (((K348*M348) - (K348*M348*N348/100)) * O348/100), 2)</x:f>
      </x:c>
      <x:c r="Q348" s="216" t="s"/>
      <x:c r="R348" s="216" t="s"/>
      <x:c r="S348" s="81" t="s">
        <x:v>1026</x:v>
      </x:c>
      <x:c r="T348" s="209" t="s"/>
      <x:c r="U348" s="210" t="s"/>
    </x:row>
    <x:row r="349" spans="1:23">
      <x:c r="A349" s="76" t="n">
        <x:v>329</x:v>
      </x:c>
      <x:c r="B349" s="76" t="n">
        <x:v>5211047</x:v>
      </x:c>
      <x:c r="C349" s="77" t="s">
        <x:v>1027</x:v>
      </x:c>
      <x:c r="D349" s="78" t="s">
        <x:v>1028</x:v>
      </x:c>
      <x:c r="E349" s="79" t="s"/>
      <x:c r="F349" s="77" t="s"/>
      <x:c r="G349" s="92" t="n">
        <x:v>100</x:v>
      </x:c>
      <x:c r="H349" s="77" t="s">
        <x:v>154</x:v>
      </x:c>
      <x:c r="I349" s="77" t="s">
        <x:v>57</x:v>
      </x:c>
      <x:c r="J349" s="79" t="n">
        <x:v>3.97</x:v>
      </x:c>
      <x:c r="K349" s="211" t="n">
        <x:v>30</x:v>
      </x:c>
      <x:c r="L349" s="212" t="s"/>
      <x:c r="M349" s="213" t="n">
        <x:v>3.97</x:v>
      </x:c>
      <x:c r="N349" s="214" t="n">
        <x:v>0</x:v>
      </x:c>
      <x:c r="O349" s="214" t="n">
        <x:v>0</x:v>
      </x:c>
      <x:c r="P349" s="215">
        <x:f>ROUND(((K349*M349) - (K349*M349*N349/100)) + (((K349*M349) - (K349*M349*N349/100)) * O349/100), 2)</x:f>
      </x:c>
      <x:c r="Q349" s="216" t="s"/>
      <x:c r="R349" s="216" t="s"/>
      <x:c r="S349" s="81" t="s">
        <x:v>1029</x:v>
      </x:c>
      <x:c r="T349" s="209" t="s"/>
      <x:c r="U349" s="210" t="s"/>
    </x:row>
    <x:row r="350" spans="1:23">
      <x:c r="A350" s="76" t="n">
        <x:v>330</x:v>
      </x:c>
      <x:c r="B350" s="76" t="n">
        <x:v>5211067</x:v>
      </x:c>
      <x:c r="C350" s="77" t="s">
        <x:v>1030</x:v>
      </x:c>
      <x:c r="D350" s="78" t="s">
        <x:v>1031</x:v>
      </x:c>
      <x:c r="E350" s="79" t="s"/>
      <x:c r="F350" s="77" t="s"/>
      <x:c r="G350" s="92" t="n">
        <x:v>100</x:v>
      </x:c>
      <x:c r="H350" s="77" t="s">
        <x:v>56</x:v>
      </x:c>
      <x:c r="I350" s="77" t="s">
        <x:v>57</x:v>
      </x:c>
      <x:c r="J350" s="79" t="n">
        <x:v>11.86</x:v>
      </x:c>
      <x:c r="K350" s="211" t="n">
        <x:v>2</x:v>
      </x:c>
      <x:c r="L350" s="212" t="s"/>
      <x:c r="M350" s="213" t="n">
        <x:v>11.86</x:v>
      </x:c>
      <x:c r="N350" s="214" t="n">
        <x:v>0</x:v>
      </x:c>
      <x:c r="O350" s="214" t="n">
        <x:v>0</x:v>
      </x:c>
      <x:c r="P350" s="215">
        <x:f>ROUND(((K350*M350) - (K350*M350*N350/100)) + (((K350*M350) - (K350*M350*N350/100)) * O350/100), 2)</x:f>
      </x:c>
      <x:c r="Q350" s="216" t="s"/>
      <x:c r="R350" s="216" t="s"/>
      <x:c r="S350" s="81" t="s">
        <x:v>1032</x:v>
      </x:c>
      <x:c r="T350" s="209" t="s"/>
      <x:c r="U350" s="210" t="s"/>
    </x:row>
    <x:row r="351" spans="1:23">
      <x:c r="A351" s="76" t="n">
        <x:v>331</x:v>
      </x:c>
      <x:c r="B351" s="76" t="n">
        <x:v>5211072</x:v>
      </x:c>
      <x:c r="C351" s="77" t="s">
        <x:v>1033</x:v>
      </x:c>
      <x:c r="D351" s="78" t="s">
        <x:v>1034</x:v>
      </x:c>
      <x:c r="E351" s="79" t="s"/>
      <x:c r="F351" s="77" t="s"/>
      <x:c r="G351" s="92" t="n">
        <x:v>100</x:v>
      </x:c>
      <x:c r="H351" s="77" t="s">
        <x:v>56</x:v>
      </x:c>
      <x:c r="I351" s="77" t="s">
        <x:v>72</x:v>
      </x:c>
      <x:c r="J351" s="79" t="n">
        <x:v>4.54</x:v>
      </x:c>
      <x:c r="K351" s="211" t="n">
        <x:v>2</x:v>
      </x:c>
      <x:c r="L351" s="212" t="s"/>
      <x:c r="M351" s="213" t="n">
        <x:v>4.54</x:v>
      </x:c>
      <x:c r="N351" s="214" t="n">
        <x:v>0</x:v>
      </x:c>
      <x:c r="O351" s="214" t="n">
        <x:v>0</x:v>
      </x:c>
      <x:c r="P351" s="215">
        <x:f>ROUND(((K351*M351) - (K351*M351*N351/100)) + (((K351*M351) - (K351*M351*N351/100)) * O351/100), 2)</x:f>
      </x:c>
      <x:c r="Q351" s="216" t="s"/>
      <x:c r="R351" s="216" t="s"/>
      <x:c r="S351" s="81" t="s">
        <x:v>1035</x:v>
      </x:c>
      <x:c r="T351" s="209" t="s"/>
      <x:c r="U351" s="210" t="s"/>
    </x:row>
    <x:row r="352" spans="1:23">
      <x:c r="A352" s="76" t="n">
        <x:v>332</x:v>
      </x:c>
      <x:c r="B352" s="76" t="n">
        <x:v>5211092</x:v>
      </x:c>
      <x:c r="C352" s="77" t="s">
        <x:v>1036</x:v>
      </x:c>
      <x:c r="D352" s="78" t="s">
        <x:v>1037</x:v>
      </x:c>
      <x:c r="E352" s="79" t="s"/>
      <x:c r="F352" s="77" t="s"/>
      <x:c r="G352" s="92" t="n">
        <x:v>100</x:v>
      </x:c>
      <x:c r="H352" s="80" t="s">
        <x:v>56</x:v>
      </x:c>
      <x:c r="I352" s="80" t="s"/>
      <x:c r="J352" s="79" t="n">
        <x:v>0</x:v>
      </x:c>
      <x:c r="K352" s="211" t="n">
        <x:v>30</x:v>
      </x:c>
      <x:c r="L352" s="212" t="s"/>
      <x:c r="M352" s="213" t="n">
        <x:v>0</x:v>
      </x:c>
      <x:c r="N352" s="214" t="n">
        <x:v>0</x:v>
      </x:c>
      <x:c r="O352" s="214" t="n">
        <x:v>0</x:v>
      </x:c>
      <x:c r="P352" s="215">
        <x:f>ROUND(((K352*M352) - (K352*M352*N352/100)) + (((K352*M352) - (K352*M352*N352/100)) * O352/100), 2)</x:f>
      </x:c>
      <x:c r="Q352" s="216" t="s"/>
      <x:c r="R352" s="216" t="s"/>
      <x:c r="S352" s="81" t="s"/>
      <x:c r="T352" s="209" t="s"/>
      <x:c r="U352" s="210" t="s"/>
    </x:row>
    <x:row r="353" spans="1:23">
      <x:c r="A353" s="76" t="n">
        <x:v>333</x:v>
      </x:c>
      <x:c r="B353" s="76" t="n">
        <x:v>5211101</x:v>
      </x:c>
      <x:c r="C353" s="77" t="s">
        <x:v>1038</x:v>
      </x:c>
      <x:c r="D353" s="78" t="s">
        <x:v>1039</x:v>
      </x:c>
      <x:c r="E353" s="79" t="s"/>
      <x:c r="F353" s="77" t="s"/>
      <x:c r="G353" s="92" t="n">
        <x:v>100</x:v>
      </x:c>
      <x:c r="H353" s="77" t="s">
        <x:v>56</x:v>
      </x:c>
      <x:c r="I353" s="77" t="s">
        <x:v>57</x:v>
      </x:c>
      <x:c r="J353" s="79" t="n">
        <x:v>1.24</x:v>
      </x:c>
      <x:c r="K353" s="211" t="n">
        <x:v>7</x:v>
      </x:c>
      <x:c r="L353" s="212" t="s"/>
      <x:c r="M353" s="213" t="n">
        <x:v>1.24</x:v>
      </x:c>
      <x:c r="N353" s="214" t="n">
        <x:v>0</x:v>
      </x:c>
      <x:c r="O353" s="214" t="n">
        <x:v>0</x:v>
      </x:c>
      <x:c r="P353" s="215">
        <x:f>ROUND(((K353*M353) - (K353*M353*N353/100)) + (((K353*M353) - (K353*M353*N353/100)) * O353/100), 2)</x:f>
      </x:c>
      <x:c r="Q353" s="216" t="s"/>
      <x:c r="R353" s="216" t="s"/>
      <x:c r="S353" s="81" t="s">
        <x:v>1040</x:v>
      </x:c>
      <x:c r="T353" s="209" t="s"/>
      <x:c r="U353" s="210" t="s"/>
    </x:row>
    <x:row r="354" spans="1:23">
      <x:c r="A354" s="76" t="n">
        <x:v>334</x:v>
      </x:c>
      <x:c r="B354" s="76" t="n">
        <x:v>5211106</x:v>
      </x:c>
      <x:c r="C354" s="77" t="s">
        <x:v>1041</x:v>
      </x:c>
      <x:c r="D354" s="78" t="s">
        <x:v>1042</x:v>
      </x:c>
      <x:c r="E354" s="79" t="s"/>
      <x:c r="F354" s="77" t="s"/>
      <x:c r="G354" s="92" t="n">
        <x:v>100</x:v>
      </x:c>
      <x:c r="H354" s="77" t="s">
        <x:v>154</x:v>
      </x:c>
      <x:c r="I354" s="77" t="s">
        <x:v>57</x:v>
      </x:c>
      <x:c r="J354" s="79" t="n">
        <x:v>3.87</x:v>
      </x:c>
      <x:c r="K354" s="211" t="n">
        <x:v>60</x:v>
      </x:c>
      <x:c r="L354" s="212" t="s"/>
      <x:c r="M354" s="213" t="n">
        <x:v>3.87</x:v>
      </x:c>
      <x:c r="N354" s="214" t="n">
        <x:v>0</x:v>
      </x:c>
      <x:c r="O354" s="214" t="n">
        <x:v>0</x:v>
      </x:c>
      <x:c r="P354" s="215">
        <x:f>ROUND(((K354*M354) - (K354*M354*N354/100)) + (((K354*M354) - (K354*M354*N354/100)) * O354/100), 2)</x:f>
      </x:c>
      <x:c r="Q354" s="216" t="s"/>
      <x:c r="R354" s="216" t="s"/>
      <x:c r="S354" s="81" t="s">
        <x:v>1043</x:v>
      </x:c>
      <x:c r="T354" s="209" t="s"/>
      <x:c r="U354" s="210" t="s"/>
    </x:row>
    <x:row r="355" spans="1:23">
      <x:c r="A355" s="76" t="n">
        <x:v>335</x:v>
      </x:c>
      <x:c r="B355" s="76" t="n">
        <x:v>6799282</x:v>
      </x:c>
      <x:c r="C355" s="77" t="s">
        <x:v>1044</x:v>
      </x:c>
      <x:c r="D355" s="78" t="s">
        <x:v>1045</x:v>
      </x:c>
      <x:c r="E355" s="79" t="s"/>
      <x:c r="F355" s="77" t="s"/>
      <x:c r="G355" s="92" t="n">
        <x:v>100</x:v>
      </x:c>
      <x:c r="H355" s="77" t="s">
        <x:v>56</x:v>
      </x:c>
      <x:c r="I355" s="77" t="s">
        <x:v>57</x:v>
      </x:c>
      <x:c r="J355" s="79" t="n">
        <x:v>1.44</x:v>
      </x:c>
      <x:c r="K355" s="211" t="n">
        <x:v>8</x:v>
      </x:c>
      <x:c r="L355" s="212" t="s"/>
      <x:c r="M355" s="213" t="n">
        <x:v>1.44</x:v>
      </x:c>
      <x:c r="N355" s="214" t="n">
        <x:v>0</x:v>
      </x:c>
      <x:c r="O355" s="214" t="n">
        <x:v>0</x:v>
      </x:c>
      <x:c r="P355" s="215">
        <x:f>ROUND(((K355*M355) - (K355*M355*N355/100)) + (((K355*M355) - (K355*M355*N355/100)) * O355/100), 2)</x:f>
      </x:c>
      <x:c r="Q355" s="216" t="s"/>
      <x:c r="R355" s="216" t="s"/>
      <x:c r="S355" s="81" t="s">
        <x:v>1046</x:v>
      </x:c>
      <x:c r="T355" s="209" t="s"/>
      <x:c r="U355" s="210" t="s"/>
    </x:row>
    <x:row r="356" spans="1:23">
      <x:c r="A356" s="76" t="n">
        <x:v>336</x:v>
      </x:c>
      <x:c r="B356" s="76" t="n">
        <x:v>5798794</x:v>
      </x:c>
      <x:c r="C356" s="77" t="s">
        <x:v>1047</x:v>
      </x:c>
      <x:c r="D356" s="78" t="s">
        <x:v>1048</x:v>
      </x:c>
      <x:c r="E356" s="79" t="s"/>
      <x:c r="F356" s="77" t="s"/>
      <x:c r="G356" s="92" t="n">
        <x:v>100</x:v>
      </x:c>
      <x:c r="H356" s="77" t="s">
        <x:v>56</x:v>
      </x:c>
      <x:c r="I356" s="77" t="s">
        <x:v>57</x:v>
      </x:c>
      <x:c r="J356" s="79" t="n">
        <x:v>1.44</x:v>
      </x:c>
      <x:c r="K356" s="211" t="n">
        <x:v>10</x:v>
      </x:c>
      <x:c r="L356" s="212" t="s"/>
      <x:c r="M356" s="213" t="n">
        <x:v>1.44</x:v>
      </x:c>
      <x:c r="N356" s="214" t="n">
        <x:v>0</x:v>
      </x:c>
      <x:c r="O356" s="214" t="n">
        <x:v>0</x:v>
      </x:c>
      <x:c r="P356" s="215">
        <x:f>ROUND(((K356*M356) - (K356*M356*N356/100)) + (((K356*M356) - (K356*M356*N356/100)) * O356/100), 2)</x:f>
      </x:c>
      <x:c r="Q356" s="216" t="s"/>
      <x:c r="R356" s="216" t="s"/>
      <x:c r="S356" s="81" t="s">
        <x:v>1049</x:v>
      </x:c>
      <x:c r="T356" s="209" t="s"/>
      <x:c r="U356" s="210" t="s"/>
    </x:row>
    <x:row r="357" spans="1:23">
      <x:c r="A357" s="76" t="n">
        <x:v>337</x:v>
      </x:c>
      <x:c r="B357" s="76" t="n">
        <x:v>5211155</x:v>
      </x:c>
      <x:c r="C357" s="77" t="s">
        <x:v>1050</x:v>
      </x:c>
      <x:c r="D357" s="78" t="s">
        <x:v>1051</x:v>
      </x:c>
      <x:c r="E357" s="79" t="s"/>
      <x:c r="F357" s="77" t="s"/>
      <x:c r="G357" s="92" t="n">
        <x:v>100</x:v>
      </x:c>
      <x:c r="H357" s="77" t="s">
        <x:v>56</x:v>
      </x:c>
      <x:c r="I357" s="77" t="s">
        <x:v>57</x:v>
      </x:c>
      <x:c r="J357" s="79" t="n">
        <x:v>3.14</x:v>
      </x:c>
      <x:c r="K357" s="211" t="n">
        <x:v>5</x:v>
      </x:c>
      <x:c r="L357" s="212" t="s"/>
      <x:c r="M357" s="213" t="n">
        <x:v>3.14</x:v>
      </x:c>
      <x:c r="N357" s="214" t="n">
        <x:v>0</x:v>
      </x:c>
      <x:c r="O357" s="214" t="n">
        <x:v>0</x:v>
      </x:c>
      <x:c r="P357" s="215">
        <x:f>ROUND(((K357*M357) - (K357*M357*N357/100)) + (((K357*M357) - (K357*M357*N357/100)) * O357/100), 2)</x:f>
      </x:c>
      <x:c r="Q357" s="216" t="s"/>
      <x:c r="R357" s="216" t="s"/>
      <x:c r="S357" s="81" t="s">
        <x:v>1052</x:v>
      </x:c>
      <x:c r="T357" s="209" t="s"/>
      <x:c r="U357" s="210" t="s"/>
    </x:row>
    <x:row r="358" spans="1:23">
      <x:c r="A358" s="76" t="n">
        <x:v>338</x:v>
      </x:c>
      <x:c r="B358" s="76" t="n">
        <x:v>5211292</x:v>
      </x:c>
      <x:c r="C358" s="77" t="s">
        <x:v>1053</x:v>
      </x:c>
      <x:c r="D358" s="78" t="s">
        <x:v>1054</x:v>
      </x:c>
      <x:c r="E358" s="79" t="s"/>
      <x:c r="F358" s="77" t="s"/>
      <x:c r="G358" s="92" t="n">
        <x:v>100</x:v>
      </x:c>
      <x:c r="H358" s="77" t="s">
        <x:v>56</x:v>
      </x:c>
      <x:c r="I358" s="77" t="s">
        <x:v>57</x:v>
      </x:c>
      <x:c r="J358" s="79" t="n">
        <x:v>1.44</x:v>
      </x:c>
      <x:c r="K358" s="211" t="n">
        <x:v>12</x:v>
      </x:c>
      <x:c r="L358" s="212" t="s"/>
      <x:c r="M358" s="213" t="n">
        <x:v>1.44</x:v>
      </x:c>
      <x:c r="N358" s="214" t="n">
        <x:v>0</x:v>
      </x:c>
      <x:c r="O358" s="214" t="n">
        <x:v>0</x:v>
      </x:c>
      <x:c r="P358" s="215">
        <x:f>ROUND(((K358*M358) - (K358*M358*N358/100)) + (((K358*M358) - (K358*M358*N358/100)) * O358/100), 2)</x:f>
      </x:c>
      <x:c r="Q358" s="216" t="s"/>
      <x:c r="R358" s="216" t="s"/>
      <x:c r="S358" s="81" t="s">
        <x:v>1055</x:v>
      </x:c>
      <x:c r="T358" s="209" t="s"/>
      <x:c r="U358" s="210" t="s"/>
    </x:row>
    <x:row r="359" spans="1:23">
      <x:c r="A359" s="76" t="n">
        <x:v>339</x:v>
      </x:c>
      <x:c r="B359" s="76" t="n">
        <x:v>5211171</x:v>
      </x:c>
      <x:c r="C359" s="77" t="s">
        <x:v>1056</x:v>
      </x:c>
      <x:c r="D359" s="78" t="s">
        <x:v>1057</x:v>
      </x:c>
      <x:c r="E359" s="79" t="s"/>
      <x:c r="F359" s="77" t="s"/>
      <x:c r="G359" s="92" t="n">
        <x:v>100</x:v>
      </x:c>
      <x:c r="H359" s="77" t="s">
        <x:v>56</x:v>
      </x:c>
      <x:c r="I359" s="77" t="s">
        <x:v>98</x:v>
      </x:c>
      <x:c r="J359" s="79" t="n">
        <x:v>8.25</x:v>
      </x:c>
      <x:c r="K359" s="211" t="n">
        <x:v>2</x:v>
      </x:c>
      <x:c r="L359" s="212" t="s"/>
      <x:c r="M359" s="213" t="n">
        <x:v>8.25</x:v>
      </x:c>
      <x:c r="N359" s="214" t="n">
        <x:v>0</x:v>
      </x:c>
      <x:c r="O359" s="214" t="n">
        <x:v>0</x:v>
      </x:c>
      <x:c r="P359" s="215">
        <x:f>ROUND(((K359*M359) - (K359*M359*N359/100)) + (((K359*M359) - (K359*M359*N359/100)) * O359/100), 2)</x:f>
      </x:c>
      <x:c r="Q359" s="216" t="s"/>
      <x:c r="R359" s="216" t="s"/>
      <x:c r="S359" s="81" t="s">
        <x:v>1058</x:v>
      </x:c>
      <x:c r="T359" s="209" t="s"/>
      <x:c r="U359" s="210" t="s"/>
    </x:row>
    <x:row r="360" spans="1:23">
      <x:c r="A360" s="76" t="n">
        <x:v>340</x:v>
      </x:c>
      <x:c r="B360" s="76" t="n">
        <x:v>5211179</x:v>
      </x:c>
      <x:c r="C360" s="77" t="s">
        <x:v>1059</x:v>
      </x:c>
      <x:c r="D360" s="78" t="s">
        <x:v>1060</x:v>
      </x:c>
      <x:c r="E360" s="79" t="s"/>
      <x:c r="F360" s="77" t="s"/>
      <x:c r="G360" s="92" t="n">
        <x:v>100</x:v>
      </x:c>
      <x:c r="H360" s="77" t="s">
        <x:v>56</x:v>
      </x:c>
      <x:c r="I360" s="77" t="s">
        <x:v>57</x:v>
      </x:c>
      <x:c r="J360" s="79" t="n">
        <x:v>1.49</x:v>
      </x:c>
      <x:c r="K360" s="211" t="n">
        <x:v>60</x:v>
      </x:c>
      <x:c r="L360" s="212" t="s"/>
      <x:c r="M360" s="213" t="n">
        <x:v>1.49</x:v>
      </x:c>
      <x:c r="N360" s="214" t="n">
        <x:v>0</x:v>
      </x:c>
      <x:c r="O360" s="214" t="n">
        <x:v>0</x:v>
      </x:c>
      <x:c r="P360" s="215">
        <x:f>ROUND(((K360*M360) - (K360*M360*N360/100)) + (((K360*M360) - (K360*M360*N360/100)) * O360/100), 2)</x:f>
      </x:c>
      <x:c r="Q360" s="216" t="s"/>
      <x:c r="R360" s="216" t="s"/>
      <x:c r="S360" s="81" t="s">
        <x:v>1061</x:v>
      </x:c>
      <x:c r="T360" s="209" t="s"/>
      <x:c r="U360" s="210" t="s"/>
    </x:row>
    <x:row r="361" spans="1:23">
      <x:c r="A361" s="76" t="n">
        <x:v>341</x:v>
      </x:c>
      <x:c r="B361" s="76" t="n">
        <x:v>5211197</x:v>
      </x:c>
      <x:c r="C361" s="77" t="s">
        <x:v>1062</x:v>
      </x:c>
      <x:c r="D361" s="78" t="s">
        <x:v>1063</x:v>
      </x:c>
      <x:c r="E361" s="79" t="s"/>
      <x:c r="F361" s="77" t="s"/>
      <x:c r="G361" s="92" t="n">
        <x:v>100</x:v>
      </x:c>
      <x:c r="H361" s="77" t="s">
        <x:v>154</x:v>
      </x:c>
      <x:c r="I361" s="77" t="s">
        <x:v>57</x:v>
      </x:c>
      <x:c r="J361" s="79" t="n">
        <x:v>24.79</x:v>
      </x:c>
      <x:c r="K361" s="211" t="n">
        <x:v>10</x:v>
      </x:c>
      <x:c r="L361" s="212" t="s"/>
      <x:c r="M361" s="213" t="n">
        <x:v>24.79</x:v>
      </x:c>
      <x:c r="N361" s="214" t="n">
        <x:v>0</x:v>
      </x:c>
      <x:c r="O361" s="214" t="n">
        <x:v>0</x:v>
      </x:c>
      <x:c r="P361" s="215">
        <x:f>ROUND(((K361*M361) - (K361*M361*N361/100)) + (((K361*M361) - (K361*M361*N361/100)) * O361/100), 2)</x:f>
      </x:c>
      <x:c r="Q361" s="216" t="s"/>
      <x:c r="R361" s="216" t="s"/>
      <x:c r="S361" s="81" t="s">
        <x:v>1064</x:v>
      </x:c>
      <x:c r="T361" s="209" t="s"/>
      <x:c r="U361" s="210" t="s"/>
    </x:row>
    <x:row r="362" spans="1:23">
      <x:c r="A362" s="76" t="n">
        <x:v>342</x:v>
      </x:c>
      <x:c r="B362" s="76" t="n">
        <x:v>5211007</x:v>
      </x:c>
      <x:c r="C362" s="77" t="s">
        <x:v>1065</x:v>
      </x:c>
      <x:c r="D362" s="78" t="s">
        <x:v>1066</x:v>
      </x:c>
      <x:c r="E362" s="79" t="s"/>
      <x:c r="F362" s="77" t="s"/>
      <x:c r="G362" s="92" t="n">
        <x:v>1</x:v>
      </x:c>
      <x:c r="H362" s="80" t="s">
        <x:v>154</x:v>
      </x:c>
      <x:c r="I362" s="80" t="s"/>
      <x:c r="J362" s="79" t="n">
        <x:v>0</x:v>
      </x:c>
      <x:c r="K362" s="211" t="n">
        <x:v>2</x:v>
      </x:c>
      <x:c r="L362" s="212" t="s"/>
      <x:c r="M362" s="213" t="n">
        <x:v>0</x:v>
      </x:c>
      <x:c r="N362" s="214" t="n">
        <x:v>0</x:v>
      </x:c>
      <x:c r="O362" s="214" t="n">
        <x:v>0</x:v>
      </x:c>
      <x:c r="P362" s="215">
        <x:f>ROUND(((K362*M362) - (K362*M362*N362/100)) + (((K362*M362) - (K362*M362*N362/100)) * O362/100), 2)</x:f>
      </x:c>
      <x:c r="Q362" s="216" t="s"/>
      <x:c r="R362" s="216" t="s"/>
      <x:c r="S362" s="81" t="s"/>
      <x:c r="T362" s="209" t="s"/>
      <x:c r="U362" s="210" t="s"/>
    </x:row>
    <x:row r="363" spans="1:23">
      <x:c r="A363" s="76" t="n">
        <x:v>343</x:v>
      </x:c>
      <x:c r="B363" s="76" t="n">
        <x:v>5211071</x:v>
      </x:c>
      <x:c r="C363" s="77" t="s">
        <x:v>1067</x:v>
      </x:c>
      <x:c r="D363" s="78" t="s">
        <x:v>1068</x:v>
      </x:c>
      <x:c r="E363" s="79" t="s"/>
      <x:c r="F363" s="77" t="s"/>
      <x:c r="G363" s="92" t="n">
        <x:v>100</x:v>
      </x:c>
      <x:c r="H363" s="80" t="s">
        <x:v>56</x:v>
      </x:c>
      <x:c r="I363" s="80" t="s"/>
      <x:c r="J363" s="79" t="n">
        <x:v>0</x:v>
      </x:c>
      <x:c r="K363" s="211" t="n">
        <x:v>10</x:v>
      </x:c>
      <x:c r="L363" s="212" t="s"/>
      <x:c r="M363" s="213" t="n">
        <x:v>0</x:v>
      </x:c>
      <x:c r="N363" s="214" t="n">
        <x:v>0</x:v>
      </x:c>
      <x:c r="O363" s="214" t="n">
        <x:v>0</x:v>
      </x:c>
      <x:c r="P363" s="215">
        <x:f>ROUND(((K363*M363) - (K363*M363*N363/100)) + (((K363*M363) - (K363*M363*N363/100)) * O363/100), 2)</x:f>
      </x:c>
      <x:c r="Q363" s="216" t="s"/>
      <x:c r="R363" s="216" t="s"/>
      <x:c r="S363" s="81" t="s"/>
      <x:c r="T363" s="209" t="s"/>
      <x:c r="U363" s="210" t="s"/>
    </x:row>
    <x:row r="364" spans="1:23">
      <x:c r="A364" s="76" t="n">
        <x:v>344</x:v>
      </x:c>
      <x:c r="B364" s="76" t="n">
        <x:v>6540713</x:v>
      </x:c>
      <x:c r="C364" s="77" t="s">
        <x:v>1069</x:v>
      </x:c>
      <x:c r="D364" s="78" t="s">
        <x:v>1070</x:v>
      </x:c>
      <x:c r="E364" s="79" t="s"/>
      <x:c r="F364" s="77" t="s"/>
      <x:c r="G364" s="92" t="n">
        <x:v>500</x:v>
      </x:c>
      <x:c r="H364" s="77" t="s">
        <x:v>56</x:v>
      </x:c>
      <x:c r="I364" s="77" t="s">
        <x:v>57</x:v>
      </x:c>
      <x:c r="J364" s="79" t="n">
        <x:v>2.06</x:v>
      </x:c>
      <x:c r="K364" s="211" t="n">
        <x:v>4</x:v>
      </x:c>
      <x:c r="L364" s="212" t="s"/>
      <x:c r="M364" s="213" t="n">
        <x:v>2.06</x:v>
      </x:c>
      <x:c r="N364" s="214" t="n">
        <x:v>0</x:v>
      </x:c>
      <x:c r="O364" s="214" t="n">
        <x:v>0</x:v>
      </x:c>
      <x:c r="P364" s="215">
        <x:f>ROUND(((K364*M364) - (K364*M364*N364/100)) + (((K364*M364) - (K364*M364*N364/100)) * O364/100), 2)</x:f>
      </x:c>
      <x:c r="Q364" s="216" t="s"/>
      <x:c r="R364" s="216" t="s"/>
      <x:c r="S364" s="81" t="s">
        <x:v>1071</x:v>
      </x:c>
      <x:c r="T364" s="209" t="s"/>
      <x:c r="U364" s="210" t="s"/>
    </x:row>
    <x:row r="365" spans="1:23">
      <x:c r="A365" s="76" t="n">
        <x:v>345</x:v>
      </x:c>
      <x:c r="B365" s="76" t="n">
        <x:v>5211199</x:v>
      </x:c>
      <x:c r="C365" s="77" t="s">
        <x:v>1072</x:v>
      </x:c>
      <x:c r="D365" s="78" t="s">
        <x:v>1073</x:v>
      </x:c>
      <x:c r="E365" s="79" t="s"/>
      <x:c r="F365" s="77" t="s"/>
      <x:c r="G365" s="92" t="n">
        <x:v>1</x:v>
      </x:c>
      <x:c r="H365" s="77" t="s">
        <x:v>154</x:v>
      </x:c>
      <x:c r="I365" s="77" t="s">
        <x:v>57</x:v>
      </x:c>
      <x:c r="J365" s="79" t="n">
        <x:v>23.4</x:v>
      </x:c>
      <x:c r="K365" s="211" t="n">
        <x:v>25</x:v>
      </x:c>
      <x:c r="L365" s="212" t="s"/>
      <x:c r="M365" s="213" t="n">
        <x:v>23.4</x:v>
      </x:c>
      <x:c r="N365" s="214" t="n">
        <x:v>0</x:v>
      </x:c>
      <x:c r="O365" s="214" t="n">
        <x:v>0</x:v>
      </x:c>
      <x:c r="P365" s="215">
        <x:f>ROUND(((K365*M365) - (K365*M365*N365/100)) + (((K365*M365) - (K365*M365*N365/100)) * O365/100), 2)</x:f>
      </x:c>
      <x:c r="Q365" s="216" t="s"/>
      <x:c r="R365" s="216" t="s"/>
      <x:c r="S365" s="81" t="s">
        <x:v>1074</x:v>
      </x:c>
      <x:c r="T365" s="209" t="s"/>
      <x:c r="U365" s="210" t="s"/>
    </x:row>
    <x:row r="366" spans="1:23">
      <x:c r="A366" s="76" t="s"/>
      <x:c r="B366" s="76" t="s"/>
      <x:c r="C366" s="77" t="s"/>
      <x:c r="D366" s="78" t="s"/>
      <x:c r="E366" s="79" t="s"/>
      <x:c r="F366" s="77" t="s"/>
      <x:c r="G366" s="92" t="s"/>
      <x:c r="H366" s="77" t="s"/>
      <x:c r="I366" s="77" t="s"/>
      <x:c r="J366" s="79" t="s"/>
      <x:c r="K366" s="217" t="s"/>
      <x:c r="L366" s="218" t="s"/>
      <x:c r="M366" s="219" t="s">
        <x:v>1075</x:v>
      </x:c>
      <x:c r="N366" s="220" t="s"/>
      <x:c r="O366" s="220" t="s"/>
      <x:c r="P366" s="215">
        <x:f>SUM(P21:P365)</x:f>
      </x:c>
      <x:c r="Q366" s="221" t="s"/>
      <x:c r="R366" s="221" t="s"/>
      <x:c r="S366" s="81" t="s"/>
      <x:c r="T366" s="209" t="s"/>
      <x:c r="U366" s="210" t="s"/>
    </x:row>
    <x:row r="367" spans="1:23">
      <x:c r="A367" s="199" t="s"/>
      <x:c r="B367" s="199" t="s"/>
      <x:c r="C367" s="200" t="s">
        <x:v>1076</x:v>
      </x:c>
      <x:c r="D367" s="201" t="s"/>
      <x:c r="E367" s="202" t="s"/>
      <x:c r="F367" s="200" t="s"/>
      <x:c r="G367" s="203" t="s"/>
      <x:c r="H367" s="200" t="s"/>
      <x:c r="I367" s="200" t="s"/>
      <x:c r="J367" s="202" t="s"/>
      <x:c r="K367" s="204" t="s"/>
      <x:c r="L367" s="205" t="s"/>
      <x:c r="M367" s="206" t="s"/>
      <x:c r="N367" s="202" t="s"/>
      <x:c r="O367" s="202" t="s"/>
      <x:c r="P367" s="207" t="s"/>
      <x:c r="Q367" s="208" t="s"/>
      <x:c r="R367" s="208" t="s"/>
      <x:c r="S367" s="208" t="s"/>
      <x:c r="T367" s="209" t="s"/>
      <x:c r="U367" s="210" t="s"/>
    </x:row>
    <x:row r="368" spans="1:23">
      <x:c r="A368" s="76" t="n">
        <x:v>1</x:v>
      </x:c>
      <x:c r="B368" s="76" t="n">
        <x:v>5211269</x:v>
      </x:c>
      <x:c r="C368" s="77" t="s">
        <x:v>1077</x:v>
      </x:c>
      <x:c r="D368" s="78" t="s">
        <x:v>1078</x:v>
      </x:c>
      <x:c r="E368" s="79" t="s"/>
      <x:c r="F368" s="77" t="s"/>
      <x:c r="G368" s="92" t="n">
        <x:v>24</x:v>
      </x:c>
      <x:c r="H368" s="77" t="s">
        <x:v>872</x:v>
      </x:c>
      <x:c r="I368" s="77" t="s">
        <x:v>61</x:v>
      </x:c>
      <x:c r="J368" s="79" t="n">
        <x:v>20.96</x:v>
      </x:c>
      <x:c r="K368" s="211" t="n">
        <x:v>35</x:v>
      </x:c>
      <x:c r="L368" s="212" t="s"/>
      <x:c r="M368" s="213" t="n">
        <x:v>20.96</x:v>
      </x:c>
      <x:c r="N368" s="214" t="n">
        <x:v>0</x:v>
      </x:c>
      <x:c r="O368" s="214" t="n">
        <x:v>0</x:v>
      </x:c>
      <x:c r="P368" s="215">
        <x:f>ROUND(((K368*M368) - (K368*M368*N368/100)) + (((K368*M368) - (K368*M368*N368/100)) * O368/100), 2)</x:f>
      </x:c>
      <x:c r="Q368" s="216" t="s"/>
      <x:c r="R368" s="216" t="s"/>
      <x:c r="S368" s="81" t="s">
        <x:v>1079</x:v>
      </x:c>
      <x:c r="T368" s="209" t="s"/>
      <x:c r="U368" s="210" t="s"/>
    </x:row>
    <x:row r="369" spans="1:23">
      <x:c r="A369" s="76" t="n">
        <x:v>2</x:v>
      </x:c>
      <x:c r="B369" s="76" t="n">
        <x:v>5211275</x:v>
      </x:c>
      <x:c r="C369" s="77" t="s">
        <x:v>1080</x:v>
      </x:c>
      <x:c r="D369" s="78" t="s">
        <x:v>1081</x:v>
      </x:c>
      <x:c r="E369" s="79" t="s"/>
      <x:c r="F369" s="77" t="s"/>
      <x:c r="G369" s="92" t="n">
        <x:v>24</x:v>
      </x:c>
      <x:c r="H369" s="77" t="s">
        <x:v>872</x:v>
      </x:c>
      <x:c r="I369" s="77" t="s">
        <x:v>61</x:v>
      </x:c>
      <x:c r="J369" s="79" t="n">
        <x:v>16.91</x:v>
      </x:c>
      <x:c r="K369" s="211" t="n">
        <x:v>35</x:v>
      </x:c>
      <x:c r="L369" s="212" t="s"/>
      <x:c r="M369" s="213" t="n">
        <x:v>16.91</x:v>
      </x:c>
      <x:c r="N369" s="214" t="n">
        <x:v>0</x:v>
      </x:c>
      <x:c r="O369" s="214" t="n">
        <x:v>0</x:v>
      </x:c>
      <x:c r="P369" s="215">
        <x:f>ROUND(((K369*M369) - (K369*M369*N369/100)) + (((K369*M369) - (K369*M369*N369/100)) * O369/100), 2)</x:f>
      </x:c>
      <x:c r="Q369" s="216" t="s"/>
      <x:c r="R369" s="216" t="s"/>
      <x:c r="S369" s="81" t="s">
        <x:v>1082</x:v>
      </x:c>
      <x:c r="T369" s="209" t="s"/>
      <x:c r="U369" s="210" t="s"/>
    </x:row>
    <x:row r="370" spans="1:23">
      <x:c r="A370" s="76" t="n">
        <x:v>3</x:v>
      </x:c>
      <x:c r="B370" s="76" t="n">
        <x:v>5211271</x:v>
      </x:c>
      <x:c r="C370" s="77" t="s">
        <x:v>1083</x:v>
      </x:c>
      <x:c r="D370" s="78" t="s">
        <x:v>1084</x:v>
      </x:c>
      <x:c r="E370" s="79" t="s"/>
      <x:c r="F370" s="77" t="s"/>
      <x:c r="G370" s="92" t="n">
        <x:v>24</x:v>
      </x:c>
      <x:c r="H370" s="77" t="s">
        <x:v>872</x:v>
      </x:c>
      <x:c r="I370" s="77" t="s">
        <x:v>61</x:v>
      </x:c>
      <x:c r="J370" s="79" t="n">
        <x:v>18.03</x:v>
      </x:c>
      <x:c r="K370" s="211" t="n">
        <x:v>35</x:v>
      </x:c>
      <x:c r="L370" s="212" t="s"/>
      <x:c r="M370" s="213" t="n">
        <x:v>18.03</x:v>
      </x:c>
      <x:c r="N370" s="214" t="n">
        <x:v>0</x:v>
      </x:c>
      <x:c r="O370" s="214" t="n">
        <x:v>0</x:v>
      </x:c>
      <x:c r="P370" s="215">
        <x:f>ROUND(((K370*M370) - (K370*M370*N370/100)) + (((K370*M370) - (K370*M370*N370/100)) * O370/100), 2)</x:f>
      </x:c>
      <x:c r="Q370" s="216" t="s"/>
      <x:c r="R370" s="216" t="s"/>
      <x:c r="S370" s="81" t="s">
        <x:v>1085</x:v>
      </x:c>
      <x:c r="T370" s="209" t="s"/>
      <x:c r="U370" s="210" t="s"/>
    </x:row>
    <x:row r="371" spans="1:23">
      <x:c r="A371" s="76" t="n">
        <x:v>4</x:v>
      </x:c>
      <x:c r="B371" s="76" t="n">
        <x:v>5211208</x:v>
      </x:c>
      <x:c r="C371" s="77" t="s">
        <x:v>1086</x:v>
      </x:c>
      <x:c r="D371" s="78" t="s">
        <x:v>1087</x:v>
      </x:c>
      <x:c r="E371" s="79" t="s"/>
      <x:c r="F371" s="77" t="s"/>
      <x:c r="G371" s="92" t="n">
        <x:v>1</x:v>
      </x:c>
      <x:c r="H371" s="77" t="s">
        <x:v>1088</x:v>
      </x:c>
      <x:c r="I371" s="77" t="s">
        <x:v>72</x:v>
      </x:c>
      <x:c r="J371" s="79" t="n">
        <x:v>18.82</x:v>
      </x:c>
      <x:c r="K371" s="211" t="n">
        <x:v>40</x:v>
      </x:c>
      <x:c r="L371" s="212" t="s"/>
      <x:c r="M371" s="213" t="n">
        <x:v>18.82</x:v>
      </x:c>
      <x:c r="N371" s="214" t="n">
        <x:v>0</x:v>
      </x:c>
      <x:c r="O371" s="214" t="n">
        <x:v>0</x:v>
      </x:c>
      <x:c r="P371" s="215">
        <x:f>ROUND(((K371*M371) - (K371*M371*N371/100)) + (((K371*M371) - (K371*M371*N371/100)) * O371/100), 2)</x:f>
      </x:c>
      <x:c r="Q371" s="216" t="s"/>
      <x:c r="R371" s="216" t="s"/>
      <x:c r="S371" s="81" t="s">
        <x:v>1089</x:v>
      </x:c>
      <x:c r="T371" s="209" t="s"/>
      <x:c r="U371" s="210" t="s"/>
    </x:row>
    <x:row r="372" spans="1:23">
      <x:c r="A372" s="76" t="n">
        <x:v>5</x:v>
      </x:c>
      <x:c r="B372" s="76" t="n">
        <x:v>5690491</x:v>
      </x:c>
      <x:c r="C372" s="77" t="s">
        <x:v>1090</x:v>
      </x:c>
      <x:c r="D372" s="78" t="s">
        <x:v>1091</x:v>
      </x:c>
      <x:c r="E372" s="79" t="s"/>
      <x:c r="F372" s="77" t="s"/>
      <x:c r="G372" s="92" t="n">
        <x:v>1</x:v>
      </x:c>
      <x:c r="H372" s="77" t="s">
        <x:v>1088</x:v>
      </x:c>
      <x:c r="I372" s="77" t="s">
        <x:v>72</x:v>
      </x:c>
      <x:c r="J372" s="79" t="n">
        <x:v>25.8</x:v>
      </x:c>
      <x:c r="K372" s="211" t="n">
        <x:v>40</x:v>
      </x:c>
      <x:c r="L372" s="212" t="s"/>
      <x:c r="M372" s="213" t="n">
        <x:v>25.8</x:v>
      </x:c>
      <x:c r="N372" s="214" t="n">
        <x:v>0</x:v>
      </x:c>
      <x:c r="O372" s="214" t="n">
        <x:v>0</x:v>
      </x:c>
      <x:c r="P372" s="215">
        <x:f>ROUND(((K372*M372) - (K372*M372*N372/100)) + (((K372*M372) - (K372*M372*N372/100)) * O372/100), 2)</x:f>
      </x:c>
      <x:c r="Q372" s="216" t="s"/>
      <x:c r="R372" s="216" t="s"/>
      <x:c r="S372" s="81" t="s">
        <x:v>1092</x:v>
      </x:c>
      <x:c r="T372" s="209" t="s"/>
      <x:c r="U372" s="210" t="s"/>
    </x:row>
    <x:row r="373" spans="1:23">
      <x:c r="A373" s="76" t="n">
        <x:v>6</x:v>
      </x:c>
      <x:c r="B373" s="76" t="n">
        <x:v>5211219</x:v>
      </x:c>
      <x:c r="C373" s="77" t="s">
        <x:v>1093</x:v>
      </x:c>
      <x:c r="D373" s="78" t="s">
        <x:v>1094</x:v>
      </x:c>
      <x:c r="E373" s="79" t="s"/>
      <x:c r="F373" s="77" t="s"/>
      <x:c r="G373" s="92" t="n">
        <x:v>1</x:v>
      </x:c>
      <x:c r="H373" s="77" t="s">
        <x:v>1088</x:v>
      </x:c>
      <x:c r="I373" s="77" t="s">
        <x:v>72</x:v>
      </x:c>
      <x:c r="J373" s="79" t="n">
        <x:v>18.82</x:v>
      </x:c>
      <x:c r="K373" s="211" t="n">
        <x:v>40</x:v>
      </x:c>
      <x:c r="L373" s="212" t="s"/>
      <x:c r="M373" s="213" t="n">
        <x:v>18.82</x:v>
      </x:c>
      <x:c r="N373" s="214" t="n">
        <x:v>0</x:v>
      </x:c>
      <x:c r="O373" s="214" t="n">
        <x:v>0</x:v>
      </x:c>
      <x:c r="P373" s="215">
        <x:f>ROUND(((K373*M373) - (K373*M373*N373/100)) + (((K373*M373) - (K373*M373*N373/100)) * O373/100), 2)</x:f>
      </x:c>
      <x:c r="Q373" s="216" t="s"/>
      <x:c r="R373" s="216" t="s"/>
      <x:c r="S373" s="81" t="s">
        <x:v>1095</x:v>
      </x:c>
      <x:c r="T373" s="209" t="s"/>
      <x:c r="U373" s="210" t="s"/>
    </x:row>
    <x:row r="374" spans="1:23">
      <x:c r="A374" s="76" t="n">
        <x:v>7</x:v>
      </x:c>
      <x:c r="B374" s="76" t="n">
        <x:v>5211224</x:v>
      </x:c>
      <x:c r="C374" s="77" t="s">
        <x:v>1096</x:v>
      </x:c>
      <x:c r="D374" s="78" t="s">
        <x:v>1097</x:v>
      </x:c>
      <x:c r="E374" s="79" t="s"/>
      <x:c r="F374" s="77" t="s"/>
      <x:c r="G374" s="92" t="n">
        <x:v>24</x:v>
      </x:c>
      <x:c r="H374" s="77" t="s">
        <x:v>872</x:v>
      </x:c>
      <x:c r="I374" s="77" t="s">
        <x:v>61</x:v>
      </x:c>
      <x:c r="J374" s="79" t="n">
        <x:v>13.53</x:v>
      </x:c>
      <x:c r="K374" s="211" t="n">
        <x:v>2</x:v>
      </x:c>
      <x:c r="L374" s="212" t="s"/>
      <x:c r="M374" s="213" t="n">
        <x:v>13.53</x:v>
      </x:c>
      <x:c r="N374" s="214" t="n">
        <x:v>0</x:v>
      </x:c>
      <x:c r="O374" s="214" t="n">
        <x:v>0</x:v>
      </x:c>
      <x:c r="P374" s="215">
        <x:f>ROUND(((K374*M374) - (K374*M374*N374/100)) + (((K374*M374) - (K374*M374*N374/100)) * O374/100), 2)</x:f>
      </x:c>
      <x:c r="Q374" s="216" t="s"/>
      <x:c r="R374" s="216" t="s"/>
      <x:c r="S374" s="81" t="s">
        <x:v>1098</x:v>
      </x:c>
      <x:c r="T374" s="209" t="s"/>
      <x:c r="U374" s="210" t="s"/>
    </x:row>
    <x:row r="375" spans="1:23">
      <x:c r="A375" s="76" t="n">
        <x:v>8</x:v>
      </x:c>
      <x:c r="B375" s="76" t="n">
        <x:v>5688886</x:v>
      </x:c>
      <x:c r="C375" s="77" t="s">
        <x:v>1099</x:v>
      </x:c>
      <x:c r="D375" s="78" t="s">
        <x:v>1100</x:v>
      </x:c>
      <x:c r="E375" s="79" t="s"/>
      <x:c r="F375" s="77" t="s"/>
      <x:c r="G375" s="92" t="n">
        <x:v>12</x:v>
      </x:c>
      <x:c r="H375" s="80" t="s">
        <x:v>1101</x:v>
      </x:c>
      <x:c r="I375" s="80" t="s"/>
      <x:c r="J375" s="79" t="n">
        <x:v>0</x:v>
      </x:c>
      <x:c r="K375" s="211" t="n">
        <x:v>75</x:v>
      </x:c>
      <x:c r="L375" s="212" t="s"/>
      <x:c r="M375" s="213" t="n">
        <x:v>0</x:v>
      </x:c>
      <x:c r="N375" s="214" t="n">
        <x:v>0</x:v>
      </x:c>
      <x:c r="O375" s="214" t="n">
        <x:v>0</x:v>
      </x:c>
      <x:c r="P375" s="215">
        <x:f>ROUND(((K375*M375) - (K375*M375*N375/100)) + (((K375*M375) - (K375*M375*N375/100)) * O375/100), 2)</x:f>
      </x:c>
      <x:c r="Q375" s="216" t="s"/>
      <x:c r="R375" s="216" t="s"/>
      <x:c r="S375" s="81" t="s"/>
      <x:c r="T375" s="209" t="s"/>
      <x:c r="U375" s="210" t="s"/>
    </x:row>
    <x:row r="376" spans="1:23">
      <x:c r="A376" s="76" t="n">
        <x:v>9</x:v>
      </x:c>
      <x:c r="B376" s="76" t="n">
        <x:v>5211241</x:v>
      </x:c>
      <x:c r="C376" s="77" t="s">
        <x:v>1102</x:v>
      </x:c>
      <x:c r="D376" s="78" t="s">
        <x:v>1103</x:v>
      </x:c>
      <x:c r="E376" s="79" t="s"/>
      <x:c r="F376" s="77" t="s"/>
      <x:c r="G376" s="92" t="n">
        <x:v>24</x:v>
      </x:c>
      <x:c r="H376" s="77" t="s">
        <x:v>1101</x:v>
      </x:c>
      <x:c r="I376" s="77" t="s">
        <x:v>61</x:v>
      </x:c>
      <x:c r="J376" s="79" t="n">
        <x:v>3.27</x:v>
      </x:c>
      <x:c r="K376" s="211" t="n">
        <x:v>12</x:v>
      </x:c>
      <x:c r="L376" s="212" t="s"/>
      <x:c r="M376" s="213" t="n">
        <x:v>3.27</x:v>
      </x:c>
      <x:c r="N376" s="214" t="n">
        <x:v>0</x:v>
      </x:c>
      <x:c r="O376" s="214" t="n">
        <x:v>0</x:v>
      </x:c>
      <x:c r="P376" s="215">
        <x:f>ROUND(((K376*M376) - (K376*M376*N376/100)) + (((K376*M376) - (K376*M376*N376/100)) * O376/100), 2)</x:f>
      </x:c>
      <x:c r="Q376" s="216" t="s"/>
      <x:c r="R376" s="216" t="s"/>
      <x:c r="S376" s="81" t="s">
        <x:v>1104</x:v>
      </x:c>
      <x:c r="T376" s="209" t="s"/>
      <x:c r="U376" s="210" t="s"/>
    </x:row>
    <x:row r="377" spans="1:23">
      <x:c r="A377" s="76" t="n">
        <x:v>10</x:v>
      </x:c>
      <x:c r="B377" s="76" t="n">
        <x:v>5211242</x:v>
      </x:c>
      <x:c r="C377" s="77" t="s">
        <x:v>1105</x:v>
      </x:c>
      <x:c r="D377" s="78" t="s">
        <x:v>1106</x:v>
      </x:c>
      <x:c r="E377" s="79" t="s"/>
      <x:c r="F377" s="77" t="s"/>
      <x:c r="G377" s="92" t="n">
        <x:v>6</x:v>
      </x:c>
      <x:c r="H377" s="77" t="s">
        <x:v>1101</x:v>
      </x:c>
      <x:c r="I377" s="77" t="s">
        <x:v>61</x:v>
      </x:c>
      <x:c r="J377" s="79" t="n">
        <x:v>7.33</x:v>
      </x:c>
      <x:c r="K377" s="211" t="n">
        <x:v>2</x:v>
      </x:c>
      <x:c r="L377" s="212" t="s"/>
      <x:c r="M377" s="213" t="n">
        <x:v>7.33</x:v>
      </x:c>
      <x:c r="N377" s="214" t="n">
        <x:v>0</x:v>
      </x:c>
      <x:c r="O377" s="214" t="n">
        <x:v>0</x:v>
      </x:c>
      <x:c r="P377" s="215">
        <x:f>ROUND(((K377*M377) - (K377*M377*N377/100)) + (((K377*M377) - (K377*M377*N377/100)) * O377/100), 2)</x:f>
      </x:c>
      <x:c r="Q377" s="216" t="s"/>
      <x:c r="R377" s="216" t="s"/>
      <x:c r="S377" s="81" t="s">
        <x:v>1107</x:v>
      </x:c>
      <x:c r="T377" s="209" t="s"/>
      <x:c r="U377" s="210" t="s"/>
    </x:row>
    <x:row r="378" spans="1:23">
      <x:c r="A378" s="76" t="n">
        <x:v>11</x:v>
      </x:c>
      <x:c r="B378" s="76" t="n">
        <x:v>5211244</x:v>
      </x:c>
      <x:c r="C378" s="77" t="s">
        <x:v>1108</x:v>
      </x:c>
      <x:c r="D378" s="78" t="s">
        <x:v>1109</x:v>
      </x:c>
      <x:c r="E378" s="79" t="s"/>
      <x:c r="F378" s="77" t="s"/>
      <x:c r="G378" s="92" t="n">
        <x:v>1</x:v>
      </x:c>
      <x:c r="H378" s="77" t="s">
        <x:v>68</x:v>
      </x:c>
      <x:c r="I378" s="77" t="s">
        <x:v>220</x:v>
      </x:c>
      <x:c r="J378" s="79" t="n">
        <x:v>5.41</x:v>
      </x:c>
      <x:c r="K378" s="211" t="n">
        <x:v>18</x:v>
      </x:c>
      <x:c r="L378" s="212" t="s"/>
      <x:c r="M378" s="213" t="n">
        <x:v>5.41</x:v>
      </x:c>
      <x:c r="N378" s="214" t="n">
        <x:v>0</x:v>
      </x:c>
      <x:c r="O378" s="214" t="n">
        <x:v>0</x:v>
      </x:c>
      <x:c r="P378" s="215">
        <x:f>ROUND(((K378*M378) - (K378*M378*N378/100)) + (((K378*M378) - (K378*M378*N378/100)) * O378/100), 2)</x:f>
      </x:c>
      <x:c r="Q378" s="216" t="s"/>
      <x:c r="R378" s="216" t="s"/>
      <x:c r="S378" s="81" t="s">
        <x:v>1110</x:v>
      </x:c>
      <x:c r="T378" s="209" t="s"/>
      <x:c r="U378" s="210" t="s"/>
    </x:row>
    <x:row r="379" spans="1:23">
      <x:c r="A379" s="76" t="n">
        <x:v>12</x:v>
      </x:c>
      <x:c r="B379" s="76" t="n">
        <x:v>5211246</x:v>
      </x:c>
      <x:c r="C379" s="77" t="s">
        <x:v>1111</x:v>
      </x:c>
      <x:c r="D379" s="78" t="s">
        <x:v>1112</x:v>
      </x:c>
      <x:c r="E379" s="79" t="s"/>
      <x:c r="F379" s="77" t="s"/>
      <x:c r="G379" s="92" t="n">
        <x:v>1</x:v>
      </x:c>
      <x:c r="H379" s="77" t="s">
        <x:v>68</x:v>
      </x:c>
      <x:c r="I379" s="77" t="s">
        <x:v>57</x:v>
      </x:c>
      <x:c r="J379" s="79" t="n">
        <x:v>3.95</x:v>
      </x:c>
      <x:c r="K379" s="211" t="n">
        <x:v>24</x:v>
      </x:c>
      <x:c r="L379" s="212" t="s"/>
      <x:c r="M379" s="213" t="n">
        <x:v>3.95</x:v>
      </x:c>
      <x:c r="N379" s="214" t="n">
        <x:v>0</x:v>
      </x:c>
      <x:c r="O379" s="214" t="n">
        <x:v>0</x:v>
      </x:c>
      <x:c r="P379" s="215">
        <x:f>ROUND(((K379*M379) - (K379*M379*N379/100)) + (((K379*M379) - (K379*M379*N379/100)) * O379/100), 2)</x:f>
      </x:c>
      <x:c r="Q379" s="216" t="s"/>
      <x:c r="R379" s="216" t="s"/>
      <x:c r="S379" s="81" t="s">
        <x:v>1113</x:v>
      </x:c>
      <x:c r="T379" s="209" t="s"/>
      <x:c r="U379" s="210" t="s"/>
    </x:row>
    <x:row r="380" spans="1:23">
      <x:c r="A380" s="76" t="n">
        <x:v>13</x:v>
      </x:c>
      <x:c r="B380" s="76" t="n">
        <x:v>6814210</x:v>
      </x:c>
      <x:c r="C380" s="77" t="s">
        <x:v>1114</x:v>
      </x:c>
      <x:c r="D380" s="78" t="s">
        <x:v>1115</x:v>
      </x:c>
      <x:c r="E380" s="79" t="s"/>
      <x:c r="F380" s="77" t="s"/>
      <x:c r="G380" s="92" t="n">
        <x:v>1</x:v>
      </x:c>
      <x:c r="H380" s="77" t="s">
        <x:v>68</x:v>
      </x:c>
      <x:c r="I380" s="77" t="s">
        <x:v>57</x:v>
      </x:c>
      <x:c r="J380" s="79" t="n">
        <x:v>1.58</x:v>
      </x:c>
      <x:c r="K380" s="211" t="n">
        <x:v>24</x:v>
      </x:c>
      <x:c r="L380" s="212" t="s"/>
      <x:c r="M380" s="213" t="n">
        <x:v>1.58</x:v>
      </x:c>
      <x:c r="N380" s="214" t="n">
        <x:v>0</x:v>
      </x:c>
      <x:c r="O380" s="214" t="n">
        <x:v>0</x:v>
      </x:c>
      <x:c r="P380" s="215">
        <x:f>ROUND(((K380*M380) - (K380*M380*N380/100)) + (((K380*M380) - (K380*M380*N380/100)) * O380/100), 2)</x:f>
      </x:c>
      <x:c r="Q380" s="216" t="s"/>
      <x:c r="R380" s="216" t="s"/>
      <x:c r="S380" s="81" t="s">
        <x:v>1116</x:v>
      </x:c>
      <x:c r="T380" s="209" t="s"/>
      <x:c r="U380" s="210" t="s"/>
    </x:row>
    <x:row r="381" spans="1:23">
      <x:c r="A381" s="76" t="n">
        <x:v>14</x:v>
      </x:c>
      <x:c r="B381" s="76" t="n">
        <x:v>5816366</x:v>
      </x:c>
      <x:c r="C381" s="77" t="s">
        <x:v>1117</x:v>
      </x:c>
      <x:c r="D381" s="78" t="s">
        <x:v>1118</x:v>
      </x:c>
      <x:c r="E381" s="79" t="s"/>
      <x:c r="F381" s="77" t="s"/>
      <x:c r="G381" s="92" t="n">
        <x:v>1</x:v>
      </x:c>
      <x:c r="H381" s="77" t="s">
        <x:v>68</x:v>
      </x:c>
      <x:c r="I381" s="77" t="s">
        <x:v>57</x:v>
      </x:c>
      <x:c r="J381" s="79" t="n">
        <x:v>1.58</x:v>
      </x:c>
      <x:c r="K381" s="211" t="n">
        <x:v>24</x:v>
      </x:c>
      <x:c r="L381" s="212" t="s"/>
      <x:c r="M381" s="213" t="n">
        <x:v>1.58</x:v>
      </x:c>
      <x:c r="N381" s="214" t="n">
        <x:v>0</x:v>
      </x:c>
      <x:c r="O381" s="214" t="n">
        <x:v>0</x:v>
      </x:c>
      <x:c r="P381" s="215">
        <x:f>ROUND(((K381*M381) - (K381*M381*N381/100)) + (((K381*M381) - (K381*M381*N381/100)) * O381/100), 2)</x:f>
      </x:c>
      <x:c r="Q381" s="216" t="s"/>
      <x:c r="R381" s="216" t="s"/>
      <x:c r="S381" s="81" t="s">
        <x:v>1119</x:v>
      </x:c>
      <x:c r="T381" s="209" t="s"/>
      <x:c r="U381" s="210" t="s"/>
    </x:row>
    <x:row r="382" spans="1:23">
      <x:c r="A382" s="76" t="n">
        <x:v>15</x:v>
      </x:c>
      <x:c r="B382" s="76" t="n">
        <x:v>5690479</x:v>
      </x:c>
      <x:c r="C382" s="77" t="s">
        <x:v>1120</x:v>
      </x:c>
      <x:c r="D382" s="78" t="s">
        <x:v>1121</x:v>
      </x:c>
      <x:c r="E382" s="79" t="s"/>
      <x:c r="F382" s="77" t="s"/>
      <x:c r="G382" s="92" t="n">
        <x:v>1</x:v>
      </x:c>
      <x:c r="H382" s="77" t="s">
        <x:v>68</x:v>
      </x:c>
      <x:c r="I382" s="77" t="s">
        <x:v>57</x:v>
      </x:c>
      <x:c r="J382" s="79" t="n">
        <x:v>1.58</x:v>
      </x:c>
      <x:c r="K382" s="211" t="n">
        <x:v>24</x:v>
      </x:c>
      <x:c r="L382" s="212" t="s"/>
      <x:c r="M382" s="213" t="n">
        <x:v>1.58</x:v>
      </x:c>
      <x:c r="N382" s="214" t="n">
        <x:v>0</x:v>
      </x:c>
      <x:c r="O382" s="214" t="n">
        <x:v>0</x:v>
      </x:c>
      <x:c r="P382" s="215">
        <x:f>ROUND(((K382*M382) - (K382*M382*N382/100)) + (((K382*M382) - (K382*M382*N382/100)) * O382/100), 2)</x:f>
      </x:c>
      <x:c r="Q382" s="216" t="s"/>
      <x:c r="R382" s="216" t="s"/>
      <x:c r="S382" s="81" t="s">
        <x:v>1122</x:v>
      </x:c>
      <x:c r="T382" s="209" t="s"/>
      <x:c r="U382" s="210" t="s"/>
    </x:row>
    <x:row r="383" spans="1:23">
      <x:c r="A383" s="76" t="n">
        <x:v>16</x:v>
      </x:c>
      <x:c r="B383" s="76" t="n">
        <x:v>5211247</x:v>
      </x:c>
      <x:c r="C383" s="77" t="s">
        <x:v>1123</x:v>
      </x:c>
      <x:c r="D383" s="78" t="s">
        <x:v>1124</x:v>
      </x:c>
      <x:c r="E383" s="79" t="s"/>
      <x:c r="F383" s="77" t="s"/>
      <x:c r="G383" s="92" t="n">
        <x:v>1</x:v>
      </x:c>
      <x:c r="H383" s="77" t="s">
        <x:v>68</x:v>
      </x:c>
      <x:c r="I383" s="77" t="s">
        <x:v>220</x:v>
      </x:c>
      <x:c r="J383" s="79" t="n">
        <x:v>9.25</x:v>
      </x:c>
      <x:c r="K383" s="211" t="n">
        <x:v>12</x:v>
      </x:c>
      <x:c r="L383" s="212" t="s"/>
      <x:c r="M383" s="213" t="n">
        <x:v>9.25</x:v>
      </x:c>
      <x:c r="N383" s="214" t="n">
        <x:v>0</x:v>
      </x:c>
      <x:c r="O383" s="214" t="n">
        <x:v>0</x:v>
      </x:c>
      <x:c r="P383" s="215">
        <x:f>ROUND(((K383*M383) - (K383*M383*N383/100)) + (((K383*M383) - (K383*M383*N383/100)) * O383/100), 2)</x:f>
      </x:c>
      <x:c r="Q383" s="216" t="s"/>
      <x:c r="R383" s="216" t="s"/>
      <x:c r="S383" s="81" t="s">
        <x:v>1125</x:v>
      </x:c>
      <x:c r="T383" s="209" t="s"/>
      <x:c r="U383" s="210" t="s"/>
    </x:row>
    <x:row r="384" spans="1:23">
      <x:c r="A384" s="76" t="n">
        <x:v>17</x:v>
      </x:c>
      <x:c r="B384" s="76" t="n">
        <x:v>5211255</x:v>
      </x:c>
      <x:c r="C384" s="77" t="s">
        <x:v>1126</x:v>
      </x:c>
      <x:c r="D384" s="78" t="s">
        <x:v>1127</x:v>
      </x:c>
      <x:c r="E384" s="79" t="s"/>
      <x:c r="F384" s="77" t="s"/>
      <x:c r="G384" s="92" t="n">
        <x:v>1</x:v>
      </x:c>
      <x:c r="H384" s="77" t="s">
        <x:v>68</x:v>
      </x:c>
      <x:c r="I384" s="77" t="s">
        <x:v>57</x:v>
      </x:c>
      <x:c r="J384" s="79" t="n">
        <x:v>2.26</x:v>
      </x:c>
      <x:c r="K384" s="211" t="n">
        <x:v>18</x:v>
      </x:c>
      <x:c r="L384" s="212" t="s"/>
      <x:c r="M384" s="213" t="n">
        <x:v>2.26</x:v>
      </x:c>
      <x:c r="N384" s="214" t="n">
        <x:v>0</x:v>
      </x:c>
      <x:c r="O384" s="214" t="n">
        <x:v>0</x:v>
      </x:c>
      <x:c r="P384" s="215">
        <x:f>ROUND(((K384*M384) - (K384*M384*N384/100)) + (((K384*M384) - (K384*M384*N384/100)) * O384/100), 2)</x:f>
      </x:c>
      <x:c r="Q384" s="216" t="s"/>
      <x:c r="R384" s="216" t="s"/>
      <x:c r="S384" s="81" t="s">
        <x:v>1128</x:v>
      </x:c>
      <x:c r="T384" s="209" t="s"/>
      <x:c r="U384" s="210" t="s"/>
    </x:row>
    <x:row r="385" spans="1:23">
      <x:c r="A385" s="76" t="n">
        <x:v>18</x:v>
      </x:c>
      <x:c r="B385" s="76" t="n">
        <x:v>5211254</x:v>
      </x:c>
      <x:c r="C385" s="77" t="s">
        <x:v>1129</x:v>
      </x:c>
      <x:c r="D385" s="78" t="s">
        <x:v>1130</x:v>
      </x:c>
      <x:c r="E385" s="79" t="s"/>
      <x:c r="F385" s="77" t="s"/>
      <x:c r="G385" s="92" t="n">
        <x:v>1</x:v>
      </x:c>
      <x:c r="H385" s="77" t="s">
        <x:v>68</x:v>
      </x:c>
      <x:c r="I385" s="77" t="s">
        <x:v>57</x:v>
      </x:c>
      <x:c r="J385" s="79" t="n">
        <x:v>2.32</x:v>
      </x:c>
      <x:c r="K385" s="211" t="n">
        <x:v>18</x:v>
      </x:c>
      <x:c r="L385" s="212" t="s"/>
      <x:c r="M385" s="213" t="n">
        <x:v>2.32</x:v>
      </x:c>
      <x:c r="N385" s="214" t="n">
        <x:v>0</x:v>
      </x:c>
      <x:c r="O385" s="214" t="n">
        <x:v>0</x:v>
      </x:c>
      <x:c r="P385" s="215">
        <x:f>ROUND(((K385*M385) - (K385*M385*N385/100)) + (((K385*M385) - (K385*M385*N385/100)) * O385/100), 2)</x:f>
      </x:c>
      <x:c r="Q385" s="216" t="s"/>
      <x:c r="R385" s="216" t="s"/>
      <x:c r="S385" s="81" t="s">
        <x:v>1131</x:v>
      </x:c>
      <x:c r="T385" s="209" t="s"/>
      <x:c r="U385" s="210" t="s"/>
    </x:row>
    <x:row r="386" spans="1:23">
      <x:c r="A386" s="76" t="n">
        <x:v>19</x:v>
      </x:c>
      <x:c r="B386" s="76" t="n">
        <x:v>5211256</x:v>
      </x:c>
      <x:c r="C386" s="77" t="s">
        <x:v>1132</x:v>
      </x:c>
      <x:c r="D386" s="78" t="s">
        <x:v>1133</x:v>
      </x:c>
      <x:c r="E386" s="79" t="s"/>
      <x:c r="F386" s="77" t="s"/>
      <x:c r="G386" s="92" t="n">
        <x:v>1</x:v>
      </x:c>
      <x:c r="H386" s="77" t="s">
        <x:v>68</x:v>
      </x:c>
      <x:c r="I386" s="77" t="s">
        <x:v>57</x:v>
      </x:c>
      <x:c r="J386" s="79" t="n">
        <x:v>2.26</x:v>
      </x:c>
      <x:c r="K386" s="211" t="n">
        <x:v>18</x:v>
      </x:c>
      <x:c r="L386" s="212" t="s"/>
      <x:c r="M386" s="213" t="n">
        <x:v>2.26</x:v>
      </x:c>
      <x:c r="N386" s="214" t="n">
        <x:v>0</x:v>
      </x:c>
      <x:c r="O386" s="214" t="n">
        <x:v>0</x:v>
      </x:c>
      <x:c r="P386" s="215">
        <x:f>ROUND(((K386*M386) - (K386*M386*N386/100)) + (((K386*M386) - (K386*M386*N386/100)) * O386/100), 2)</x:f>
      </x:c>
      <x:c r="Q386" s="216" t="s"/>
      <x:c r="R386" s="216" t="s"/>
      <x:c r="S386" s="81" t="s">
        <x:v>1134</x:v>
      </x:c>
      <x:c r="T386" s="209" t="s"/>
      <x:c r="U386" s="210" t="s"/>
    </x:row>
    <x:row r="387" spans="1:23">
      <x:c r="A387" s="76" t="n">
        <x:v>20</x:v>
      </x:c>
      <x:c r="B387" s="76" t="n">
        <x:v>5210803</x:v>
      </x:c>
      <x:c r="C387" s="77" t="s">
        <x:v>1135</x:v>
      </x:c>
      <x:c r="D387" s="78" t="s">
        <x:v>1136</x:v>
      </x:c>
      <x:c r="E387" s="79" t="s"/>
      <x:c r="F387" s="77" t="s"/>
      <x:c r="G387" s="92" t="n">
        <x:v>1</x:v>
      </x:c>
      <x:c r="H387" s="77" t="s">
        <x:v>68</x:v>
      </x:c>
      <x:c r="I387" s="77" t="s">
        <x:v>72</x:v>
      </x:c>
      <x:c r="J387" s="79" t="n">
        <x:v>3.95</x:v>
      </x:c>
      <x:c r="K387" s="211" t="n">
        <x:v>20</x:v>
      </x:c>
      <x:c r="L387" s="212" t="s"/>
      <x:c r="M387" s="213" t="n">
        <x:v>3.95</x:v>
      </x:c>
      <x:c r="N387" s="214" t="n">
        <x:v>0</x:v>
      </x:c>
      <x:c r="O387" s="214" t="n">
        <x:v>0</x:v>
      </x:c>
      <x:c r="P387" s="215">
        <x:f>ROUND(((K387*M387) - (K387*M387*N387/100)) + (((K387*M387) - (K387*M387*N387/100)) * O387/100), 2)</x:f>
      </x:c>
      <x:c r="Q387" s="216" t="s"/>
      <x:c r="R387" s="216" t="s"/>
      <x:c r="S387" s="81" t="s">
        <x:v>1137</x:v>
      </x:c>
      <x:c r="T387" s="209" t="s"/>
      <x:c r="U387" s="210" t="s"/>
    </x:row>
    <x:row r="388" spans="1:23">
      <x:c r="A388" s="76" t="n">
        <x:v>21</x:v>
      </x:c>
      <x:c r="B388" s="76" t="n">
        <x:v>5210804</x:v>
      </x:c>
      <x:c r="C388" s="77" t="s">
        <x:v>1138</x:v>
      </x:c>
      <x:c r="D388" s="78" t="s">
        <x:v>1139</x:v>
      </x:c>
      <x:c r="E388" s="79" t="s"/>
      <x:c r="F388" s="77" t="s"/>
      <x:c r="G388" s="92" t="n">
        <x:v>1</x:v>
      </x:c>
      <x:c r="H388" s="77" t="s">
        <x:v>68</x:v>
      </x:c>
      <x:c r="I388" s="77" t="s">
        <x:v>72</x:v>
      </x:c>
      <x:c r="J388" s="79" t="n">
        <x:v>3.95</x:v>
      </x:c>
      <x:c r="K388" s="211" t="n">
        <x:v>20</x:v>
      </x:c>
      <x:c r="L388" s="212" t="s"/>
      <x:c r="M388" s="213" t="n">
        <x:v>3.95</x:v>
      </x:c>
      <x:c r="N388" s="214" t="n">
        <x:v>0</x:v>
      </x:c>
      <x:c r="O388" s="214" t="n">
        <x:v>0</x:v>
      </x:c>
      <x:c r="P388" s="215">
        <x:f>ROUND(((K388*M388) - (K388*M388*N388/100)) + (((K388*M388) - (K388*M388*N388/100)) * O388/100), 2)</x:f>
      </x:c>
      <x:c r="Q388" s="216" t="s"/>
      <x:c r="R388" s="216" t="s"/>
      <x:c r="S388" s="81" t="s">
        <x:v>1140</x:v>
      </x:c>
      <x:c r="T388" s="209" t="s"/>
      <x:c r="U388" s="210" t="s"/>
    </x:row>
    <x:row r="389" spans="1:23">
      <x:c r="A389" s="76" t="s"/>
      <x:c r="B389" s="76" t="s"/>
      <x:c r="C389" s="77" t="s"/>
      <x:c r="D389" s="78" t="s"/>
      <x:c r="E389" s="79" t="s"/>
      <x:c r="F389" s="77" t="s"/>
      <x:c r="G389" s="92" t="s"/>
      <x:c r="H389" s="77" t="s"/>
      <x:c r="I389" s="77" t="s"/>
      <x:c r="J389" s="79" t="s"/>
      <x:c r="K389" s="217" t="s"/>
      <x:c r="L389" s="218" t="s"/>
      <x:c r="M389" s="219" t="s">
        <x:v>1075</x:v>
      </x:c>
      <x:c r="N389" s="220" t="s"/>
      <x:c r="O389" s="220" t="s"/>
      <x:c r="P389" s="215">
        <x:f>SUM(P368:P388)</x:f>
      </x:c>
      <x:c r="Q389" s="221" t="s"/>
      <x:c r="R389" s="221" t="s"/>
      <x:c r="S389" s="81" t="s"/>
      <x:c r="T389" s="209" t="s"/>
      <x:c r="U389" s="210" t="s"/>
    </x:row>
    <x:row r="390" spans="1:23" hidden="1">
      <x:c r="A390" s="76" t="s"/>
      <x:c r="B390" s="76" t="s"/>
      <x:c r="C390" s="77" t="s"/>
      <x:c r="D390" s="78" t="s"/>
      <x:c r="E390" s="79" t="s"/>
      <x:c r="F390" s="77" t="s"/>
      <x:c r="G390" s="92" t="s"/>
      <x:c r="H390" s="80" t="s"/>
      <x:c r="I390" s="80" t="s"/>
      <x:c r="J390" s="79" t="s"/>
      <x:c r="K390" s="217" t="s"/>
      <x:c r="L390" s="212" t="s"/>
      <x:c r="M390" s="267" t="s"/>
      <x:c r="N390" s="268" t="s"/>
      <x:c r="O390" s="268" t="s"/>
      <x:c r="P390" s="215" t="s"/>
      <x:c r="Q390" s="216" t="s"/>
      <x:c r="R390" s="216" t="s"/>
      <x:c r="S390" s="81" t="s"/>
      <x:c r="T390" s="209" t="s"/>
      <x:c r="U390" s="210" t="s"/>
    </x:row>
    <x:row r="391" spans="1:23">
      <x:c r="A391" s="6" t="s"/>
      <x:c r="B391" s="228" t="s"/>
      <x:c r="C391" s="229" t="s"/>
      <x:c r="D391" s="229" t="s"/>
      <x:c r="E391" s="229" t="s"/>
      <x:c r="F391" s="229" t="s"/>
      <x:c r="G391" s="229" t="s"/>
      <x:c r="H391" s="230" t="s"/>
      <x:c r="I391" s="230" t="s"/>
      <x:c r="J391" s="230" t="s"/>
      <x:c r="K391" s="230" t="s"/>
      <x:c r="L391" s="37" t="s"/>
      <x:c r="M391" s="37" t="s"/>
      <x:c r="N391" s="230" t="s"/>
      <x:c r="O391" s="230" t="s"/>
      <x:c r="P391" s="230" t="s"/>
      <x:c r="Q391" s="230" t="s"/>
      <x:c r="R391" s="230" t="s"/>
      <x:c r="S391" s="230" t="s"/>
      <x:c r="T391" s="151" t="s"/>
      <x:c r="U391" s="231" t="s"/>
    </x:row>
    <x:row r="392" spans="1:23" customFormat="1" ht="12.75" customHeight="1">
      <x:c r="A392" s="195" t="s">
        <x:v>39</x:v>
      </x:c>
      <x:c r="B392" s="195" t="s"/>
      <x:c r="C392" s="195" t="s">
        <x:v>1141</x:v>
      </x:c>
      <x:c r="D392" s="195" t="s"/>
      <x:c r="E392" s="195" t="s"/>
      <x:c r="F392" s="195" t="s"/>
      <x:c r="G392" s="195" t="s"/>
      <x:c r="H392" s="195" t="s"/>
      <x:c r="I392" s="195" t="s"/>
      <x:c r="J392" s="195" t="s"/>
      <x:c r="K392" s="197" t="s"/>
      <x:c r="L392" s="197" t="s">
        <x:v>1142</x:v>
      </x:c>
      <x:c r="M392" s="197" t="s"/>
      <x:c r="N392" s="197" t="s">
        <x:v>48</x:v>
      </x:c>
      <x:c r="O392" s="197" t="s">
        <x:v>49</x:v>
      </x:c>
      <x:c r="P392" s="197" t="s">
        <x:v>1143</x:v>
      </x:c>
      <x:c r="Q392" s="197" t="s">
        <x:v>51</x:v>
      </x:c>
      <x:c r="R392" s="197" t="s"/>
      <x:c r="S392" s="197" t="s"/>
      <x:c r="T392" s="197" t="s"/>
      <x:c r="U392" s="198" t="s"/>
    </x:row>
    <x:row r="393" spans="1:23">
      <x:c r="A393" s="232" t="n">
        <x:v>1</x:v>
      </x:c>
      <x:c r="B393" s="232" t="s"/>
      <x:c r="C393" s="233" t="s">
        <x:v>1144</x:v>
      </x:c>
      <x:c r="D393" s="234" t="s">
        <x:v>1144</x:v>
      </x:c>
      <x:c r="E393" s="234" t="s">
        <x:v>1144</x:v>
      </x:c>
      <x:c r="F393" s="234" t="s">
        <x:v>1144</x:v>
      </x:c>
      <x:c r="G393" s="234" t="s">
        <x:v>1144</x:v>
      </x:c>
      <x:c r="H393" s="234" t="s">
        <x:v>1144</x:v>
      </x:c>
      <x:c r="I393" s="234" t="s">
        <x:v>1144</x:v>
      </x:c>
      <x:c r="J393" s="234" t="s">
        <x:v>1144</x:v>
      </x:c>
      <x:c r="K393" s="235" t="s">
        <x:v>1144</x:v>
      </x:c>
      <x:c r="L393" s="236" t="s"/>
      <x:c r="M393" s="237" t="n">
        <x:v>0</x:v>
      </x:c>
      <x:c r="N393" s="237" t="n">
        <x:v>0</x:v>
      </x:c>
      <x:c r="O393" s="238" t="n">
        <x:v>0</x:v>
      </x:c>
      <x:c r="P393" s="239">
        <x:f>ROUND((M393 -(M393*N393/100)+((M393-(M393*N393/100))*O393/100)), 2)</x:f>
      </x:c>
      <x:c r="Q393" s="240" t="s"/>
      <x:c r="R393" s="241" t="s"/>
      <x:c r="S393" s="241" t="s"/>
      <x:c r="T393" s="241" t="s"/>
      <x:c r="U393" s="242" t="s"/>
    </x:row>
    <x:row r="394" spans="1:23">
      <x:c r="A394" s="232" t="n">
        <x:v>2</x:v>
      </x:c>
      <x:c r="B394" s="232" t="s"/>
      <x:c r="C394" s="233" t="s">
        <x:v>1145</x:v>
      </x:c>
      <x:c r="D394" s="234" t="s">
        <x:v>1145</x:v>
      </x:c>
      <x:c r="E394" s="234" t="s">
        <x:v>1145</x:v>
      </x:c>
      <x:c r="F394" s="234" t="s">
        <x:v>1145</x:v>
      </x:c>
      <x:c r="G394" s="234" t="s">
        <x:v>1145</x:v>
      </x:c>
      <x:c r="H394" s="234" t="s">
        <x:v>1145</x:v>
      </x:c>
      <x:c r="I394" s="234" t="s">
        <x:v>1145</x:v>
      </x:c>
      <x:c r="J394" s="234" t="s">
        <x:v>1145</x:v>
      </x:c>
      <x:c r="K394" s="235" t="s">
        <x:v>1145</x:v>
      </x:c>
      <x:c r="L394" s="236" t="s"/>
      <x:c r="M394" s="237" t="n">
        <x:v>0</x:v>
      </x:c>
      <x:c r="N394" s="237" t="n">
        <x:v>0</x:v>
      </x:c>
      <x:c r="O394" s="238" t="n">
        <x:v>0</x:v>
      </x:c>
      <x:c r="P394" s="239">
        <x:f>ROUND((M394 -(M394*N394/100)+((M394-(M394*N394/100))*O394/100)), 2)</x:f>
      </x:c>
      <x:c r="Q394" s="240" t="s"/>
      <x:c r="R394" s="241" t="s"/>
      <x:c r="S394" s="241" t="s"/>
      <x:c r="T394" s="241" t="s"/>
      <x:c r="U394" s="242" t="s">
        <x:v>1146</x:v>
      </x:c>
    </x:row>
    <x:row r="395" spans="1:23">
      <x:c r="A395" s="232" t="n">
        <x:v>3</x:v>
      </x:c>
      <x:c r="B395" s="232" t="s"/>
      <x:c r="C395" s="233" t="s"/>
      <x:c r="D395" s="234" t="s"/>
      <x:c r="E395" s="234" t="s"/>
      <x:c r="F395" s="234" t="s"/>
      <x:c r="G395" s="234" t="s"/>
      <x:c r="H395" s="234" t="s"/>
      <x:c r="I395" s="234" t="s"/>
      <x:c r="J395" s="234" t="s"/>
      <x:c r="K395" s="235" t="s"/>
      <x:c r="L395" s="236" t="s"/>
      <x:c r="M395" s="237" t="n">
        <x:v>0</x:v>
      </x:c>
      <x:c r="N395" s="237" t="n">
        <x:v>0</x:v>
      </x:c>
      <x:c r="O395" s="238" t="n">
        <x:v>0</x:v>
      </x:c>
      <x:c r="P395" s="239">
        <x:f>ROUND((M395 -(M395*N395/100)+((M395-(M395*N395/100))*O395/100)), 2)</x:f>
      </x:c>
      <x:c r="Q395" s="240" t="s"/>
      <x:c r="R395" s="241" t="s"/>
      <x:c r="S395" s="241" t="s"/>
      <x:c r="T395" s="241" t="s"/>
      <x:c r="U395" s="242" t="s"/>
    </x:row>
    <x:row r="396" spans="1:23">
      <x:c r="A396" s="232" t="n">
        <x:v>4</x:v>
      </x:c>
      <x:c r="B396" s="232" t="s"/>
      <x:c r="C396" s="233" t="s"/>
      <x:c r="D396" s="234" t="s"/>
      <x:c r="E396" s="234" t="s"/>
      <x:c r="F396" s="234" t="s"/>
      <x:c r="G396" s="234" t="s"/>
      <x:c r="H396" s="234" t="s"/>
      <x:c r="I396" s="234" t="s"/>
      <x:c r="J396" s="234" t="s"/>
      <x:c r="K396" s="235" t="s"/>
      <x:c r="L396" s="236" t="s"/>
      <x:c r="M396" s="237" t="n">
        <x:v>0</x:v>
      </x:c>
      <x:c r="N396" s="237" t="n">
        <x:v>0</x:v>
      </x:c>
      <x:c r="O396" s="238" t="n">
        <x:v>0</x:v>
      </x:c>
      <x:c r="P396" s="239">
        <x:f>ROUND((M396 -(M396*N396/100)+((M396-(M396*N396/100))*O396/100)), 2)</x:f>
      </x:c>
      <x:c r="Q396" s="240" t="s"/>
      <x:c r="R396" s="241" t="s"/>
      <x:c r="S396" s="241" t="s"/>
      <x:c r="T396" s="241" t="s"/>
      <x:c r="U396" s="242" t="s"/>
    </x:row>
    <x:row r="397" spans="1:23" customFormat="1" ht="15.75" customHeight="1">
      <x:c r="A397" s="243" t="s"/>
      <x:c r="B397" s="243" t="s"/>
      <x:c r="C397" s="244" t="s"/>
      <x:c r="D397" s="244" t="s"/>
      <x:c r="E397" s="244" t="s"/>
      <x:c r="F397" s="244" t="s"/>
      <x:c r="G397" s="244" t="s"/>
      <x:c r="H397" s="163" t="s"/>
      <x:c r="I397" s="163" t="s"/>
      <x:c r="J397" s="163" t="s"/>
      <x:c r="K397" s="245" t="s"/>
      <x:c r="L397" s="139" t="s">
        <x:v>1075</x:v>
      </x:c>
      <x:c r="M397" s="140" t="s">
        <x:v>1075</x:v>
      </x:c>
      <x:c r="N397" s="141" t="s"/>
      <x:c r="O397" s="141" t="s"/>
      <x:c r="P397" s="246">
        <x:f>SUM(SubItemTotal)</x:f>
      </x:c>
      <x:c r="Q397" s="163" t="s"/>
      <x:c r="R397" s="163" t="s"/>
      <x:c r="S397" s="163" t="s"/>
      <x:c r="T397" s="151" t="s"/>
      <x:c r="U397" s="231" t="s"/>
    </x:row>
    <x:row r="398" spans="1:23" customFormat="1" ht="30" customHeight="1">
      <x:c r="A398" s="243" t="s"/>
      <x:c r="B398" s="243" t="s"/>
      <x:c r="C398" s="244" t="s"/>
      <x:c r="D398" s="244" t="s"/>
      <x:c r="E398" s="244" t="s"/>
      <x:c r="F398" s="244" t="s"/>
      <x:c r="G398" s="244" t="s"/>
      <x:c r="H398" s="163" t="s"/>
      <x:c r="I398" s="163" t="s"/>
      <x:c r="J398" s="163" t="s"/>
      <x:c r="K398" s="247" t="s"/>
      <x:c r="L398" s="142" t="s">
        <x:v>1147</x:v>
      </x:c>
      <x:c r="M398" s="142" t="s">
        <x:v>1147</x:v>
      </x:c>
      <x:c r="N398" s="141" t="s"/>
      <x:c r="O398" s="141" t="s"/>
      <x:c r="P398" s="248">
        <x:f>SUM(P393:P397)</x:f>
      </x:c>
      <x:c r="Q398" s="163" t="s"/>
      <x:c r="R398" s="163" t="s"/>
      <x:c r="S398" s="163" t="s"/>
      <x:c r="T398" s="151" t="s"/>
      <x:c r="U398" s="231" t="s"/>
    </x:row>
    <x:row r="399" spans="1:23" customFormat="1" ht="30" hidden="1" customHeight="1">
      <x:c r="A399" s="249" t="n">
        <x:v>0</x:v>
      </x:c>
      <x:c r="B399" s="249" t="n">
        <x:v>0</x:v>
      </x:c>
      <x:c r="C399" s="250" t="n">
        <x:v>0</x:v>
      </x:c>
      <x:c r="D399" s="244" t="s"/>
      <x:c r="E399" s="244" t="s"/>
      <x:c r="F399" s="251" t="n">
        <x:v>0</x:v>
      </x:c>
      <x:c r="G399" s="244" t="s"/>
      <x:c r="H399" s="244" t="s"/>
      <x:c r="I399" s="244" t="s"/>
      <x:c r="K399" s="252" t="s"/>
      <x:c r="L399" s="244" t="s"/>
      <x:c r="M399" s="253" t="s"/>
      <x:c r="O399" s="244" t="s"/>
      <x:c r="P399" s="254" t="s"/>
      <x:c r="Q399" s="255" t="s"/>
      <x:c r="R399" s="254" t="s"/>
      <x:c r="S399" s="256" t="s"/>
      <x:c r="T399" s="151" t="s"/>
      <x:c r="U399" s="231" t="s"/>
    </x:row>
    <x:row r="400" spans="1:23" customFormat="1" ht="30" customHeight="1">
      <x:c r="A400" s="249" t="s"/>
      <x:c r="B400" s="249" t="s"/>
      <x:c r="C400" s="250" t="s"/>
      <x:c r="D400" s="244" t="s"/>
      <x:c r="E400" s="244" t="s"/>
      <x:c r="F400" s="251" t="s"/>
      <x:c r="G400" s="244" t="s"/>
      <x:c r="H400" s="244" t="s"/>
      <x:c r="I400" s="244" t="s"/>
      <x:c r="K400" s="252" t="s"/>
      <x:c r="L400" s="244" t="s"/>
      <x:c r="M400" s="253" t="s"/>
      <x:c r="O400" s="244" t="s"/>
      <x:c r="P400" s="254" t="s"/>
      <x:c r="Q400" s="255" t="s"/>
      <x:c r="R400" s="254" t="s"/>
      <x:c r="S400" s="256" t="s"/>
      <x:c r="T400" s="151" t="s"/>
      <x:c r="U400" s="231" t="s"/>
    </x:row>
    <x:row r="401" spans="1:23" customFormat="1" ht="30" customHeight="1">
      <x:c r="A401" s="257" t="s">
        <x:v>1148</x:v>
      </x:c>
      <x:c r="B401" s="257" t="s"/>
      <x:c r="C401" s="257" t="s"/>
      <x:c r="D401" s="257" t="s"/>
      <x:c r="E401" s="244" t="s"/>
      <x:c r="F401" s="258" t="s"/>
      <x:c r="G401" s="258" t="s"/>
      <x:c r="H401" s="258" t="s"/>
      <x:c r="I401" s="258" t="s"/>
      <x:c r="J401" s="258" t="s"/>
      <x:c r="K401" s="258" t="s"/>
      <x:c r="L401" s="258" t="s"/>
      <x:c r="M401" s="258" t="s"/>
      <x:c r="N401" s="258" t="s"/>
      <x:c r="O401" s="258" t="s"/>
      <x:c r="P401" s="258" t="s"/>
      <x:c r="Q401" s="258" t="s"/>
      <x:c r="R401" s="258" t="s"/>
      <x:c r="S401" s="258" t="s"/>
      <x:c r="T401" s="151" t="s"/>
      <x:c r="U401" s="231" t="s"/>
    </x:row>
    <x:row r="402" spans="1:23" customFormat="1" ht="18.75" customHeight="1">
      <x:c r="A402" s="257" t="s">
        <x:v>1149</x:v>
      </x:c>
      <x:c r="B402" s="257" t="s"/>
      <x:c r="C402" s="257" t="s"/>
      <x:c r="D402" s="257" t="s"/>
      <x:c r="E402" s="244" t="s"/>
      <x:c r="F402" s="258" t="s"/>
      <x:c r="G402" s="258" t="s"/>
      <x:c r="H402" s="258" t="s"/>
      <x:c r="I402" s="258" t="s"/>
      <x:c r="J402" s="258" t="s"/>
      <x:c r="K402" s="258" t="s"/>
      <x:c r="L402" s="258" t="s"/>
      <x:c r="M402" s="258" t="s"/>
      <x:c r="N402" s="258" t="s"/>
      <x:c r="O402" s="258" t="s"/>
      <x:c r="P402" s="258" t="s"/>
      <x:c r="Q402" s="258" t="s"/>
      <x:c r="R402" s="258" t="s"/>
      <x:c r="S402" s="258" t="s"/>
      <x:c r="T402" s="151" t="s"/>
      <x:c r="U402" s="231" t="s"/>
    </x:row>
    <x:row r="403" spans="1:23" customFormat="1" ht="15.75" customHeight="1">
      <x:c r="A403" s="257" t="s">
        <x:v>51</x:v>
      </x:c>
      <x:c r="B403" s="257" t="s"/>
      <x:c r="C403" s="257" t="s"/>
      <x:c r="D403" s="257" t="s"/>
      <x:c r="E403" s="259" t="s"/>
      <x:c r="F403" s="260" t="s"/>
      <x:c r="G403" s="260" t="s"/>
      <x:c r="H403" s="260" t="s"/>
      <x:c r="I403" s="260" t="s"/>
      <x:c r="J403" s="260" t="s"/>
      <x:c r="K403" s="260" t="s"/>
      <x:c r="L403" s="260" t="s"/>
      <x:c r="M403" s="260" t="s"/>
      <x:c r="N403" s="260" t="s"/>
      <x:c r="O403" s="260" t="s"/>
      <x:c r="P403" s="260" t="s"/>
      <x:c r="Q403" s="260" t="s"/>
      <x:c r="R403" s="260" t="s"/>
      <x:c r="S403" s="260" t="s"/>
      <x:c r="T403" s="261" t="s"/>
      <x:c r="U403" s="262" t="s"/>
    </x:row>
    <x:row r="404" spans="1:23" customFormat="1" ht="15.75" customHeight="1">
      <x:c r="A404" s="243" t="s"/>
      <x:c r="B404" s="243" t="s"/>
      <x:c r="C404" s="243" t="s"/>
      <x:c r="D404" s="151" t="s"/>
      <x:c r="E404" s="151" t="s"/>
      <x:c r="F404" s="151" t="s"/>
      <x:c r="G404" s="151" t="s"/>
      <x:c r="H404" s="244" t="s"/>
      <x:c r="I404" s="244" t="s"/>
      <x:c r="J404" s="244" t="s"/>
      <x:c r="K404" s="244" t="s"/>
      <x:c r="L404" s="244" t="s"/>
      <x:c r="M404" s="244" t="s"/>
      <x:c r="N404" s="244" t="s"/>
      <x:c r="O404" s="244" t="s"/>
      <x:c r="P404" s="244" t="s"/>
      <x:c r="Q404" s="244" t="s"/>
      <x:c r="R404" s="244" t="s"/>
      <x:c r="S404" s="244" t="s"/>
      <x:c r="T404" s="151" t="s"/>
      <x:c r="U404" s="231" t="s"/>
    </x:row>
    <x:row r="405" spans="1:23" customFormat="1" ht="15" customHeight="1">
      <x:c r="A405" s="195" t="s">
        <x:v>1150</x:v>
      </x:c>
      <x:c r="B405" s="195" t="s"/>
      <x:c r="C405" s="195" t="s"/>
      <x:c r="D405" s="195" t="s"/>
      <x:c r="E405" s="195" t="s"/>
      <x:c r="F405" s="195" t="s"/>
      <x:c r="G405" s="195" t="s"/>
      <x:c r="H405" s="195" t="s"/>
      <x:c r="I405" s="195" t="s"/>
      <x:c r="J405" s="195" t="s"/>
      <x:c r="K405" s="195" t="s"/>
      <x:c r="L405" s="195" t="s"/>
      <x:c r="M405" s="195" t="s"/>
      <x:c r="N405" s="195" t="s"/>
      <x:c r="O405" s="195" t="s"/>
      <x:c r="P405" s="195" t="s"/>
      <x:c r="Q405" s="195" t="s"/>
      <x:c r="R405" s="195" t="s"/>
      <x:c r="S405" s="195" t="s"/>
      <x:c r="T405" s="195" t="s"/>
      <x:c r="U405" s="198" t="s"/>
    </x:row>
    <x:row r="406" spans="1:23" customFormat="1" ht="12.75" customHeight="1">
      <x:c r="A406" s="263" t="s">
        <x:v>1151</x:v>
      </x:c>
      <x:c r="B406" s="263" t="s"/>
      <x:c r="C406" s="263" t="s"/>
      <x:c r="D406" s="263" t="s"/>
      <x:c r="E406" s="263" t="s"/>
      <x:c r="F406" s="263" t="s"/>
      <x:c r="G406" s="263" t="s"/>
      <x:c r="H406" s="263" t="s"/>
      <x:c r="I406" s="263" t="s"/>
      <x:c r="J406" s="263" t="s"/>
      <x:c r="K406" s="263" t="s"/>
      <x:c r="L406" s="263" t="s"/>
      <x:c r="M406" s="263" t="s"/>
      <x:c r="N406" s="263" t="s"/>
      <x:c r="O406" s="263" t="s"/>
      <x:c r="P406" s="263" t="s"/>
      <x:c r="Q406" s="263" t="s"/>
      <x:c r="R406" s="263" t="s"/>
      <x:c r="S406" s="263" t="s"/>
      <x:c r="T406" s="263" t="s"/>
      <x:c r="U406" s="264" t="s"/>
    </x:row>
    <x:row r="407" spans="1:23" customFormat="1" ht="12.75" customHeight="1">
      <x:c r="A407" s="263" t="s">
        <x:v>1152</x:v>
      </x:c>
      <x:c r="B407" s="263" t="s"/>
      <x:c r="C407" s="263" t="s"/>
      <x:c r="D407" s="263" t="s"/>
      <x:c r="E407" s="263" t="s"/>
      <x:c r="F407" s="263" t="s"/>
      <x:c r="G407" s="263" t="s"/>
      <x:c r="H407" s="263" t="s"/>
      <x:c r="I407" s="263" t="s"/>
      <x:c r="J407" s="263" t="s"/>
      <x:c r="K407" s="263" t="s"/>
      <x:c r="L407" s="263" t="s"/>
      <x:c r="M407" s="263" t="s"/>
      <x:c r="N407" s="263" t="s"/>
      <x:c r="O407" s="263" t="s"/>
      <x:c r="P407" s="263" t="s"/>
      <x:c r="Q407" s="263" t="s"/>
      <x:c r="R407" s="263" t="s"/>
      <x:c r="S407" s="263" t="s"/>
      <x:c r="T407" s="263" t="s"/>
      <x:c r="U407" s="264" t="s"/>
    </x:row>
    <x:row r="408" spans="1:23" customFormat="1" ht="7.5" customHeight="1">
      <x:c r="A408" s="265" t="s"/>
      <x:c r="B408" s="265" t="s"/>
      <x:c r="C408" s="265" t="s"/>
      <x:c r="D408" s="265" t="s"/>
      <x:c r="E408" s="265" t="s"/>
      <x:c r="F408" s="265" t="s"/>
      <x:c r="G408" s="265" t="s"/>
      <x:c r="H408" s="265" t="s"/>
      <x:c r="I408" s="265" t="s"/>
      <x:c r="J408" s="265" t="s"/>
      <x:c r="K408" s="265" t="s"/>
      <x:c r="L408" s="265" t="s"/>
      <x:c r="M408" s="265" t="s"/>
      <x:c r="N408" s="265" t="s"/>
      <x:c r="O408" s="265" t="s"/>
      <x:c r="P408" s="265" t="s"/>
      <x:c r="Q408" s="265" t="s"/>
      <x:c r="R408" s="265" t="s"/>
      <x:c r="S408" s="265" t="s"/>
      <x:c r="T408" s="265" t="s"/>
      <x:c r="U408" s="266" t="s"/>
    </x:row>
    <x:row r="409" spans="1:23" customFormat="1" ht="12.75" customHeight="1">
      <x:c r="A409" s="226" t="s">
        <x:v>1153</x:v>
      </x:c>
      <x:c r="B409" s="226" t="s"/>
      <x:c r="C409" s="226" t="s"/>
      <x:c r="D409" s="226" t="s"/>
      <x:c r="E409" s="226" t="s"/>
      <x:c r="F409" s="226" t="s"/>
      <x:c r="G409" s="226" t="s"/>
      <x:c r="H409" s="226" t="s"/>
      <x:c r="I409" s="226" t="s"/>
      <x:c r="J409" s="226" t="s"/>
      <x:c r="K409" s="226" t="s"/>
      <x:c r="L409" s="226" t="s"/>
      <x:c r="M409" s="226" t="s"/>
      <x:c r="N409" s="226" t="s"/>
      <x:c r="O409" s="226" t="s"/>
      <x:c r="P409" s="226" t="s"/>
      <x:c r="Q409" s="226" t="s"/>
      <x:c r="R409" s="226" t="s"/>
      <x:c r="S409" s="226" t="s"/>
      <x:c r="T409" s="226" t="s"/>
      <x:c r="U409" s="227" t="s"/>
    </x:row>
    <x:row r="410" spans="1:23" customFormat="1" ht="12.75" customHeight="1">
      <x:c r="A410" s="226" t="s">
        <x:v>1154</x:v>
      </x:c>
      <x:c r="B410" s="226" t="s"/>
      <x:c r="C410" s="226" t="s"/>
      <x:c r="D410" s="226" t="s"/>
      <x:c r="E410" s="226" t="s"/>
      <x:c r="F410" s="226" t="s"/>
      <x:c r="G410" s="226" t="s"/>
      <x:c r="H410" s="226" t="s"/>
      <x:c r="I410" s="226" t="s"/>
      <x:c r="J410" s="226" t="s"/>
      <x:c r="K410" s="226" t="s"/>
      <x:c r="L410" s="226" t="s"/>
      <x:c r="M410" s="226" t="s"/>
      <x:c r="N410" s="226" t="s"/>
      <x:c r="O410" s="226" t="s"/>
      <x:c r="P410" s="226" t="s"/>
      <x:c r="Q410" s="226" t="s"/>
      <x:c r="R410" s="226" t="s"/>
      <x:c r="S410" s="226" t="s"/>
      <x:c r="T410" s="226" t="s"/>
      <x:c r="U410" s="227" t="s"/>
    </x:row>
    <x:row r="411" spans="1:23" customFormat="1" ht="12.75" customHeight="1">
      <x:c r="A411" s="226" t="s">
        <x:v>1155</x:v>
      </x:c>
      <x:c r="B411" s="226" t="s"/>
      <x:c r="C411" s="226" t="s"/>
      <x:c r="D411" s="226" t="s"/>
      <x:c r="E411" s="226" t="s"/>
      <x:c r="F411" s="226" t="s"/>
      <x:c r="G411" s="226" t="s"/>
      <x:c r="H411" s="226" t="s"/>
      <x:c r="I411" s="226" t="s"/>
      <x:c r="J411" s="226" t="s"/>
      <x:c r="K411" s="226" t="s"/>
      <x:c r="L411" s="226" t="s"/>
      <x:c r="M411" s="226" t="s"/>
      <x:c r="N411" s="226" t="s"/>
      <x:c r="O411" s="226" t="s"/>
      <x:c r="P411" s="226" t="s"/>
      <x:c r="Q411" s="226" t="s"/>
      <x:c r="R411" s="226" t="s"/>
      <x:c r="S411" s="226" t="s"/>
      <x:c r="T411" s="226" t="s"/>
      <x:c r="U411" s="227" t="s"/>
    </x:row>
    <x:row r="412" spans="1:23" customFormat="1" ht="7.5" customHeight="1">
      <x:c r="A412" s="226" t="s"/>
      <x:c r="B412" s="226" t="s"/>
      <x:c r="C412" s="226" t="s"/>
      <x:c r="D412" s="226" t="s"/>
      <x:c r="E412" s="226" t="s"/>
      <x:c r="F412" s="226" t="s"/>
      <x:c r="G412" s="226" t="s"/>
      <x:c r="H412" s="226" t="s"/>
      <x:c r="I412" s="226" t="s"/>
      <x:c r="J412" s="226" t="s"/>
      <x:c r="K412" s="226" t="s"/>
      <x:c r="L412" s="226" t="s"/>
      <x:c r="M412" s="226" t="s"/>
      <x:c r="N412" s="226" t="s"/>
      <x:c r="O412" s="226" t="s"/>
      <x:c r="P412" s="226" t="s"/>
      <x:c r="Q412" s="226" t="s"/>
      <x:c r="R412" s="226" t="s"/>
      <x:c r="S412" s="226" t="s"/>
      <x:c r="T412" s="226" t="s"/>
      <x:c r="U412" s="227" t="s"/>
    </x:row>
    <x:row r="413" spans="1:23" customFormat="1" ht="12.75" customHeight="1">
      <x:c r="A413" s="224" t="s">
        <x:v>1156</x:v>
      </x:c>
      <x:c r="B413" s="224" t="s"/>
      <x:c r="C413" s="224" t="s"/>
      <x:c r="D413" s="224" t="s"/>
      <x:c r="E413" s="224" t="s"/>
      <x:c r="F413" s="224" t="s"/>
      <x:c r="G413" s="224" t="s"/>
      <x:c r="H413" s="224" t="s"/>
      <x:c r="I413" s="224" t="s"/>
      <x:c r="J413" s="224" t="s"/>
      <x:c r="K413" s="224" t="s"/>
      <x:c r="L413" s="224" t="s"/>
      <x:c r="M413" s="224" t="s"/>
      <x:c r="N413" s="224" t="s"/>
      <x:c r="O413" s="224" t="s"/>
      <x:c r="P413" s="224" t="s"/>
      <x:c r="Q413" s="224" t="s"/>
      <x:c r="R413" s="224" t="s"/>
      <x:c r="S413" s="224" t="s"/>
      <x:c r="T413" s="224" t="s"/>
      <x:c r="U413" s="225" t="s"/>
    </x:row>
    <x:row r="414" spans="1:23" customFormat="1" ht="12.75" customHeight="1">
      <x:c r="A414" s="222" t="s">
        <x:v>1157</x:v>
      </x:c>
      <x:c r="B414" s="222" t="s"/>
      <x:c r="C414" s="222" t="s"/>
      <x:c r="D414" s="222" t="s"/>
      <x:c r="E414" s="222" t="s"/>
      <x:c r="F414" s="222" t="s"/>
      <x:c r="G414" s="222" t="s"/>
      <x:c r="H414" s="222" t="s"/>
      <x:c r="I414" s="222" t="s"/>
      <x:c r="J414" s="222" t="s"/>
      <x:c r="K414" s="222" t="s"/>
      <x:c r="L414" s="222" t="s"/>
      <x:c r="M414" s="222" t="s"/>
      <x:c r="N414" s="222" t="s"/>
      <x:c r="O414" s="222" t="s"/>
      <x:c r="P414" s="222" t="s"/>
      <x:c r="Q414" s="222" t="s"/>
      <x:c r="R414" s="222" t="s"/>
      <x:c r="S414" s="222" t="s"/>
      <x:c r="T414" s="222" t="s"/>
      <x:c r="U414" s="223" t="s"/>
    </x:row>
    <x:row r="415" spans="1:23" customFormat="1" ht="12.75" customHeight="1">
      <x:c r="A415" s="222" t="s">
        <x:v>1158</x:v>
      </x:c>
      <x:c r="B415" s="222" t="s"/>
      <x:c r="C415" s="222" t="s"/>
      <x:c r="D415" s="222" t="s"/>
      <x:c r="E415" s="222" t="s"/>
      <x:c r="F415" s="222" t="s"/>
      <x:c r="G415" s="222" t="s"/>
      <x:c r="H415" s="222" t="s"/>
      <x:c r="I415" s="222" t="s"/>
      <x:c r="J415" s="222" t="s"/>
      <x:c r="K415" s="222" t="s"/>
      <x:c r="L415" s="222" t="s"/>
      <x:c r="M415" s="222" t="s"/>
      <x:c r="N415" s="222" t="s"/>
      <x:c r="O415" s="222" t="s"/>
      <x:c r="P415" s="222" t="s"/>
      <x:c r="Q415" s="222" t="s"/>
      <x:c r="R415" s="222" t="s"/>
      <x:c r="S415" s="222" t="s"/>
      <x:c r="T415" s="222" t="s"/>
      <x:c r="U415" s="223" t="s"/>
    </x:row>
    <x:row r="416" spans="1:23" customFormat="1" ht="12.75" customHeight="1">
      <x:c r="A416" s="226" t="s">
        <x:v>1159</x:v>
      </x:c>
      <x:c r="B416" s="226" t="s"/>
      <x:c r="C416" s="226" t="s"/>
      <x:c r="D416" s="226" t="s"/>
      <x:c r="E416" s="226" t="s"/>
      <x:c r="F416" s="226" t="s"/>
      <x:c r="G416" s="226" t="s"/>
      <x:c r="H416" s="226" t="s"/>
      <x:c r="I416" s="226" t="s"/>
      <x:c r="J416" s="226" t="s"/>
      <x:c r="K416" s="226" t="s"/>
      <x:c r="L416" s="226" t="s"/>
      <x:c r="M416" s="226" t="s"/>
      <x:c r="N416" s="226" t="s"/>
      <x:c r="O416" s="226" t="s"/>
      <x:c r="P416" s="226" t="s"/>
      <x:c r="Q416" s="226" t="s"/>
      <x:c r="R416" s="226" t="s"/>
      <x:c r="S416" s="226" t="s"/>
      <x:c r="T416" s="226" t="s"/>
      <x:c r="U416" s="227" t="s"/>
    </x:row>
    <x:row r="417" spans="1:23" customFormat="1" ht="12.75" customHeight="1">
      <x:c r="A417" s="222" t="s">
        <x:v>1160</x:v>
      </x:c>
      <x:c r="B417" s="222" t="s"/>
      <x:c r="C417" s="222" t="s"/>
      <x:c r="D417" s="222" t="s"/>
      <x:c r="E417" s="222" t="s"/>
      <x:c r="F417" s="222" t="s"/>
      <x:c r="G417" s="222" t="s"/>
      <x:c r="H417" s="222" t="s"/>
      <x:c r="I417" s="222" t="s"/>
      <x:c r="J417" s="222" t="s"/>
      <x:c r="K417" s="222" t="s"/>
      <x:c r="L417" s="222" t="s"/>
      <x:c r="M417" s="222" t="s"/>
      <x:c r="N417" s="222" t="s"/>
      <x:c r="O417" s="222" t="s"/>
      <x:c r="P417" s="222" t="s"/>
      <x:c r="Q417" s="222" t="s"/>
      <x:c r="R417" s="222" t="s"/>
      <x:c r="S417" s="222" t="s"/>
      <x:c r="T417" s="222" t="s"/>
      <x:c r="U417" s="223" t="s"/>
    </x:row>
    <x:row r="418" spans="1:23" customFormat="1" ht="12.75" customHeight="1">
      <x:c r="A418" s="222" t="s">
        <x:v>1161</x:v>
      </x:c>
      <x:c r="B418" s="222" t="s"/>
      <x:c r="C418" s="222" t="s"/>
      <x:c r="D418" s="222" t="s"/>
      <x:c r="E418" s="222" t="s"/>
      <x:c r="F418" s="222" t="s"/>
      <x:c r="G418" s="222" t="s"/>
      <x:c r="H418" s="222" t="s"/>
      <x:c r="I418" s="222" t="s"/>
      <x:c r="J418" s="222" t="s"/>
      <x:c r="K418" s="222" t="s"/>
      <x:c r="L418" s="222" t="s"/>
      <x:c r="M418" s="222" t="s"/>
      <x:c r="N418" s="222" t="s"/>
      <x:c r="O418" s="222" t="s"/>
      <x:c r="P418" s="222" t="s"/>
      <x:c r="Q418" s="222" t="s"/>
      <x:c r="R418" s="222" t="s"/>
      <x:c r="S418" s="222" t="s"/>
      <x:c r="T418" s="222" t="s"/>
      <x:c r="U418" s="223" t="s"/>
    </x:row>
    <x:row r="419" spans="1:23" customFormat="1" ht="12" customHeight="1">
      <x:c r="A419" s="222" t="s">
        <x:v>1162</x:v>
      </x:c>
      <x:c r="B419" s="222" t="s"/>
      <x:c r="C419" s="222" t="s"/>
      <x:c r="D419" s="222" t="s"/>
      <x:c r="E419" s="222" t="s"/>
      <x:c r="F419" s="222" t="s"/>
      <x:c r="G419" s="222" t="s"/>
      <x:c r="H419" s="222" t="s"/>
      <x:c r="I419" s="222" t="s"/>
      <x:c r="J419" s="222" t="s"/>
      <x:c r="K419" s="222" t="s"/>
      <x:c r="L419" s="222" t="s"/>
      <x:c r="M419" s="222" t="s"/>
      <x:c r="N419" s="222" t="s"/>
      <x:c r="O419" s="222" t="s"/>
      <x:c r="P419" s="222" t="s"/>
      <x:c r="Q419" s="222" t="s"/>
      <x:c r="R419" s="222" t="s"/>
      <x:c r="S419" s="222" t="s"/>
      <x:c r="T419" s="222" t="s"/>
      <x:c r="U419" s="227" t="s"/>
    </x:row>
    <x:row r="420" spans="1:23" customFormat="1" ht="12.75" customHeight="1">
      <x:c r="A420" s="224" t="s">
        <x:v>1163</x:v>
      </x:c>
      <x:c r="B420" s="224" t="s"/>
      <x:c r="C420" s="224" t="s"/>
      <x:c r="D420" s="224" t="s"/>
      <x:c r="E420" s="224" t="s"/>
      <x:c r="F420" s="224" t="s"/>
      <x:c r="G420" s="224" t="s"/>
      <x:c r="H420" s="224" t="s"/>
      <x:c r="I420" s="224" t="s"/>
      <x:c r="J420" s="224" t="s"/>
      <x:c r="K420" s="224" t="s"/>
      <x:c r="L420" s="224" t="s"/>
      <x:c r="M420" s="224" t="s"/>
      <x:c r="N420" s="224" t="s"/>
      <x:c r="O420" s="224" t="s"/>
      <x:c r="P420" s="224" t="s"/>
      <x:c r="Q420" s="224" t="s"/>
      <x:c r="R420" s="224" t="s"/>
      <x:c r="S420" s="224" t="s"/>
      <x:c r="T420" s="224" t="s"/>
      <x:c r="U420" s="225" t="s"/>
    </x:row>
    <x:row r="421" spans="1:23" customFormat="1" ht="12.75" customHeight="1">
      <x:c r="A421" s="226" t="s">
        <x:v>1164</x:v>
      </x:c>
      <x:c r="B421" s="226" t="s"/>
      <x:c r="C421" s="226" t="s"/>
      <x:c r="D421" s="226" t="s"/>
      <x:c r="E421" s="226" t="s"/>
      <x:c r="F421" s="226" t="s"/>
      <x:c r="G421" s="226" t="s"/>
      <x:c r="H421" s="226" t="s"/>
      <x:c r="I421" s="226" t="s"/>
      <x:c r="J421" s="226" t="s"/>
      <x:c r="K421" s="226" t="s"/>
      <x:c r="L421" s="226" t="s"/>
      <x:c r="M421" s="226" t="s"/>
      <x:c r="N421" s="226" t="s"/>
      <x:c r="O421" s="226" t="s"/>
      <x:c r="P421" s="226" t="s"/>
      <x:c r="Q421" s="226" t="s"/>
      <x:c r="R421" s="226" t="s"/>
      <x:c r="S421" s="226" t="s"/>
      <x:c r="T421" s="226" t="s"/>
      <x:c r="U421" s="227" t="s"/>
    </x:row>
    <x:row r="422" spans="1:23" customFormat="1" ht="12.75" customHeight="1">
      <x:c r="A422" s="226" t="s">
        <x:v>1165</x:v>
      </x:c>
      <x:c r="B422" s="226" t="s"/>
      <x:c r="C422" s="226" t="s"/>
      <x:c r="D422" s="226" t="s"/>
      <x:c r="E422" s="226" t="s"/>
      <x:c r="F422" s="226" t="s"/>
      <x:c r="G422" s="226" t="s"/>
      <x:c r="H422" s="226" t="s"/>
      <x:c r="I422" s="226" t="s"/>
      <x:c r="J422" s="226" t="s"/>
      <x:c r="K422" s="226" t="s"/>
      <x:c r="L422" s="226" t="s"/>
      <x:c r="M422" s="226" t="s"/>
      <x:c r="N422" s="226" t="s"/>
      <x:c r="O422" s="226" t="s"/>
      <x:c r="P422" s="226" t="s"/>
      <x:c r="Q422" s="226" t="s"/>
      <x:c r="R422" s="226" t="s"/>
      <x:c r="S422" s="226" t="s"/>
      <x:c r="T422" s="226" t="s"/>
      <x:c r="U422" s="227" t="s"/>
    </x:row>
    <x:row r="423" spans="1:23" customFormat="1" ht="12.75" customHeight="1">
      <x:c r="A423" s="226" t="s">
        <x:v>1166</x:v>
      </x:c>
      <x:c r="B423" s="226" t="s"/>
      <x:c r="C423" s="226" t="s"/>
      <x:c r="D423" s="226" t="s"/>
      <x:c r="E423" s="226" t="s"/>
      <x:c r="F423" s="226" t="s"/>
      <x:c r="G423" s="226" t="s"/>
      <x:c r="H423" s="226" t="s"/>
      <x:c r="I423" s="226" t="s"/>
      <x:c r="J423" s="226" t="s"/>
      <x:c r="K423" s="226" t="s"/>
      <x:c r="L423" s="226" t="s"/>
      <x:c r="M423" s="226" t="s"/>
      <x:c r="N423" s="226" t="s"/>
      <x:c r="O423" s="226" t="s"/>
      <x:c r="P423" s="226" t="s"/>
      <x:c r="Q423" s="226" t="s"/>
      <x:c r="R423" s="226" t="s"/>
      <x:c r="S423" s="226" t="s"/>
      <x:c r="T423" s="226" t="s"/>
      <x:c r="U423" s="227" t="s"/>
    </x:row>
    <x:row r="424" spans="1:23" customFormat="1" ht="12" customHeight="1">
      <x:c r="A424" s="226" t="s">
        <x:v>1167</x:v>
      </x:c>
      <x:c r="B424" s="226" t="s"/>
      <x:c r="C424" s="226" t="s"/>
      <x:c r="D424" s="226" t="s"/>
      <x:c r="E424" s="226" t="s"/>
      <x:c r="F424" s="226" t="s"/>
      <x:c r="G424" s="226" t="s"/>
      <x:c r="H424" s="226" t="s"/>
      <x:c r="I424" s="226" t="s"/>
      <x:c r="J424" s="226" t="s"/>
      <x:c r="K424" s="226" t="s"/>
      <x:c r="L424" s="226" t="s"/>
      <x:c r="M424" s="226" t="s"/>
      <x:c r="N424" s="226" t="s"/>
      <x:c r="O424" s="226" t="s"/>
      <x:c r="P424" s="226" t="s"/>
      <x:c r="Q424" s="226" t="s"/>
      <x:c r="R424" s="226" t="s"/>
      <x:c r="S424" s="226" t="s"/>
      <x:c r="T424" s="226" t="s"/>
      <x:c r="U424" s="227" t="s"/>
    </x:row>
    <x:row r="425" spans="1:23" customFormat="1" ht="7.5" customHeight="1">
      <x:c r="A425" s="226" t="s"/>
      <x:c r="B425" s="226" t="s"/>
      <x:c r="C425" s="226" t="s"/>
      <x:c r="D425" s="226" t="s"/>
      <x:c r="E425" s="226" t="s"/>
      <x:c r="F425" s="226" t="s"/>
      <x:c r="G425" s="226" t="s"/>
      <x:c r="H425" s="226" t="s"/>
      <x:c r="I425" s="226" t="s"/>
      <x:c r="J425" s="226" t="s"/>
      <x:c r="K425" s="226" t="s"/>
      <x:c r="L425" s="226" t="s"/>
      <x:c r="M425" s="226" t="s"/>
      <x:c r="N425" s="226" t="s"/>
      <x:c r="O425" s="226" t="s"/>
      <x:c r="P425" s="226" t="s"/>
      <x:c r="Q425" s="226" t="s"/>
      <x:c r="R425" s="226" t="s"/>
      <x:c r="S425" s="226" t="s"/>
      <x:c r="T425" s="226" t="s"/>
      <x:c r="U425" s="227" t="s"/>
    </x:row>
    <x:row r="426" spans="1:23" customFormat="1" ht="12.75" customHeight="1">
      <x:c r="A426" s="224" t="s">
        <x:v>1168</x:v>
      </x:c>
      <x:c r="B426" s="224" t="s"/>
      <x:c r="C426" s="224" t="s"/>
      <x:c r="D426" s="224" t="s"/>
      <x:c r="E426" s="224" t="s"/>
      <x:c r="F426" s="224" t="s"/>
      <x:c r="G426" s="224" t="s"/>
      <x:c r="H426" s="224" t="s"/>
      <x:c r="I426" s="224" t="s"/>
      <x:c r="J426" s="224" t="s"/>
      <x:c r="K426" s="224" t="s"/>
      <x:c r="L426" s="224" t="s"/>
      <x:c r="M426" s="224" t="s"/>
      <x:c r="N426" s="224" t="s"/>
      <x:c r="O426" s="224" t="s"/>
      <x:c r="P426" s="224" t="s"/>
      <x:c r="Q426" s="224" t="s"/>
      <x:c r="R426" s="224" t="s"/>
      <x:c r="S426" s="224" t="s"/>
      <x:c r="T426" s="224" t="s"/>
      <x:c r="U426" s="225" t="s"/>
    </x:row>
    <x:row r="427" spans="1:23" customFormat="1" ht="12" customHeight="1">
      <x:c r="A427" s="224" t="s">
        <x:v>1169</x:v>
      </x:c>
      <x:c r="B427" s="224" t="s"/>
      <x:c r="C427" s="224" t="s"/>
      <x:c r="D427" s="224" t="s"/>
      <x:c r="E427" s="224" t="s"/>
      <x:c r="F427" s="224" t="s"/>
      <x:c r="G427" s="224" t="s"/>
      <x:c r="H427" s="224" t="s"/>
      <x:c r="I427" s="224" t="s"/>
      <x:c r="J427" s="224" t="s"/>
      <x:c r="K427" s="224" t="s"/>
      <x:c r="L427" s="224" t="s"/>
      <x:c r="M427" s="224" t="s"/>
      <x:c r="N427" s="224" t="s"/>
      <x:c r="O427" s="224" t="s"/>
      <x:c r="P427" s="224" t="s"/>
      <x:c r="Q427" s="224" t="s"/>
      <x:c r="R427" s="224" t="s"/>
      <x:c r="S427" s="224" t="s"/>
      <x:c r="T427" s="224" t="s"/>
      <x:c r="U427" s="225" t="s"/>
    </x:row>
    <x:row r="428" spans="1:23" customFormat="1" ht="12.75" customHeight="1">
      <x:c r="A428" s="222" t="s"/>
      <x:c r="B428" s="222" t="s"/>
      <x:c r="C428" s="222" t="s"/>
      <x:c r="D428" s="222" t="s"/>
      <x:c r="E428" s="222" t="s"/>
      <x:c r="F428" s="222" t="s"/>
      <x:c r="G428" s="222" t="s"/>
      <x:c r="H428" s="222" t="s"/>
      <x:c r="I428" s="222" t="s"/>
      <x:c r="J428" s="222" t="s"/>
      <x:c r="K428" s="222" t="s"/>
      <x:c r="L428" s="222" t="s"/>
      <x:c r="M428" s="222" t="s"/>
      <x:c r="N428" s="222" t="s"/>
      <x:c r="O428" s="222" t="s"/>
      <x:c r="P428" s="222" t="s"/>
      <x:c r="Q428" s="222" t="s"/>
      <x:c r="R428" s="222" t="s"/>
      <x:c r="S428" s="222" t="s"/>
      <x:c r="T428" s="222" t="s"/>
      <x:c r="U428" s="223" t="s"/>
    </x:row>
  </x:sheetData>
  <x:sheetProtection algorithmName="SHA-512" hashValue="ODqT77mCG23VcwiQyppH0w+qR1OA7/71DW3oJ47wj0lmvo0Edc4Vh03cv3sJUdViK6n7Maq+y5QMRO6jFYp5uQ==" saltValue="7NzSwiPgZgXo3fGKVuNMfw==" spinCount="100000" sheet="1" objects="1" scenarios="1"/>
  <x:mergeCells count="90">
    <x:mergeCell ref="A416:T416"/>
    <x:mergeCell ref="A405:T405"/>
    <x:mergeCell ref="A406:T406"/>
    <x:mergeCell ref="A428:T428"/>
    <x:mergeCell ref="A417:T417"/>
    <x:mergeCell ref="A418:T418"/>
    <x:mergeCell ref="A419:T419"/>
    <x:mergeCell ref="A420:T420"/>
    <x:mergeCell ref="A421:T421"/>
    <x:mergeCell ref="A422:T422"/>
    <x:mergeCell ref="A423:T423"/>
    <x:mergeCell ref="A424:T424"/>
    <x:mergeCell ref="A425:T425"/>
    <x:mergeCell ref="A426:T426"/>
    <x:mergeCell ref="A427:T427"/>
    <x:mergeCell ref="A413:T413"/>
    <x:mergeCell ref="A414:T414"/>
    <x:mergeCell ref="A415:T415"/>
    <x:mergeCell ref="A410:T410"/>
    <x:mergeCell ref="A411:T411"/>
    <x:mergeCell ref="A412:T412"/>
    <x:mergeCell ref="A407:T407"/>
    <x:mergeCell ref="A409:T409"/>
    <x:mergeCell ref="A403:D403"/>
    <x:mergeCell ref="Q396:T396"/>
    <x:mergeCell ref="L397:M397"/>
    <x:mergeCell ref="N397:O397"/>
    <x:mergeCell ref="L398:M398"/>
    <x:mergeCell ref="N398:O398"/>
    <x:mergeCell ref="F402:S402"/>
    <x:mergeCell ref="F401:S401"/>
    <x:mergeCell ref="A402:D402"/>
    <x:mergeCell ref="A401:D401"/>
    <x:mergeCell ref="F403:S403"/>
    <x:mergeCell ref="Q393:T393"/>
    <x:mergeCell ref="Q394:T394"/>
    <x:mergeCell ref="Q395:T395"/>
    <x:mergeCell ref="D19:E19"/>
    <x:mergeCell ref="L19:M19"/>
    <x:mergeCell ref="Q19:R19"/>
    <x:mergeCell ref="S19:T19"/>
    <x:mergeCell ref="C392:H392"/>
    <x:mergeCell ref="L392:M392"/>
    <x:mergeCell ref="Q392:T392"/>
    <x:mergeCell ref="M14:N14"/>
    <x:mergeCell ref="A15:C15"/>
    <x:mergeCell ref="D15:J15"/>
    <x:mergeCell ref="M15:N15"/>
    <x:mergeCell ref="A16:C16"/>
    <x:mergeCell ref="D16:J16"/>
    <x:mergeCell ref="M16:N16"/>
    <x:mergeCell ref="C10:E10"/>
    <x:mergeCell ref="C11:G11"/>
    <x:mergeCell ref="E18:F18"/>
    <x:mergeCell ref="H18:L18"/>
    <x:mergeCell ref="A14:C14"/>
    <x:mergeCell ref="D14:J14"/>
    <x:mergeCell ref="A17:C17"/>
    <x:mergeCell ref="D17:J17"/>
    <x:mergeCell ref="M12:N12"/>
    <x:mergeCell ref="O12:Q12"/>
    <x:mergeCell ref="A13:C13"/>
    <x:mergeCell ref="D13:J13"/>
    <x:mergeCell ref="M13:N13"/>
    <x:mergeCell ref="O13:R13"/>
    <x:mergeCell ref="A12:D12"/>
    <x:mergeCell ref="M1:T1"/>
    <x:mergeCell ref="A3:E3"/>
    <x:mergeCell ref="A4:G4"/>
    <x:mergeCell ref="M4:N4"/>
    <x:mergeCell ref="O4:Q4"/>
    <x:mergeCell ref="M5:N5"/>
    <x:mergeCell ref="O5:Q5"/>
    <x:mergeCell ref="O10:P10"/>
    <x:mergeCell ref="M6:N6"/>
    <x:mergeCell ref="O6:Q6"/>
    <x:mergeCell ref="M7:N7"/>
    <x:mergeCell ref="O7:R7"/>
    <x:mergeCell ref="M8:N8"/>
    <x:mergeCell ref="O8:P8"/>
    <x:mergeCell ref="N9:Q9"/>
    <x:mergeCell ref="A5:G5"/>
    <x:mergeCell ref="A6:G6"/>
    <x:mergeCell ref="A7:G7"/>
    <x:mergeCell ref="A8:G8"/>
    <x:mergeCell ref="A9:G9"/>
    <x:mergeCell ref="C393:K393"/>
    <x:mergeCell ref="C394:K394"/>
    <x:mergeCell ref="C395:K395"/>
    <x:mergeCell ref="C396:K396"/>
  </x:mergeCells>
  <x:dataValidations disablePrompts="1" count="1850">
    <x:dataValidation type="whole" errorStyle="stop" operator="between" allowBlank="1" showDropDown="0" showInputMessage="1" showErrorMessage="1" errorTitle="" error="" promptTitle="" prompt="" sqref="Q11:Q11">
      <x:formula1>1</x:formula1>
      <x:formula2>100</x:formula2>
    </x:dataValidation>
    <x:dataValidation type="list" errorStyle="stop" operator="between" allowBlank="1" showDropDown="0" showInputMessage="1" showErrorMessage="1" errorTitle="" error="" promptTitle="" prompt="" sqref="O11:O11">
      <x:formula1>"Credit, Cash"</x:formula1>
      <x:formula2/>
    </x:dataValidation>
    <x:dataValidation type="decimal" errorStyle="stop" operator="between" allowBlank="1" showDropDown="0" showInputMessage="1" showErrorMessage="1" errorTitle="" error="" promptTitle="" prompt="" sqref="N20:O20">
      <x:formula1>0</x:formula1>
      <x:formula2>100</x:formula2>
    </x:dataValidation>
    <x:dataValidation type="decimal" errorStyle="stop" operator="greaterThanOrEqual" allowBlank="1" showDropDown="0" showInputMessage="1" showErrorMessage="1" errorTitle="" error="" promptTitle="" prompt="" sqref="K20:L20">
      <x:formula1>0</x:formula1>
      <x:formula2/>
    </x:dataValidation>
    <x:dataValidation type="decimal" errorStyle="stop" operator="between" allowBlank="1" showDropDown="0" showInputMessage="1" showErrorMessage="1" errorTitle="" error="" promptTitle="" prompt="" sqref="$O$16:$O$16">
      <x:formula1>0</x:formula1>
      <x:formula2>100</x:formula2>
    </x:dataValidation>
    <x:dataValidation type="decimal" errorStyle="stop" operator="between" allowBlank="1" showDropDown="0" showInputMessage="1" showErrorMessage="1" errorTitle="" error="" promptTitle="" prompt="" sqref="$O$15:$O$15">
      <x:formula1>0</x:formula1>
      <x:formula2>100</x:formula2>
    </x:dataValidation>
    <x:dataValidation type="none" errorStyle="stop" operator="between" allowBlank="1" showDropDown="0" showInputMessage="1" showErrorMessage="1" errorTitle="" error="" promptTitle="" prompt="" sqref="P23:P23">
      <x:formula1/>
      <x:formula2/>
    </x:dataValidation>
    <x:dataValidation type="none" errorStyle="stop" operator="between" allowBlank="1" showDropDown="0" showInputMessage="1" showErrorMessage="1" errorTitle="" error="" promptTitle="" prompt="" sqref="P24:P24">
      <x:formula1/>
      <x:formula2/>
    </x:dataValidation>
    <x:dataValidation type="none" errorStyle="stop" operator="between" allowBlank="1" showDropDown="0" showInputMessage="1" showErrorMessage="1" errorTitle="" error="" promptTitle="" prompt="" sqref="P25:P25">
      <x:formula1/>
      <x:formula2/>
    </x:dataValidation>
    <x:dataValidation type="none" errorStyle="stop" operator="between" allowBlank="1" showDropDown="0" showInputMessage="1" showErrorMessage="1" errorTitle="" error="" promptTitle="" prompt="" sqref="P26:P26">
      <x:formula1/>
      <x:formula2/>
    </x:dataValidation>
    <x:dataValidation type="list" errorStyle="stop" operator="between" allowBlank="1" showDropDown="0" showInputMessage="1" showErrorMessage="1" errorTitle="" error="" promptTitle="" prompt="" sqref="H21:H21">
      <x:formula1>'MasterData'!$B$1:$B$14</x:formula1>
      <x:formula2/>
    </x:dataValidation>
    <x:dataValidation type="list" errorStyle="stop" operator="between" allowBlank="1" showDropDown="0" showInputMessage="1" showErrorMessage="1" errorTitle="" error="" promptTitle="" prompt="" sqref="I21:I21">
      <x:formula1>'MasterData'!$E$1:$E$10</x:formula1>
      <x:formula2/>
    </x:dataValidation>
    <x:dataValidation type="decimal" errorStyle="stop" operator="greaterThanOrEqual" allowBlank="1" showDropDown="0" showInputMessage="1" showErrorMessage="1" errorTitle="" error="" promptTitle="" prompt="" sqref="K21:K21">
      <x:formula1>0</x:formula1>
      <x:formula2/>
    </x:dataValidation>
    <x:dataValidation type="decimal" errorStyle="stop" operator="between" allowBlank="1" showDropDown="0" showInputMessage="1" showErrorMessage="1" errorTitle="" error="" promptTitle="" prompt="" sqref="N21:N21">
      <x:formula1>0</x:formula1>
      <x:formula2>100</x:formula2>
    </x:dataValidation>
    <x:dataValidation type="decimal" errorStyle="stop" operator="between" allowBlank="1" showDropDown="0" showInputMessage="1" showErrorMessage="1" errorTitle="" error="" promptTitle="" prompt="" sqref="O21:O21">
      <x:formula1>0</x:formula1>
      <x:formula2>100</x:formula2>
    </x:dataValidation>
    <x:dataValidation type="list" errorStyle="stop" operator="between" allowBlank="1" showDropDown="0" showInputMessage="1" showErrorMessage="1" errorTitle="" error="" promptTitle="" prompt="" sqref="H22:H22">
      <x:formula1>'MasterData'!$B$1:$B$14</x:formula1>
      <x:formula2/>
    </x:dataValidation>
    <x:dataValidation type="list" errorStyle="stop" operator="between" allowBlank="1" showDropDown="0" showInputMessage="1" showErrorMessage="1" errorTitle="" error="" promptTitle="" prompt="" sqref="I22:I22">
      <x:formula1>'MasterData'!$E$11:$E$20</x:formula1>
      <x:formula2/>
    </x:dataValidation>
    <x:dataValidation type="decimal" errorStyle="stop" operator="greaterThanOrEqual" allowBlank="1" showDropDown="0" showInputMessage="1" showErrorMessage="1" errorTitle="" error="" promptTitle="" prompt="" sqref="K22:K22">
      <x:formula1>0</x:formula1>
      <x:formula2/>
    </x:dataValidation>
    <x:dataValidation type="decimal" errorStyle="stop" operator="between" allowBlank="1" showDropDown="0" showInputMessage="1" showErrorMessage="1" errorTitle="" error="" promptTitle="" prompt="" sqref="N22:N22">
      <x:formula1>0</x:formula1>
      <x:formula2>100</x:formula2>
    </x:dataValidation>
    <x:dataValidation type="decimal" errorStyle="stop" operator="between" allowBlank="1" showDropDown="0" showInputMessage="1" showErrorMessage="1" errorTitle="" error="" promptTitle="" prompt="" sqref="O22:O22">
      <x:formula1>0</x:formula1>
      <x:formula2>100</x:formula2>
    </x:dataValidation>
    <x:dataValidation type="list" errorStyle="stop" operator="between" allowBlank="1" showDropDown="0" showInputMessage="1" showErrorMessage="1" errorTitle="" error="" promptTitle="" prompt="" sqref="H23:H23">
      <x:formula1>'MasterData'!$B$1:$B$14</x:formula1>
      <x:formula2/>
    </x:dataValidation>
    <x:dataValidation type="list" errorStyle="stop" operator="between" allowBlank="1" showDropDown="0" showInputMessage="1" showErrorMessage="1" errorTitle="" error="" promptTitle="" prompt="" sqref="I23:I23">
      <x:formula1>'MasterData'!$E$21:$E$30</x:formula1>
      <x:formula2/>
    </x:dataValidation>
    <x:dataValidation type="decimal" errorStyle="stop" operator="greaterThanOrEqual" allowBlank="1" showDropDown="0" showInputMessage="1" showErrorMessage="1" errorTitle="" error="" promptTitle="" prompt="" sqref="K23:K23">
      <x:formula1>0</x:formula1>
      <x:formula2/>
    </x:dataValidation>
    <x:dataValidation type="decimal" errorStyle="stop" operator="between" allowBlank="1" showDropDown="0" showInputMessage="1" showErrorMessage="1" errorTitle="" error="" promptTitle="" prompt="" sqref="N23:N23">
      <x:formula1>0</x:formula1>
      <x:formula2>100</x:formula2>
    </x:dataValidation>
    <x:dataValidation type="decimal" errorStyle="stop" operator="between" allowBlank="1" showDropDown="0" showInputMessage="1" showErrorMessage="1" errorTitle="" error="" promptTitle="" prompt="" sqref="O23:O23">
      <x:formula1>0</x:formula1>
      <x:formula2>100</x:formula2>
    </x:dataValidation>
    <x:dataValidation type="list" errorStyle="stop" operator="between" allowBlank="1" showDropDown="0" showInputMessage="1" showErrorMessage="1" errorTitle="" error="" promptTitle="" prompt="" sqref="H24:H24">
      <x:formula1>'MasterData'!$B$1:$B$14</x:formula1>
      <x:formula2/>
    </x:dataValidation>
    <x:dataValidation type="list" errorStyle="stop" operator="between" allowBlank="1" showDropDown="0" showInputMessage="1" showErrorMessage="1" errorTitle="" error="" promptTitle="" prompt="" sqref="I24:I24">
      <x:formula1>'MasterData'!$E$31:$E$40</x:formula1>
      <x:formula2/>
    </x:dataValidation>
    <x:dataValidation type="decimal" errorStyle="stop" operator="greaterThanOrEqual" allowBlank="1" showDropDown="0" showInputMessage="1" showErrorMessage="1" errorTitle="" error="" promptTitle="" prompt="" sqref="K24:K24">
      <x:formula1>0</x:formula1>
      <x:formula2/>
    </x:dataValidation>
    <x:dataValidation type="decimal" errorStyle="stop" operator="between" allowBlank="1" showDropDown="0" showInputMessage="1" showErrorMessage="1" errorTitle="" error="" promptTitle="" prompt="" sqref="N24:N24">
      <x:formula1>0</x:formula1>
      <x:formula2>100</x:formula2>
    </x:dataValidation>
    <x:dataValidation type="decimal" errorStyle="stop" operator="between" allowBlank="1" showDropDown="0" showInputMessage="1" showErrorMessage="1" errorTitle="" error="" promptTitle="" prompt="" sqref="O24:O24">
      <x:formula1>0</x:formula1>
      <x:formula2>100</x:formula2>
    </x:dataValidation>
    <x:dataValidation type="list" errorStyle="stop" operator="between" allowBlank="1" showDropDown="0" showInputMessage="1" showErrorMessage="1" errorTitle="" error="" promptTitle="" prompt="" sqref="H25:H25">
      <x:formula1>'MasterData'!$B$1:$B$14</x:formula1>
      <x:formula2/>
    </x:dataValidation>
    <x:dataValidation type="list" errorStyle="stop" operator="between" allowBlank="1" showDropDown="0" showInputMessage="1" showErrorMessage="1" errorTitle="" error="" promptTitle="" prompt="" sqref="I25:I25">
      <x:formula1>'MasterData'!$E$41:$E$50</x:formula1>
      <x:formula2/>
    </x:dataValidation>
    <x:dataValidation type="decimal" errorStyle="stop" operator="greaterThanOrEqual" allowBlank="1" showDropDown="0" showInputMessage="1" showErrorMessage="1" errorTitle="" error="" promptTitle="" prompt="" sqref="K25:K25">
      <x:formula1>0</x:formula1>
      <x:formula2/>
    </x:dataValidation>
    <x:dataValidation type="decimal" errorStyle="stop" operator="between" allowBlank="1" showDropDown="0" showInputMessage="1" showErrorMessage="1" errorTitle="" error="" promptTitle="" prompt="" sqref="N25:N25">
      <x:formula1>0</x:formula1>
      <x:formula2>100</x:formula2>
    </x:dataValidation>
    <x:dataValidation type="decimal" errorStyle="stop" operator="between" allowBlank="1" showDropDown="0" showInputMessage="1" showErrorMessage="1" errorTitle="" error="" promptTitle="" prompt="" sqref="O25:O25">
      <x:formula1>0</x:formula1>
      <x:formula2>100</x:formula2>
    </x:dataValidation>
    <x:dataValidation type="list" errorStyle="stop" operator="between" allowBlank="1" showDropDown="0" showInputMessage="1" showErrorMessage="1" errorTitle="" error="" promptTitle="" prompt="" sqref="H26:H26">
      <x:formula1>'MasterData'!$B$1:$B$14</x:formula1>
      <x:formula2/>
    </x:dataValidation>
    <x:dataValidation type="list" errorStyle="stop" operator="between" allowBlank="1" showDropDown="0" showInputMessage="1" showErrorMessage="1" errorTitle="" error="" promptTitle="" prompt="" sqref="I26:I26">
      <x:formula1>'MasterData'!$E$51:$E$60</x:formula1>
      <x:formula2/>
    </x:dataValidation>
    <x:dataValidation type="decimal" errorStyle="stop" operator="greaterThanOrEqual" allowBlank="1" showDropDown="0" showInputMessage="1" showErrorMessage="1" errorTitle="" error="" promptTitle="" prompt="" sqref="K26:K26">
      <x:formula1>0</x:formula1>
      <x:formula2/>
    </x:dataValidation>
    <x:dataValidation type="decimal" errorStyle="stop" operator="between" allowBlank="1" showDropDown="0" showInputMessage="1" showErrorMessage="1" errorTitle="" error="" promptTitle="" prompt="" sqref="N26:N26">
      <x:formula1>0</x:formula1>
      <x:formula2>100</x:formula2>
    </x:dataValidation>
    <x:dataValidation type="decimal" errorStyle="stop" operator="between" allowBlank="1" showDropDown="0" showInputMessage="1" showErrorMessage="1" errorTitle="" error="" promptTitle="" prompt="" sqref="O26:O26">
      <x:formula1>0</x:formula1>
      <x:formula2>100</x:formula2>
    </x:dataValidation>
    <x:dataValidation type="list" errorStyle="stop" operator="between" allowBlank="1" showDropDown="0" showInputMessage="1" showErrorMessage="1" errorTitle="" error="" promptTitle="" prompt="" sqref="H27:H27">
      <x:formula1>'MasterData'!$B$1:$B$14</x:formula1>
      <x:formula2/>
    </x:dataValidation>
    <x:dataValidation type="list" errorStyle="stop" operator="between" allowBlank="1" showDropDown="0" showInputMessage="1" showErrorMessage="1" errorTitle="" error="" promptTitle="" prompt="" sqref="I27:I27">
      <x:formula1>'MasterData'!$E$61:$E$70</x:formula1>
      <x:formula2/>
    </x:dataValidation>
    <x:dataValidation type="decimal" errorStyle="stop" operator="greaterThanOrEqual" allowBlank="1" showDropDown="0" showInputMessage="1" showErrorMessage="1" errorTitle="" error="" promptTitle="" prompt="" sqref="K27:K27">
      <x:formula1>0</x:formula1>
      <x:formula2/>
    </x:dataValidation>
    <x:dataValidation type="decimal" errorStyle="stop" operator="between" allowBlank="1" showDropDown="0" showInputMessage="1" showErrorMessage="1" errorTitle="" error="" promptTitle="" prompt="" sqref="N27:N27">
      <x:formula1>0</x:formula1>
      <x:formula2>100</x:formula2>
    </x:dataValidation>
    <x:dataValidation type="decimal" errorStyle="stop" operator="between" allowBlank="1" showDropDown="0" showInputMessage="1" showErrorMessage="1" errorTitle="" error="" promptTitle="" prompt="" sqref="O27:O27">
      <x:formula1>0</x:formula1>
      <x:formula2>100</x:formula2>
    </x:dataValidation>
    <x:dataValidation type="list" errorStyle="stop" operator="between" allowBlank="1" showDropDown="0" showInputMessage="1" showErrorMessage="1" errorTitle="" error="" promptTitle="" prompt="" sqref="H28:H28">
      <x:formula1>'MasterData'!$B$1:$B$14</x:formula1>
      <x:formula2/>
    </x:dataValidation>
    <x:dataValidation type="list" errorStyle="stop" operator="between" allowBlank="1" showDropDown="0" showInputMessage="1" showErrorMessage="1" errorTitle="" error="" promptTitle="" prompt="" sqref="I28:I28">
      <x:formula1>'MasterData'!$E$71:$E$80</x:formula1>
      <x:formula2/>
    </x:dataValidation>
    <x:dataValidation type="decimal" errorStyle="stop" operator="greaterThanOrEqual" allowBlank="1" showDropDown="0" showInputMessage="1" showErrorMessage="1" errorTitle="" error="" promptTitle="" prompt="" sqref="K28:K28">
      <x:formula1>0</x:formula1>
      <x:formula2/>
    </x:dataValidation>
    <x:dataValidation type="decimal" errorStyle="stop" operator="between" allowBlank="1" showDropDown="0" showInputMessage="1" showErrorMessage="1" errorTitle="" error="" promptTitle="" prompt="" sqref="N28:N28">
      <x:formula1>0</x:formula1>
      <x:formula2>100</x:formula2>
    </x:dataValidation>
    <x:dataValidation type="decimal" errorStyle="stop" operator="between" allowBlank="1" showDropDown="0" showInputMessage="1" showErrorMessage="1" errorTitle="" error="" promptTitle="" prompt="" sqref="O28:O28">
      <x:formula1>0</x:formula1>
      <x:formula2>100</x:formula2>
    </x:dataValidation>
    <x:dataValidation type="list" errorStyle="stop" operator="between" allowBlank="1" showDropDown="0" showInputMessage="1" showErrorMessage="1" errorTitle="" error="" promptTitle="" prompt="" sqref="H29:H29">
      <x:formula1>'MasterData'!$B$1:$B$14</x:formula1>
      <x:formula2/>
    </x:dataValidation>
    <x:dataValidation type="list" errorStyle="stop" operator="between" allowBlank="1" showDropDown="0" showInputMessage="1" showErrorMessage="1" errorTitle="" error="" promptTitle="" prompt="" sqref="I29:I29">
      <x:formula1>'MasterData'!$E$81:$E$90</x:formula1>
      <x:formula2/>
    </x:dataValidation>
    <x:dataValidation type="decimal" errorStyle="stop" operator="greaterThanOrEqual" allowBlank="1" showDropDown="0" showInputMessage="1" showErrorMessage="1" errorTitle="" error="" promptTitle="" prompt="" sqref="K29:K29">
      <x:formula1>0</x:formula1>
      <x:formula2/>
    </x:dataValidation>
    <x:dataValidation type="decimal" errorStyle="stop" operator="between" allowBlank="1" showDropDown="0" showInputMessage="1" showErrorMessage="1" errorTitle="" error="" promptTitle="" prompt="" sqref="N29:N29">
      <x:formula1>0</x:formula1>
      <x:formula2>100</x:formula2>
    </x:dataValidation>
    <x:dataValidation type="decimal" errorStyle="stop" operator="between" allowBlank="1" showDropDown="0" showInputMessage="1" showErrorMessage="1" errorTitle="" error="" promptTitle="" prompt="" sqref="O29:O29">
      <x:formula1>0</x:formula1>
      <x:formula2>100</x:formula2>
    </x:dataValidation>
    <x:dataValidation type="list" errorStyle="stop" operator="between" allowBlank="1" showDropDown="0" showInputMessage="1" showErrorMessage="1" errorTitle="" error="" promptTitle="" prompt="" sqref="H30:H30">
      <x:formula1>'MasterData'!$B$1:$B$14</x:formula1>
      <x:formula2/>
    </x:dataValidation>
    <x:dataValidation type="list" errorStyle="stop" operator="between" allowBlank="1" showDropDown="0" showInputMessage="1" showErrorMessage="1" errorTitle="" error="" promptTitle="" prompt="" sqref="I30:I30">
      <x:formula1>'MasterData'!$E$91:$E$100</x:formula1>
      <x:formula2/>
    </x:dataValidation>
    <x:dataValidation type="decimal" errorStyle="stop" operator="greaterThanOrEqual" allowBlank="1" showDropDown="0" showInputMessage="1" showErrorMessage="1" errorTitle="" error="" promptTitle="" prompt="" sqref="K30:K30">
      <x:formula1>0</x:formula1>
      <x:formula2/>
    </x:dataValidation>
    <x:dataValidation type="decimal" errorStyle="stop" operator="between" allowBlank="1" showDropDown="0" showInputMessage="1" showErrorMessage="1" errorTitle="" error="" promptTitle="" prompt="" sqref="N30:N30">
      <x:formula1>0</x:formula1>
      <x:formula2>100</x:formula2>
    </x:dataValidation>
    <x:dataValidation type="decimal" errorStyle="stop" operator="between" allowBlank="1" showDropDown="0" showInputMessage="1" showErrorMessage="1" errorTitle="" error="" promptTitle="" prompt="" sqref="O30:O30">
      <x:formula1>0</x:formula1>
      <x:formula2>100</x:formula2>
    </x:dataValidation>
    <x:dataValidation type="list" errorStyle="stop" operator="between" allowBlank="1" showDropDown="0" showInputMessage="1" showErrorMessage="1" errorTitle="" error="" promptTitle="" prompt="" sqref="H31:H31">
      <x:formula1>'MasterData'!$B$1:$B$14</x:formula1>
      <x:formula2/>
    </x:dataValidation>
    <x:dataValidation type="list" errorStyle="stop" operator="between" allowBlank="1" showDropDown="0" showInputMessage="1" showErrorMessage="1" errorTitle="" error="" promptTitle="" prompt="" sqref="I31:I31">
      <x:formula1>'MasterData'!$E$101:$E$110</x:formula1>
      <x:formula2/>
    </x:dataValidation>
    <x:dataValidation type="decimal" errorStyle="stop" operator="greaterThanOrEqual" allowBlank="1" showDropDown="0" showInputMessage="1" showErrorMessage="1" errorTitle="" error="" promptTitle="" prompt="" sqref="K31:K31">
      <x:formula1>0</x:formula1>
      <x:formula2/>
    </x:dataValidation>
    <x:dataValidation type="decimal" errorStyle="stop" operator="between" allowBlank="1" showDropDown="0" showInputMessage="1" showErrorMessage="1" errorTitle="" error="" promptTitle="" prompt="" sqref="N31:N31">
      <x:formula1>0</x:formula1>
      <x:formula2>100</x:formula2>
    </x:dataValidation>
    <x:dataValidation type="decimal" errorStyle="stop" operator="between" allowBlank="1" showDropDown="0" showInputMessage="1" showErrorMessage="1" errorTitle="" error="" promptTitle="" prompt="" sqref="O31:O31">
      <x:formula1>0</x:formula1>
      <x:formula2>100</x:formula2>
    </x:dataValidation>
    <x:dataValidation type="list" errorStyle="stop" operator="between" allowBlank="1" showDropDown="0" showInputMessage="1" showErrorMessage="1" errorTitle="" error="" promptTitle="" prompt="" sqref="H32:H32">
      <x:formula1>'MasterData'!$B$1:$B$14</x:formula1>
      <x:formula2/>
    </x:dataValidation>
    <x:dataValidation type="list" errorStyle="stop" operator="between" allowBlank="1" showDropDown="0" showInputMessage="1" showErrorMessage="1" errorTitle="" error="" promptTitle="" prompt="" sqref="I32:I32">
      <x:formula1>'MasterData'!$E$111:$E$120</x:formula1>
      <x:formula2/>
    </x:dataValidation>
    <x:dataValidation type="decimal" errorStyle="stop" operator="greaterThanOrEqual" allowBlank="1" showDropDown="0" showInputMessage="1" showErrorMessage="1" errorTitle="" error="" promptTitle="" prompt="" sqref="K32:K32">
      <x:formula1>0</x:formula1>
      <x:formula2/>
    </x:dataValidation>
    <x:dataValidation type="decimal" errorStyle="stop" operator="between" allowBlank="1" showDropDown="0" showInputMessage="1" showErrorMessage="1" errorTitle="" error="" promptTitle="" prompt="" sqref="N32:N32">
      <x:formula1>0</x:formula1>
      <x:formula2>100</x:formula2>
    </x:dataValidation>
    <x:dataValidation type="decimal" errorStyle="stop" operator="between" allowBlank="1" showDropDown="0" showInputMessage="1" showErrorMessage="1" errorTitle="" error="" promptTitle="" prompt="" sqref="O32:O32">
      <x:formula1>0</x:formula1>
      <x:formula2>100</x:formula2>
    </x:dataValidation>
    <x:dataValidation type="list" errorStyle="stop" operator="between" allowBlank="1" showDropDown="0" showInputMessage="1" showErrorMessage="1" errorTitle="" error="" promptTitle="" prompt="" sqref="H33:H33">
      <x:formula1>'MasterData'!$B$1:$B$14</x:formula1>
      <x:formula2/>
    </x:dataValidation>
    <x:dataValidation type="list" errorStyle="stop" operator="between" allowBlank="1" showDropDown="0" showInputMessage="1" showErrorMessage="1" errorTitle="" error="" promptTitle="" prompt="" sqref="I33:I33">
      <x:formula1>'MasterData'!$E$121:$E$130</x:formula1>
      <x:formula2/>
    </x:dataValidation>
    <x:dataValidation type="decimal" errorStyle="stop" operator="greaterThanOrEqual" allowBlank="1" showDropDown="0" showInputMessage="1" showErrorMessage="1" errorTitle="" error="" promptTitle="" prompt="" sqref="K33:K33">
      <x:formula1>0</x:formula1>
      <x:formula2/>
    </x:dataValidation>
    <x:dataValidation type="decimal" errorStyle="stop" operator="between" allowBlank="1" showDropDown="0" showInputMessage="1" showErrorMessage="1" errorTitle="" error="" promptTitle="" prompt="" sqref="N33:N33">
      <x:formula1>0</x:formula1>
      <x:formula2>100</x:formula2>
    </x:dataValidation>
    <x:dataValidation type="decimal" errorStyle="stop" operator="between" allowBlank="1" showDropDown="0" showInputMessage="1" showErrorMessage="1" errorTitle="" error="" promptTitle="" prompt="" sqref="O33:O33">
      <x:formula1>0</x:formula1>
      <x:formula2>100</x:formula2>
    </x:dataValidation>
    <x:dataValidation type="list" errorStyle="stop" operator="between" allowBlank="1" showDropDown="0" showInputMessage="1" showErrorMessage="1" errorTitle="" error="" promptTitle="" prompt="" sqref="H34:H34">
      <x:formula1>'MasterData'!$B$1:$B$14</x:formula1>
      <x:formula2/>
    </x:dataValidation>
    <x:dataValidation type="list" errorStyle="stop" operator="between" allowBlank="1" showDropDown="0" showInputMessage="1" showErrorMessage="1" errorTitle="" error="" promptTitle="" prompt="" sqref="I34:I34">
      <x:formula1>'MasterData'!$E$131:$E$140</x:formula1>
      <x:formula2/>
    </x:dataValidation>
    <x:dataValidation type="decimal" errorStyle="stop" operator="greaterThanOrEqual" allowBlank="1" showDropDown="0" showInputMessage="1" showErrorMessage="1" errorTitle="" error="" promptTitle="" prompt="" sqref="K34:K34">
      <x:formula1>0</x:formula1>
      <x:formula2/>
    </x:dataValidation>
    <x:dataValidation type="decimal" errorStyle="stop" operator="between" allowBlank="1" showDropDown="0" showInputMessage="1" showErrorMessage="1" errorTitle="" error="" promptTitle="" prompt="" sqref="N34:N34">
      <x:formula1>0</x:formula1>
      <x:formula2>100</x:formula2>
    </x:dataValidation>
    <x:dataValidation type="decimal" errorStyle="stop" operator="between" allowBlank="1" showDropDown="0" showInputMessage="1" showErrorMessage="1" errorTitle="" error="" promptTitle="" prompt="" sqref="O34:O34">
      <x:formula1>0</x:formula1>
      <x:formula2>100</x:formula2>
    </x:dataValidation>
    <x:dataValidation type="list" errorStyle="stop" operator="between" allowBlank="1" showDropDown="0" showInputMessage="1" showErrorMessage="1" errorTitle="" error="" promptTitle="" prompt="" sqref="H35:H35">
      <x:formula1>'MasterData'!$B$1:$B$14</x:formula1>
      <x:formula2/>
    </x:dataValidation>
    <x:dataValidation type="list" errorStyle="stop" operator="between" allowBlank="1" showDropDown="0" showInputMessage="1" showErrorMessage="1" errorTitle="" error="" promptTitle="" prompt="" sqref="I35:I35">
      <x:formula1>'MasterData'!$E$141:$E$150</x:formula1>
      <x:formula2/>
    </x:dataValidation>
    <x:dataValidation type="decimal" errorStyle="stop" operator="greaterThanOrEqual" allowBlank="1" showDropDown="0" showInputMessage="1" showErrorMessage="1" errorTitle="" error="" promptTitle="" prompt="" sqref="K35:K35">
      <x:formula1>0</x:formula1>
      <x:formula2/>
    </x:dataValidation>
    <x:dataValidation type="decimal" errorStyle="stop" operator="between" allowBlank="1" showDropDown="0" showInputMessage="1" showErrorMessage="1" errorTitle="" error="" promptTitle="" prompt="" sqref="N35:N35">
      <x:formula1>0</x:formula1>
      <x:formula2>100</x:formula2>
    </x:dataValidation>
    <x:dataValidation type="decimal" errorStyle="stop" operator="between" allowBlank="1" showDropDown="0" showInputMessage="1" showErrorMessage="1" errorTitle="" error="" promptTitle="" prompt="" sqref="O35:O35">
      <x:formula1>0</x:formula1>
      <x:formula2>100</x:formula2>
    </x:dataValidation>
    <x:dataValidation type="list" errorStyle="stop" operator="between" allowBlank="1" showDropDown="0" showInputMessage="1" showErrorMessage="1" errorTitle="" error="" promptTitle="" prompt="" sqref="H36:H36">
      <x:formula1>'MasterData'!$B$1:$B$14</x:formula1>
      <x:formula2/>
    </x:dataValidation>
    <x:dataValidation type="list" errorStyle="stop" operator="between" allowBlank="1" showDropDown="0" showInputMessage="1" showErrorMessage="1" errorTitle="" error="" promptTitle="" prompt="" sqref="I36:I36">
      <x:formula1>'MasterData'!$E$151:$E$160</x:formula1>
      <x:formula2/>
    </x:dataValidation>
    <x:dataValidation type="decimal" errorStyle="stop" operator="greaterThanOrEqual" allowBlank="1" showDropDown="0" showInputMessage="1" showErrorMessage="1" errorTitle="" error="" promptTitle="" prompt="" sqref="K36:K36">
      <x:formula1>0</x:formula1>
      <x:formula2/>
    </x:dataValidation>
    <x:dataValidation type="decimal" errorStyle="stop" operator="between" allowBlank="1" showDropDown="0" showInputMessage="1" showErrorMessage="1" errorTitle="" error="" promptTitle="" prompt="" sqref="N36:N36">
      <x:formula1>0</x:formula1>
      <x:formula2>100</x:formula2>
    </x:dataValidation>
    <x:dataValidation type="decimal" errorStyle="stop" operator="between" allowBlank="1" showDropDown="0" showInputMessage="1" showErrorMessage="1" errorTitle="" error="" promptTitle="" prompt="" sqref="O36:O36">
      <x:formula1>0</x:formula1>
      <x:formula2>100</x:formula2>
    </x:dataValidation>
    <x:dataValidation type="list" errorStyle="stop" operator="between" allowBlank="1" showDropDown="0" showInputMessage="1" showErrorMessage="1" errorTitle="" error="" promptTitle="" prompt="" sqref="H37:H37">
      <x:formula1>'MasterData'!$B$1:$B$14</x:formula1>
      <x:formula2/>
    </x:dataValidation>
    <x:dataValidation type="list" errorStyle="stop" operator="between" allowBlank="1" showDropDown="0" showInputMessage="1" showErrorMessage="1" errorTitle="" error="" promptTitle="" prompt="" sqref="I37:I37">
      <x:formula1>'MasterData'!$E$161:$E$170</x:formula1>
      <x:formula2/>
    </x:dataValidation>
    <x:dataValidation type="decimal" errorStyle="stop" operator="greaterThanOrEqual" allowBlank="1" showDropDown="0" showInputMessage="1" showErrorMessage="1" errorTitle="" error="" promptTitle="" prompt="" sqref="K37:K37">
      <x:formula1>0</x:formula1>
      <x:formula2/>
    </x:dataValidation>
    <x:dataValidation type="decimal" errorStyle="stop" operator="between" allowBlank="1" showDropDown="0" showInputMessage="1" showErrorMessage="1" errorTitle="" error="" promptTitle="" prompt="" sqref="N37:N37">
      <x:formula1>0</x:formula1>
      <x:formula2>100</x:formula2>
    </x:dataValidation>
    <x:dataValidation type="decimal" errorStyle="stop" operator="between" allowBlank="1" showDropDown="0" showInputMessage="1" showErrorMessage="1" errorTitle="" error="" promptTitle="" prompt="" sqref="O37:O37">
      <x:formula1>0</x:formula1>
      <x:formula2>100</x:formula2>
    </x:dataValidation>
    <x:dataValidation type="list" errorStyle="stop" operator="between" allowBlank="1" showDropDown="0" showInputMessage="1" showErrorMessage="1" errorTitle="" error="" promptTitle="" prompt="" sqref="H38:H38">
      <x:formula1>'MasterData'!$B$1:$B$14</x:formula1>
      <x:formula2/>
    </x:dataValidation>
    <x:dataValidation type="list" errorStyle="stop" operator="between" allowBlank="1" showDropDown="0" showInputMessage="1" showErrorMessage="1" errorTitle="" error="" promptTitle="" prompt="" sqref="I38:I38">
      <x:formula1>'MasterData'!$E$171:$E$180</x:formula1>
      <x:formula2/>
    </x:dataValidation>
    <x:dataValidation type="decimal" errorStyle="stop" operator="greaterThanOrEqual" allowBlank="1" showDropDown="0" showInputMessage="1" showErrorMessage="1" errorTitle="" error="" promptTitle="" prompt="" sqref="K38:K38">
      <x:formula1>0</x:formula1>
      <x:formula2/>
    </x:dataValidation>
    <x:dataValidation type="decimal" errorStyle="stop" operator="between" allowBlank="1" showDropDown="0" showInputMessage="1" showErrorMessage="1" errorTitle="" error="" promptTitle="" prompt="" sqref="N38:N38">
      <x:formula1>0</x:formula1>
      <x:formula2>100</x:formula2>
    </x:dataValidation>
    <x:dataValidation type="decimal" errorStyle="stop" operator="between" allowBlank="1" showDropDown="0" showInputMessage="1" showErrorMessage="1" errorTitle="" error="" promptTitle="" prompt="" sqref="O38:O38">
      <x:formula1>0</x:formula1>
      <x:formula2>100</x:formula2>
    </x:dataValidation>
    <x:dataValidation type="list" errorStyle="stop" operator="between" allowBlank="1" showDropDown="0" showInputMessage="1" showErrorMessage="1" errorTitle="" error="" promptTitle="" prompt="" sqref="H39:H39">
      <x:formula1>'MasterData'!$B$1:$B$14</x:formula1>
      <x:formula2/>
    </x:dataValidation>
    <x:dataValidation type="list" errorStyle="stop" operator="between" allowBlank="1" showDropDown="0" showInputMessage="1" showErrorMessage="1" errorTitle="" error="" promptTitle="" prompt="" sqref="I39:I39">
      <x:formula1>'MasterData'!$E$181:$E$190</x:formula1>
      <x:formula2/>
    </x:dataValidation>
    <x:dataValidation type="decimal" errorStyle="stop" operator="greaterThanOrEqual" allowBlank="1" showDropDown="0" showInputMessage="1" showErrorMessage="1" errorTitle="" error="" promptTitle="" prompt="" sqref="K39:K39">
      <x:formula1>0</x:formula1>
      <x:formula2/>
    </x:dataValidation>
    <x:dataValidation type="decimal" errorStyle="stop" operator="between" allowBlank="1" showDropDown="0" showInputMessage="1" showErrorMessage="1" errorTitle="" error="" promptTitle="" prompt="" sqref="N39:N39">
      <x:formula1>0</x:formula1>
      <x:formula2>100</x:formula2>
    </x:dataValidation>
    <x:dataValidation type="decimal" errorStyle="stop" operator="between" allowBlank="1" showDropDown="0" showInputMessage="1" showErrorMessage="1" errorTitle="" error="" promptTitle="" prompt="" sqref="O39:O39">
      <x:formula1>0</x:formula1>
      <x:formula2>100</x:formula2>
    </x:dataValidation>
    <x:dataValidation type="list" errorStyle="stop" operator="between" allowBlank="1" showDropDown="0" showInputMessage="1" showErrorMessage="1" errorTitle="" error="" promptTitle="" prompt="" sqref="H40:H40">
      <x:formula1>'MasterData'!$B$1:$B$14</x:formula1>
      <x:formula2/>
    </x:dataValidation>
    <x:dataValidation type="list" errorStyle="stop" operator="between" allowBlank="1" showDropDown="0" showInputMessage="1" showErrorMessage="1" errorTitle="" error="" promptTitle="" prompt="" sqref="I40:I40">
      <x:formula1>'MasterData'!$E$191:$E$200</x:formula1>
      <x:formula2/>
    </x:dataValidation>
    <x:dataValidation type="decimal" errorStyle="stop" operator="greaterThanOrEqual" allowBlank="1" showDropDown="0" showInputMessage="1" showErrorMessage="1" errorTitle="" error="" promptTitle="" prompt="" sqref="K40:K40">
      <x:formula1>0</x:formula1>
      <x:formula2/>
    </x:dataValidation>
    <x:dataValidation type="decimal" errorStyle="stop" operator="between" allowBlank="1" showDropDown="0" showInputMessage="1" showErrorMessage="1" errorTitle="" error="" promptTitle="" prompt="" sqref="N40:N40">
      <x:formula1>0</x:formula1>
      <x:formula2>100</x:formula2>
    </x:dataValidation>
    <x:dataValidation type="decimal" errorStyle="stop" operator="between" allowBlank="1" showDropDown="0" showInputMessage="1" showErrorMessage="1" errorTitle="" error="" promptTitle="" prompt="" sqref="O40:O40">
      <x:formula1>0</x:formula1>
      <x:formula2>100</x:formula2>
    </x:dataValidation>
    <x:dataValidation type="list" errorStyle="stop" operator="between" allowBlank="1" showDropDown="0" showInputMessage="1" showErrorMessage="1" errorTitle="" error="" promptTitle="" prompt="" sqref="H41:H41">
      <x:formula1>'MasterData'!$B$1:$B$14</x:formula1>
      <x:formula2/>
    </x:dataValidation>
    <x:dataValidation type="list" errorStyle="stop" operator="between" allowBlank="1" showDropDown="0" showInputMessage="1" showErrorMessage="1" errorTitle="" error="" promptTitle="" prompt="" sqref="I41:I41">
      <x:formula1>'MasterData'!$E$201:$E$210</x:formula1>
      <x:formula2/>
    </x:dataValidation>
    <x:dataValidation type="decimal" errorStyle="stop" operator="greaterThanOrEqual" allowBlank="1" showDropDown="0" showInputMessage="1" showErrorMessage="1" errorTitle="" error="" promptTitle="" prompt="" sqref="K41:K41">
      <x:formula1>0</x:formula1>
      <x:formula2/>
    </x:dataValidation>
    <x:dataValidation type="decimal" errorStyle="stop" operator="between" allowBlank="1" showDropDown="0" showInputMessage="1" showErrorMessage="1" errorTitle="" error="" promptTitle="" prompt="" sqref="N41:N41">
      <x:formula1>0</x:formula1>
      <x:formula2>100</x:formula2>
    </x:dataValidation>
    <x:dataValidation type="decimal" errorStyle="stop" operator="between" allowBlank="1" showDropDown="0" showInputMessage="1" showErrorMessage="1" errorTitle="" error="" promptTitle="" prompt="" sqref="O41:O41">
      <x:formula1>0</x:formula1>
      <x:formula2>100</x:formula2>
    </x:dataValidation>
    <x:dataValidation type="list" errorStyle="stop" operator="between" allowBlank="1" showDropDown="0" showInputMessage="1" showErrorMessage="1" errorTitle="" error="" promptTitle="" prompt="" sqref="H42:H42">
      <x:formula1>'MasterData'!$B$1:$B$14</x:formula1>
      <x:formula2/>
    </x:dataValidation>
    <x:dataValidation type="list" errorStyle="stop" operator="between" allowBlank="1" showDropDown="0" showInputMessage="1" showErrorMessage="1" errorTitle="" error="" promptTitle="" prompt="" sqref="I42:I42">
      <x:formula1>'MasterData'!$E$211:$E$220</x:formula1>
      <x:formula2/>
    </x:dataValidation>
    <x:dataValidation type="decimal" errorStyle="stop" operator="greaterThanOrEqual" allowBlank="1" showDropDown="0" showInputMessage="1" showErrorMessage="1" errorTitle="" error="" promptTitle="" prompt="" sqref="K42:K42">
      <x:formula1>0</x:formula1>
      <x:formula2/>
    </x:dataValidation>
    <x:dataValidation type="decimal" errorStyle="stop" operator="between" allowBlank="1" showDropDown="0" showInputMessage="1" showErrorMessage="1" errorTitle="" error="" promptTitle="" prompt="" sqref="N42:N42">
      <x:formula1>0</x:formula1>
      <x:formula2>100</x:formula2>
    </x:dataValidation>
    <x:dataValidation type="decimal" errorStyle="stop" operator="between" allowBlank="1" showDropDown="0" showInputMessage="1" showErrorMessage="1" errorTitle="" error="" promptTitle="" prompt="" sqref="O42:O42">
      <x:formula1>0</x:formula1>
      <x:formula2>100</x:formula2>
    </x:dataValidation>
    <x:dataValidation type="list" errorStyle="stop" operator="between" allowBlank="1" showDropDown="0" showInputMessage="1" showErrorMessage="1" errorTitle="" error="" promptTitle="" prompt="" sqref="H43:H43">
      <x:formula1>'MasterData'!$B$1:$B$14</x:formula1>
      <x:formula2/>
    </x:dataValidation>
    <x:dataValidation type="list" errorStyle="stop" operator="between" allowBlank="1" showDropDown="0" showInputMessage="1" showErrorMessage="1" errorTitle="" error="" promptTitle="" prompt="" sqref="I43:I43">
      <x:formula1>'MasterData'!$E$221:$E$230</x:formula1>
      <x:formula2/>
    </x:dataValidation>
    <x:dataValidation type="decimal" errorStyle="stop" operator="greaterThanOrEqual" allowBlank="1" showDropDown="0" showInputMessage="1" showErrorMessage="1" errorTitle="" error="" promptTitle="" prompt="" sqref="K43:K43">
      <x:formula1>0</x:formula1>
      <x:formula2/>
    </x:dataValidation>
    <x:dataValidation type="decimal" errorStyle="stop" operator="between" allowBlank="1" showDropDown="0" showInputMessage="1" showErrorMessage="1" errorTitle="" error="" promptTitle="" prompt="" sqref="N43:N43">
      <x:formula1>0</x:formula1>
      <x:formula2>100</x:formula2>
    </x:dataValidation>
    <x:dataValidation type="decimal" errorStyle="stop" operator="between" allowBlank="1" showDropDown="0" showInputMessage="1" showErrorMessage="1" errorTitle="" error="" promptTitle="" prompt="" sqref="O43:O43">
      <x:formula1>0</x:formula1>
      <x:formula2>100</x:formula2>
    </x:dataValidation>
    <x:dataValidation type="list" errorStyle="stop" operator="between" allowBlank="1" showDropDown="0" showInputMessage="1" showErrorMessage="1" errorTitle="" error="" promptTitle="" prompt="" sqref="H44:H44">
      <x:formula1>'MasterData'!$B$1:$B$14</x:formula1>
      <x:formula2/>
    </x:dataValidation>
    <x:dataValidation type="list" errorStyle="stop" operator="between" allowBlank="1" showDropDown="0" showInputMessage="1" showErrorMessage="1" errorTitle="" error="" promptTitle="" prompt="" sqref="I44:I44">
      <x:formula1>'MasterData'!$E$231:$E$240</x:formula1>
      <x:formula2/>
    </x:dataValidation>
    <x:dataValidation type="decimal" errorStyle="stop" operator="greaterThanOrEqual" allowBlank="1" showDropDown="0" showInputMessage="1" showErrorMessage="1" errorTitle="" error="" promptTitle="" prompt="" sqref="K44:K44">
      <x:formula1>0</x:formula1>
      <x:formula2/>
    </x:dataValidation>
    <x:dataValidation type="decimal" errorStyle="stop" operator="between" allowBlank="1" showDropDown="0" showInputMessage="1" showErrorMessage="1" errorTitle="" error="" promptTitle="" prompt="" sqref="N44:N44">
      <x:formula1>0</x:formula1>
      <x:formula2>100</x:formula2>
    </x:dataValidation>
    <x:dataValidation type="decimal" errorStyle="stop" operator="between" allowBlank="1" showDropDown="0" showInputMessage="1" showErrorMessage="1" errorTitle="" error="" promptTitle="" prompt="" sqref="O44:O44">
      <x:formula1>0</x:formula1>
      <x:formula2>100</x:formula2>
    </x:dataValidation>
    <x:dataValidation type="list" errorStyle="stop" operator="between" allowBlank="1" showDropDown="0" showInputMessage="1" showErrorMessage="1" errorTitle="" error="" promptTitle="" prompt="" sqref="H45:H45">
      <x:formula1>'MasterData'!$B$1:$B$14</x:formula1>
      <x:formula2/>
    </x:dataValidation>
    <x:dataValidation type="list" errorStyle="stop" operator="between" allowBlank="1" showDropDown="0" showInputMessage="1" showErrorMessage="1" errorTitle="" error="" promptTitle="" prompt="" sqref="I45:I45">
      <x:formula1>'MasterData'!$E$241:$E$250</x:formula1>
      <x:formula2/>
    </x:dataValidation>
    <x:dataValidation type="decimal" errorStyle="stop" operator="greaterThanOrEqual" allowBlank="1" showDropDown="0" showInputMessage="1" showErrorMessage="1" errorTitle="" error="" promptTitle="" prompt="" sqref="K45:K45">
      <x:formula1>0</x:formula1>
      <x:formula2/>
    </x:dataValidation>
    <x:dataValidation type="decimal" errorStyle="stop" operator="between" allowBlank="1" showDropDown="0" showInputMessage="1" showErrorMessage="1" errorTitle="" error="" promptTitle="" prompt="" sqref="N45:N45">
      <x:formula1>0</x:formula1>
      <x:formula2>100</x:formula2>
    </x:dataValidation>
    <x:dataValidation type="decimal" errorStyle="stop" operator="between" allowBlank="1" showDropDown="0" showInputMessage="1" showErrorMessage="1" errorTitle="" error="" promptTitle="" prompt="" sqref="O45:O45">
      <x:formula1>0</x:formula1>
      <x:formula2>100</x:formula2>
    </x:dataValidation>
    <x:dataValidation type="list" errorStyle="stop" operator="between" allowBlank="1" showDropDown="0" showInputMessage="1" showErrorMessage="1" errorTitle="" error="" promptTitle="" prompt="" sqref="H46:H46">
      <x:formula1>'MasterData'!$B$1:$B$14</x:formula1>
      <x:formula2/>
    </x:dataValidation>
    <x:dataValidation type="list" errorStyle="stop" operator="between" allowBlank="1" showDropDown="0" showInputMessage="1" showErrorMessage="1" errorTitle="" error="" promptTitle="" prompt="" sqref="I46:I46">
      <x:formula1>'MasterData'!$E$251:$E$260</x:formula1>
      <x:formula2/>
    </x:dataValidation>
    <x:dataValidation type="decimal" errorStyle="stop" operator="greaterThanOrEqual" allowBlank="1" showDropDown="0" showInputMessage="1" showErrorMessage="1" errorTitle="" error="" promptTitle="" prompt="" sqref="K46:K46">
      <x:formula1>0</x:formula1>
      <x:formula2/>
    </x:dataValidation>
    <x:dataValidation type="decimal" errorStyle="stop" operator="between" allowBlank="1" showDropDown="0" showInputMessage="1" showErrorMessage="1" errorTitle="" error="" promptTitle="" prompt="" sqref="N46:N46">
      <x:formula1>0</x:formula1>
      <x:formula2>100</x:formula2>
    </x:dataValidation>
    <x:dataValidation type="decimal" errorStyle="stop" operator="between" allowBlank="1" showDropDown="0" showInputMessage="1" showErrorMessage="1" errorTitle="" error="" promptTitle="" prompt="" sqref="O46:O46">
      <x:formula1>0</x:formula1>
      <x:formula2>100</x:formula2>
    </x:dataValidation>
    <x:dataValidation type="list" errorStyle="stop" operator="between" allowBlank="1" showDropDown="0" showInputMessage="1" showErrorMessage="1" errorTitle="" error="" promptTitle="" prompt="" sqref="H47:H47">
      <x:formula1>'MasterData'!$B$1:$B$14</x:formula1>
      <x:formula2/>
    </x:dataValidation>
    <x:dataValidation type="list" errorStyle="stop" operator="between" allowBlank="1" showDropDown="0" showInputMessage="1" showErrorMessage="1" errorTitle="" error="" promptTitle="" prompt="" sqref="I47:I47">
      <x:formula1>'MasterData'!$E$261:$E$270</x:formula1>
      <x:formula2/>
    </x:dataValidation>
    <x:dataValidation type="decimal" errorStyle="stop" operator="greaterThanOrEqual" allowBlank="1" showDropDown="0" showInputMessage="1" showErrorMessage="1" errorTitle="" error="" promptTitle="" prompt="" sqref="K47:K47">
      <x:formula1>0</x:formula1>
      <x:formula2/>
    </x:dataValidation>
    <x:dataValidation type="decimal" errorStyle="stop" operator="between" allowBlank="1" showDropDown="0" showInputMessage="1" showErrorMessage="1" errorTitle="" error="" promptTitle="" prompt="" sqref="N47:N47">
      <x:formula1>0</x:formula1>
      <x:formula2>100</x:formula2>
    </x:dataValidation>
    <x:dataValidation type="decimal" errorStyle="stop" operator="between" allowBlank="1" showDropDown="0" showInputMessage="1" showErrorMessage="1" errorTitle="" error="" promptTitle="" prompt="" sqref="O47:O47">
      <x:formula1>0</x:formula1>
      <x:formula2>100</x:formula2>
    </x:dataValidation>
    <x:dataValidation type="list" errorStyle="stop" operator="between" allowBlank="1" showDropDown="0" showInputMessage="1" showErrorMessage="1" errorTitle="" error="" promptTitle="" prompt="" sqref="H48:H48">
      <x:formula1>'MasterData'!$B$1:$B$14</x:formula1>
      <x:formula2/>
    </x:dataValidation>
    <x:dataValidation type="list" errorStyle="stop" operator="between" allowBlank="1" showDropDown="0" showInputMessage="1" showErrorMessage="1" errorTitle="" error="" promptTitle="" prompt="" sqref="I48:I48">
      <x:formula1>'MasterData'!$E$271:$E$280</x:formula1>
      <x:formula2/>
    </x:dataValidation>
    <x:dataValidation type="decimal" errorStyle="stop" operator="greaterThanOrEqual" allowBlank="1" showDropDown="0" showInputMessage="1" showErrorMessage="1" errorTitle="" error="" promptTitle="" prompt="" sqref="K48:K48">
      <x:formula1>0</x:formula1>
      <x:formula2/>
    </x:dataValidation>
    <x:dataValidation type="decimal" errorStyle="stop" operator="between" allowBlank="1" showDropDown="0" showInputMessage="1" showErrorMessage="1" errorTitle="" error="" promptTitle="" prompt="" sqref="N48:N48">
      <x:formula1>0</x:formula1>
      <x:formula2>100</x:formula2>
    </x:dataValidation>
    <x:dataValidation type="decimal" errorStyle="stop" operator="between" allowBlank="1" showDropDown="0" showInputMessage="1" showErrorMessage="1" errorTitle="" error="" promptTitle="" prompt="" sqref="O48:O48">
      <x:formula1>0</x:formula1>
      <x:formula2>100</x:formula2>
    </x:dataValidation>
    <x:dataValidation type="list" errorStyle="stop" operator="between" allowBlank="1" showDropDown="0" showInputMessage="1" showErrorMessage="1" errorTitle="" error="" promptTitle="" prompt="" sqref="H49:H49">
      <x:formula1>'MasterData'!$B$1:$B$14</x:formula1>
      <x:formula2/>
    </x:dataValidation>
    <x:dataValidation type="list" errorStyle="stop" operator="between" allowBlank="1" showDropDown="0" showInputMessage="1" showErrorMessage="1" errorTitle="" error="" promptTitle="" prompt="" sqref="I49:I49">
      <x:formula1>'MasterData'!$E$281:$E$290</x:formula1>
      <x:formula2/>
    </x:dataValidation>
    <x:dataValidation type="decimal" errorStyle="stop" operator="greaterThanOrEqual" allowBlank="1" showDropDown="0" showInputMessage="1" showErrorMessage="1" errorTitle="" error="" promptTitle="" prompt="" sqref="K49:K49">
      <x:formula1>0</x:formula1>
      <x:formula2/>
    </x:dataValidation>
    <x:dataValidation type="decimal" errorStyle="stop" operator="between" allowBlank="1" showDropDown="0" showInputMessage="1" showErrorMessage="1" errorTitle="" error="" promptTitle="" prompt="" sqref="N49:N49">
      <x:formula1>0</x:formula1>
      <x:formula2>100</x:formula2>
    </x:dataValidation>
    <x:dataValidation type="decimal" errorStyle="stop" operator="between" allowBlank="1" showDropDown="0" showInputMessage="1" showErrorMessage="1" errorTitle="" error="" promptTitle="" prompt="" sqref="O49:O49">
      <x:formula1>0</x:formula1>
      <x:formula2>100</x:formula2>
    </x:dataValidation>
    <x:dataValidation type="list" errorStyle="stop" operator="between" allowBlank="1" showDropDown="0" showInputMessage="1" showErrorMessage="1" errorTitle="" error="" promptTitle="" prompt="" sqref="H50:H50">
      <x:formula1>'MasterData'!$B$1:$B$14</x:formula1>
      <x:formula2/>
    </x:dataValidation>
    <x:dataValidation type="list" errorStyle="stop" operator="between" allowBlank="1" showDropDown="0" showInputMessage="1" showErrorMessage="1" errorTitle="" error="" promptTitle="" prompt="" sqref="I50:I50">
      <x:formula1>'MasterData'!$E$291:$E$300</x:formula1>
      <x:formula2/>
    </x:dataValidation>
    <x:dataValidation type="decimal" errorStyle="stop" operator="greaterThanOrEqual" allowBlank="1" showDropDown="0" showInputMessage="1" showErrorMessage="1" errorTitle="" error="" promptTitle="" prompt="" sqref="K50:K50">
      <x:formula1>0</x:formula1>
      <x:formula2/>
    </x:dataValidation>
    <x:dataValidation type="decimal" errorStyle="stop" operator="between" allowBlank="1" showDropDown="0" showInputMessage="1" showErrorMessage="1" errorTitle="" error="" promptTitle="" prompt="" sqref="N50:N50">
      <x:formula1>0</x:formula1>
      <x:formula2>100</x:formula2>
    </x:dataValidation>
    <x:dataValidation type="decimal" errorStyle="stop" operator="between" allowBlank="1" showDropDown="0" showInputMessage="1" showErrorMessage="1" errorTitle="" error="" promptTitle="" prompt="" sqref="O50:O50">
      <x:formula1>0</x:formula1>
      <x:formula2>100</x:formula2>
    </x:dataValidation>
    <x:dataValidation type="list" errorStyle="stop" operator="between" allowBlank="1" showDropDown="0" showInputMessage="1" showErrorMessage="1" errorTitle="" error="" promptTitle="" prompt="" sqref="H51:H51">
      <x:formula1>'MasterData'!$B$1:$B$14</x:formula1>
      <x:formula2/>
    </x:dataValidation>
    <x:dataValidation type="list" errorStyle="stop" operator="between" allowBlank="1" showDropDown="0" showInputMessage="1" showErrorMessage="1" errorTitle="" error="" promptTitle="" prompt="" sqref="I51:I51">
      <x:formula1>'MasterData'!$E$301:$E$310</x:formula1>
      <x:formula2/>
    </x:dataValidation>
    <x:dataValidation type="decimal" errorStyle="stop" operator="greaterThanOrEqual" allowBlank="1" showDropDown="0" showInputMessage="1" showErrorMessage="1" errorTitle="" error="" promptTitle="" prompt="" sqref="K51:K51">
      <x:formula1>0</x:formula1>
      <x:formula2/>
    </x:dataValidation>
    <x:dataValidation type="decimal" errorStyle="stop" operator="between" allowBlank="1" showDropDown="0" showInputMessage="1" showErrorMessage="1" errorTitle="" error="" promptTitle="" prompt="" sqref="N51:N51">
      <x:formula1>0</x:formula1>
      <x:formula2>100</x:formula2>
    </x:dataValidation>
    <x:dataValidation type="decimal" errorStyle="stop" operator="between" allowBlank="1" showDropDown="0" showInputMessage="1" showErrorMessage="1" errorTitle="" error="" promptTitle="" prompt="" sqref="O51:O51">
      <x:formula1>0</x:formula1>
      <x:formula2>100</x:formula2>
    </x:dataValidation>
    <x:dataValidation type="list" errorStyle="stop" operator="between" allowBlank="1" showDropDown="0" showInputMessage="1" showErrorMessage="1" errorTitle="" error="" promptTitle="" prompt="" sqref="H52:H52">
      <x:formula1>'MasterData'!$B$1:$B$14</x:formula1>
      <x:formula2/>
    </x:dataValidation>
    <x:dataValidation type="list" errorStyle="stop" operator="between" allowBlank="1" showDropDown="0" showInputMessage="1" showErrorMessage="1" errorTitle="" error="" promptTitle="" prompt="" sqref="I52:I52">
      <x:formula1>'MasterData'!$E$311:$E$320</x:formula1>
      <x:formula2/>
    </x:dataValidation>
    <x:dataValidation type="decimal" errorStyle="stop" operator="greaterThanOrEqual" allowBlank="1" showDropDown="0" showInputMessage="1" showErrorMessage="1" errorTitle="" error="" promptTitle="" prompt="" sqref="K52:K52">
      <x:formula1>0</x:formula1>
      <x:formula2/>
    </x:dataValidation>
    <x:dataValidation type="decimal" errorStyle="stop" operator="between" allowBlank="1" showDropDown="0" showInputMessage="1" showErrorMessage="1" errorTitle="" error="" promptTitle="" prompt="" sqref="N52:N52">
      <x:formula1>0</x:formula1>
      <x:formula2>100</x:formula2>
    </x:dataValidation>
    <x:dataValidation type="decimal" errorStyle="stop" operator="between" allowBlank="1" showDropDown="0" showInputMessage="1" showErrorMessage="1" errorTitle="" error="" promptTitle="" prompt="" sqref="O52:O52">
      <x:formula1>0</x:formula1>
      <x:formula2>100</x:formula2>
    </x:dataValidation>
    <x:dataValidation type="list" errorStyle="stop" operator="between" allowBlank="1" showDropDown="0" showInputMessage="1" showErrorMessage="1" errorTitle="" error="" promptTitle="" prompt="" sqref="H53:H53">
      <x:formula1>'MasterData'!$B$1:$B$14</x:formula1>
      <x:formula2/>
    </x:dataValidation>
    <x:dataValidation type="list" errorStyle="stop" operator="between" allowBlank="1" showDropDown="0" showInputMessage="1" showErrorMessage="1" errorTitle="" error="" promptTitle="" prompt="" sqref="I53:I53">
      <x:formula1>'MasterData'!$E$321:$E$330</x:formula1>
      <x:formula2/>
    </x:dataValidation>
    <x:dataValidation type="decimal" errorStyle="stop" operator="greaterThanOrEqual" allowBlank="1" showDropDown="0" showInputMessage="1" showErrorMessage="1" errorTitle="" error="" promptTitle="" prompt="" sqref="K53:K53">
      <x:formula1>0</x:formula1>
      <x:formula2/>
    </x:dataValidation>
    <x:dataValidation type="decimal" errorStyle="stop" operator="between" allowBlank="1" showDropDown="0" showInputMessage="1" showErrorMessage="1" errorTitle="" error="" promptTitle="" prompt="" sqref="N53:N53">
      <x:formula1>0</x:formula1>
      <x:formula2>100</x:formula2>
    </x:dataValidation>
    <x:dataValidation type="decimal" errorStyle="stop" operator="between" allowBlank="1" showDropDown="0" showInputMessage="1" showErrorMessage="1" errorTitle="" error="" promptTitle="" prompt="" sqref="O53:O53">
      <x:formula1>0</x:formula1>
      <x:formula2>100</x:formula2>
    </x:dataValidation>
    <x:dataValidation type="list" errorStyle="stop" operator="between" allowBlank="1" showDropDown="0" showInputMessage="1" showErrorMessage="1" errorTitle="" error="" promptTitle="" prompt="" sqref="H54:H54">
      <x:formula1>'MasterData'!$B$1:$B$14</x:formula1>
      <x:formula2/>
    </x:dataValidation>
    <x:dataValidation type="list" errorStyle="stop" operator="between" allowBlank="1" showDropDown="0" showInputMessage="1" showErrorMessage="1" errorTitle="" error="" promptTitle="" prompt="" sqref="I54:I54">
      <x:formula1>'MasterData'!$E$331:$E$340</x:formula1>
      <x:formula2/>
    </x:dataValidation>
    <x:dataValidation type="decimal" errorStyle="stop" operator="greaterThanOrEqual" allowBlank="1" showDropDown="0" showInputMessage="1" showErrorMessage="1" errorTitle="" error="" promptTitle="" prompt="" sqref="K54:K54">
      <x:formula1>0</x:formula1>
      <x:formula2/>
    </x:dataValidation>
    <x:dataValidation type="decimal" errorStyle="stop" operator="between" allowBlank="1" showDropDown="0" showInputMessage="1" showErrorMessage="1" errorTitle="" error="" promptTitle="" prompt="" sqref="N54:N54">
      <x:formula1>0</x:formula1>
      <x:formula2>100</x:formula2>
    </x:dataValidation>
    <x:dataValidation type="decimal" errorStyle="stop" operator="between" allowBlank="1" showDropDown="0" showInputMessage="1" showErrorMessage="1" errorTitle="" error="" promptTitle="" prompt="" sqref="O54:O54">
      <x:formula1>0</x:formula1>
      <x:formula2>100</x:formula2>
    </x:dataValidation>
    <x:dataValidation type="list" errorStyle="stop" operator="between" allowBlank="1" showDropDown="0" showInputMessage="1" showErrorMessage="1" errorTitle="" error="" promptTitle="" prompt="" sqref="H55:H55">
      <x:formula1>'MasterData'!$B$1:$B$14</x:formula1>
      <x:formula2/>
    </x:dataValidation>
    <x:dataValidation type="list" errorStyle="stop" operator="between" allowBlank="1" showDropDown="0" showInputMessage="1" showErrorMessage="1" errorTitle="" error="" promptTitle="" prompt="" sqref="I55:I55">
      <x:formula1>'MasterData'!$E$341:$E$350</x:formula1>
      <x:formula2/>
    </x:dataValidation>
    <x:dataValidation type="decimal" errorStyle="stop" operator="greaterThanOrEqual" allowBlank="1" showDropDown="0" showInputMessage="1" showErrorMessage="1" errorTitle="" error="" promptTitle="" prompt="" sqref="K55:K55">
      <x:formula1>0</x:formula1>
      <x:formula2/>
    </x:dataValidation>
    <x:dataValidation type="decimal" errorStyle="stop" operator="between" allowBlank="1" showDropDown="0" showInputMessage="1" showErrorMessage="1" errorTitle="" error="" promptTitle="" prompt="" sqref="N55:N55">
      <x:formula1>0</x:formula1>
      <x:formula2>100</x:formula2>
    </x:dataValidation>
    <x:dataValidation type="decimal" errorStyle="stop" operator="between" allowBlank="1" showDropDown="0" showInputMessage="1" showErrorMessage="1" errorTitle="" error="" promptTitle="" prompt="" sqref="O55:O55">
      <x:formula1>0</x:formula1>
      <x:formula2>100</x:formula2>
    </x:dataValidation>
    <x:dataValidation type="list" errorStyle="stop" operator="between" allowBlank="1" showDropDown="0" showInputMessage="1" showErrorMessage="1" errorTitle="" error="" promptTitle="" prompt="" sqref="H56:H56">
      <x:formula1>'MasterData'!$B$1:$B$14</x:formula1>
      <x:formula2/>
    </x:dataValidation>
    <x:dataValidation type="list" errorStyle="stop" operator="between" allowBlank="1" showDropDown="0" showInputMessage="1" showErrorMessage="1" errorTitle="" error="" promptTitle="" prompt="" sqref="I56:I56">
      <x:formula1>'MasterData'!$E$351:$E$360</x:formula1>
      <x:formula2/>
    </x:dataValidation>
    <x:dataValidation type="decimal" errorStyle="stop" operator="greaterThanOrEqual" allowBlank="1" showDropDown="0" showInputMessage="1" showErrorMessage="1" errorTitle="" error="" promptTitle="" prompt="" sqref="K56:K56">
      <x:formula1>0</x:formula1>
      <x:formula2/>
    </x:dataValidation>
    <x:dataValidation type="decimal" errorStyle="stop" operator="between" allowBlank="1" showDropDown="0" showInputMessage="1" showErrorMessage="1" errorTitle="" error="" promptTitle="" prompt="" sqref="N56:N56">
      <x:formula1>0</x:formula1>
      <x:formula2>100</x:formula2>
    </x:dataValidation>
    <x:dataValidation type="decimal" errorStyle="stop" operator="between" allowBlank="1" showDropDown="0" showInputMessage="1" showErrorMessage="1" errorTitle="" error="" promptTitle="" prompt="" sqref="O56:O56">
      <x:formula1>0</x:formula1>
      <x:formula2>100</x:formula2>
    </x:dataValidation>
    <x:dataValidation type="list" errorStyle="stop" operator="between" allowBlank="1" showDropDown="0" showInputMessage="1" showErrorMessage="1" errorTitle="" error="" promptTitle="" prompt="" sqref="H57:H57">
      <x:formula1>'MasterData'!$B$1:$B$14</x:formula1>
      <x:formula2/>
    </x:dataValidation>
    <x:dataValidation type="list" errorStyle="stop" operator="between" allowBlank="1" showDropDown="0" showInputMessage="1" showErrorMessage="1" errorTitle="" error="" promptTitle="" prompt="" sqref="I57:I57">
      <x:formula1>'MasterData'!$E$361:$E$370</x:formula1>
      <x:formula2/>
    </x:dataValidation>
    <x:dataValidation type="decimal" errorStyle="stop" operator="greaterThanOrEqual" allowBlank="1" showDropDown="0" showInputMessage="1" showErrorMessage="1" errorTitle="" error="" promptTitle="" prompt="" sqref="K57:K57">
      <x:formula1>0</x:formula1>
      <x:formula2/>
    </x:dataValidation>
    <x:dataValidation type="decimal" errorStyle="stop" operator="between" allowBlank="1" showDropDown="0" showInputMessage="1" showErrorMessage="1" errorTitle="" error="" promptTitle="" prompt="" sqref="N57:N57">
      <x:formula1>0</x:formula1>
      <x:formula2>100</x:formula2>
    </x:dataValidation>
    <x:dataValidation type="decimal" errorStyle="stop" operator="between" allowBlank="1" showDropDown="0" showInputMessage="1" showErrorMessage="1" errorTitle="" error="" promptTitle="" prompt="" sqref="O57:O57">
      <x:formula1>0</x:formula1>
      <x:formula2>100</x:formula2>
    </x:dataValidation>
    <x:dataValidation type="list" errorStyle="stop" operator="between" allowBlank="1" showDropDown="0" showInputMessage="1" showErrorMessage="1" errorTitle="" error="" promptTitle="" prompt="" sqref="H58:H58">
      <x:formula1>'MasterData'!$B$1:$B$14</x:formula1>
      <x:formula2/>
    </x:dataValidation>
    <x:dataValidation type="list" errorStyle="stop" operator="between" allowBlank="1" showDropDown="0" showInputMessage="1" showErrorMessage="1" errorTitle="" error="" promptTitle="" prompt="" sqref="I58:I58">
      <x:formula1>'MasterData'!$E$371:$E$380</x:formula1>
      <x:formula2/>
    </x:dataValidation>
    <x:dataValidation type="decimal" errorStyle="stop" operator="greaterThanOrEqual" allowBlank="1" showDropDown="0" showInputMessage="1" showErrorMessage="1" errorTitle="" error="" promptTitle="" prompt="" sqref="K58:K58">
      <x:formula1>0</x:formula1>
      <x:formula2/>
    </x:dataValidation>
    <x:dataValidation type="decimal" errorStyle="stop" operator="between" allowBlank="1" showDropDown="0" showInputMessage="1" showErrorMessage="1" errorTitle="" error="" promptTitle="" prompt="" sqref="N58:N58">
      <x:formula1>0</x:formula1>
      <x:formula2>100</x:formula2>
    </x:dataValidation>
    <x:dataValidation type="decimal" errorStyle="stop" operator="between" allowBlank="1" showDropDown="0" showInputMessage="1" showErrorMessage="1" errorTitle="" error="" promptTitle="" prompt="" sqref="O58:O58">
      <x:formula1>0</x:formula1>
      <x:formula2>100</x:formula2>
    </x:dataValidation>
    <x:dataValidation type="list" errorStyle="stop" operator="between" allowBlank="1" showDropDown="0" showInputMessage="1" showErrorMessage="1" errorTitle="" error="" promptTitle="" prompt="" sqref="H59:H59">
      <x:formula1>'MasterData'!$B$1:$B$14</x:formula1>
      <x:formula2/>
    </x:dataValidation>
    <x:dataValidation type="list" errorStyle="stop" operator="between" allowBlank="1" showDropDown="0" showInputMessage="1" showErrorMessage="1" errorTitle="" error="" promptTitle="" prompt="" sqref="I59:I59">
      <x:formula1>'MasterData'!$E$381:$E$390</x:formula1>
      <x:formula2/>
    </x:dataValidation>
    <x:dataValidation type="decimal" errorStyle="stop" operator="greaterThanOrEqual" allowBlank="1" showDropDown="0" showInputMessage="1" showErrorMessage="1" errorTitle="" error="" promptTitle="" prompt="" sqref="K59:K59">
      <x:formula1>0</x:formula1>
      <x:formula2/>
    </x:dataValidation>
    <x:dataValidation type="decimal" errorStyle="stop" operator="between" allowBlank="1" showDropDown="0" showInputMessage="1" showErrorMessage="1" errorTitle="" error="" promptTitle="" prompt="" sqref="N59:N59">
      <x:formula1>0</x:formula1>
      <x:formula2>100</x:formula2>
    </x:dataValidation>
    <x:dataValidation type="decimal" errorStyle="stop" operator="between" allowBlank="1" showDropDown="0" showInputMessage="1" showErrorMessage="1" errorTitle="" error="" promptTitle="" prompt="" sqref="O59:O59">
      <x:formula1>0</x:formula1>
      <x:formula2>100</x:formula2>
    </x:dataValidation>
    <x:dataValidation type="list" errorStyle="stop" operator="between" allowBlank="1" showDropDown="0" showInputMessage="1" showErrorMessage="1" errorTitle="" error="" promptTitle="" prompt="" sqref="H60:H60">
      <x:formula1>'MasterData'!$B$1:$B$14</x:formula1>
      <x:formula2/>
    </x:dataValidation>
    <x:dataValidation type="list" errorStyle="stop" operator="between" allowBlank="1" showDropDown="0" showInputMessage="1" showErrorMessage="1" errorTitle="" error="" promptTitle="" prompt="" sqref="I60:I60">
      <x:formula1>'MasterData'!$E$391:$E$400</x:formula1>
      <x:formula2/>
    </x:dataValidation>
    <x:dataValidation type="decimal" errorStyle="stop" operator="greaterThanOrEqual" allowBlank="1" showDropDown="0" showInputMessage="1" showErrorMessage="1" errorTitle="" error="" promptTitle="" prompt="" sqref="K60:K60">
      <x:formula1>0</x:formula1>
      <x:formula2/>
    </x:dataValidation>
    <x:dataValidation type="decimal" errorStyle="stop" operator="between" allowBlank="1" showDropDown="0" showInputMessage="1" showErrorMessage="1" errorTitle="" error="" promptTitle="" prompt="" sqref="N60:N60">
      <x:formula1>0</x:formula1>
      <x:formula2>100</x:formula2>
    </x:dataValidation>
    <x:dataValidation type="decimal" errorStyle="stop" operator="between" allowBlank="1" showDropDown="0" showInputMessage="1" showErrorMessage="1" errorTitle="" error="" promptTitle="" prompt="" sqref="O60:O60">
      <x:formula1>0</x:formula1>
      <x:formula2>100</x:formula2>
    </x:dataValidation>
    <x:dataValidation type="list" errorStyle="stop" operator="between" allowBlank="1" showDropDown="0" showInputMessage="1" showErrorMessage="1" errorTitle="" error="" promptTitle="" prompt="" sqref="H61:H61">
      <x:formula1>'MasterData'!$B$1:$B$14</x:formula1>
      <x:formula2/>
    </x:dataValidation>
    <x:dataValidation type="list" errorStyle="stop" operator="between" allowBlank="1" showDropDown="0" showInputMessage="1" showErrorMessage="1" errorTitle="" error="" promptTitle="" prompt="" sqref="I61:I61">
      <x:formula1>'MasterData'!$E$401:$E$410</x:formula1>
      <x:formula2/>
    </x:dataValidation>
    <x:dataValidation type="decimal" errorStyle="stop" operator="greaterThanOrEqual" allowBlank="1" showDropDown="0" showInputMessage="1" showErrorMessage="1" errorTitle="" error="" promptTitle="" prompt="" sqref="K61:K61">
      <x:formula1>0</x:formula1>
      <x:formula2/>
    </x:dataValidation>
    <x:dataValidation type="decimal" errorStyle="stop" operator="between" allowBlank="1" showDropDown="0" showInputMessage="1" showErrorMessage="1" errorTitle="" error="" promptTitle="" prompt="" sqref="N61:N61">
      <x:formula1>0</x:formula1>
      <x:formula2>100</x:formula2>
    </x:dataValidation>
    <x:dataValidation type="decimal" errorStyle="stop" operator="between" allowBlank="1" showDropDown="0" showInputMessage="1" showErrorMessage="1" errorTitle="" error="" promptTitle="" prompt="" sqref="O61:O61">
      <x:formula1>0</x:formula1>
      <x:formula2>100</x:formula2>
    </x:dataValidation>
    <x:dataValidation type="list" errorStyle="stop" operator="between" allowBlank="1" showDropDown="0" showInputMessage="1" showErrorMessage="1" errorTitle="" error="" promptTitle="" prompt="" sqref="H62:H62">
      <x:formula1>'MasterData'!$B$1:$B$14</x:formula1>
      <x:formula2/>
    </x:dataValidation>
    <x:dataValidation type="list" errorStyle="stop" operator="between" allowBlank="1" showDropDown="0" showInputMessage="1" showErrorMessage="1" errorTitle="" error="" promptTitle="" prompt="" sqref="I62:I62">
      <x:formula1>'MasterData'!$E$411:$E$420</x:formula1>
      <x:formula2/>
    </x:dataValidation>
    <x:dataValidation type="decimal" errorStyle="stop" operator="greaterThanOrEqual" allowBlank="1" showDropDown="0" showInputMessage="1" showErrorMessage="1" errorTitle="" error="" promptTitle="" prompt="" sqref="K62:K62">
      <x:formula1>0</x:formula1>
      <x:formula2/>
    </x:dataValidation>
    <x:dataValidation type="decimal" errorStyle="stop" operator="between" allowBlank="1" showDropDown="0" showInputMessage="1" showErrorMessage="1" errorTitle="" error="" promptTitle="" prompt="" sqref="N62:N62">
      <x:formula1>0</x:formula1>
      <x:formula2>100</x:formula2>
    </x:dataValidation>
    <x:dataValidation type="decimal" errorStyle="stop" operator="between" allowBlank="1" showDropDown="0" showInputMessage="1" showErrorMessage="1" errorTitle="" error="" promptTitle="" prompt="" sqref="O62:O62">
      <x:formula1>0</x:formula1>
      <x:formula2>100</x:formula2>
    </x:dataValidation>
    <x:dataValidation type="list" errorStyle="stop" operator="between" allowBlank="1" showDropDown="0" showInputMessage="1" showErrorMessage="1" errorTitle="" error="" promptTitle="" prompt="" sqref="H63:H63">
      <x:formula1>'MasterData'!$B$1:$B$14</x:formula1>
      <x:formula2/>
    </x:dataValidation>
    <x:dataValidation type="list" errorStyle="stop" operator="between" allowBlank="1" showDropDown="0" showInputMessage="1" showErrorMessage="1" errorTitle="" error="" promptTitle="" prompt="" sqref="I63:I63">
      <x:formula1>'MasterData'!$E$421:$E$430</x:formula1>
      <x:formula2/>
    </x:dataValidation>
    <x:dataValidation type="decimal" errorStyle="stop" operator="greaterThanOrEqual" allowBlank="1" showDropDown="0" showInputMessage="1" showErrorMessage="1" errorTitle="" error="" promptTitle="" prompt="" sqref="K63:K63">
      <x:formula1>0</x:formula1>
      <x:formula2/>
    </x:dataValidation>
    <x:dataValidation type="decimal" errorStyle="stop" operator="between" allowBlank="1" showDropDown="0" showInputMessage="1" showErrorMessage="1" errorTitle="" error="" promptTitle="" prompt="" sqref="N63:N63">
      <x:formula1>0</x:formula1>
      <x:formula2>100</x:formula2>
    </x:dataValidation>
    <x:dataValidation type="decimal" errorStyle="stop" operator="between" allowBlank="1" showDropDown="0" showInputMessage="1" showErrorMessage="1" errorTitle="" error="" promptTitle="" prompt="" sqref="O63:O63">
      <x:formula1>0</x:formula1>
      <x:formula2>100</x:formula2>
    </x:dataValidation>
    <x:dataValidation type="list" errorStyle="stop" operator="between" allowBlank="1" showDropDown="0" showInputMessage="1" showErrorMessage="1" errorTitle="" error="" promptTitle="" prompt="" sqref="H64:H64">
      <x:formula1>'MasterData'!$B$1:$B$14</x:formula1>
      <x:formula2/>
    </x:dataValidation>
    <x:dataValidation type="list" errorStyle="stop" operator="between" allowBlank="1" showDropDown="0" showInputMessage="1" showErrorMessage="1" errorTitle="" error="" promptTitle="" prompt="" sqref="I64:I64">
      <x:formula1>'MasterData'!$E$431:$E$440</x:formula1>
      <x:formula2/>
    </x:dataValidation>
    <x:dataValidation type="decimal" errorStyle="stop" operator="greaterThanOrEqual" allowBlank="1" showDropDown="0" showInputMessage="1" showErrorMessage="1" errorTitle="" error="" promptTitle="" prompt="" sqref="K64:K64">
      <x:formula1>0</x:formula1>
      <x:formula2/>
    </x:dataValidation>
    <x:dataValidation type="decimal" errorStyle="stop" operator="between" allowBlank="1" showDropDown="0" showInputMessage="1" showErrorMessage="1" errorTitle="" error="" promptTitle="" prompt="" sqref="N64:N64">
      <x:formula1>0</x:formula1>
      <x:formula2>100</x:formula2>
    </x:dataValidation>
    <x:dataValidation type="decimal" errorStyle="stop" operator="between" allowBlank="1" showDropDown="0" showInputMessage="1" showErrorMessage="1" errorTitle="" error="" promptTitle="" prompt="" sqref="O64:O64">
      <x:formula1>0</x:formula1>
      <x:formula2>100</x:formula2>
    </x:dataValidation>
    <x:dataValidation type="list" errorStyle="stop" operator="between" allowBlank="1" showDropDown="0" showInputMessage="1" showErrorMessage="1" errorTitle="" error="" promptTitle="" prompt="" sqref="H65:H65">
      <x:formula1>'MasterData'!$B$1:$B$14</x:formula1>
      <x:formula2/>
    </x:dataValidation>
    <x:dataValidation type="list" errorStyle="stop" operator="between" allowBlank="1" showDropDown="0" showInputMessage="1" showErrorMessage="1" errorTitle="" error="" promptTitle="" prompt="" sqref="I65:I65">
      <x:formula1>'MasterData'!$E$441:$E$450</x:formula1>
      <x:formula2/>
    </x:dataValidation>
    <x:dataValidation type="decimal" errorStyle="stop" operator="greaterThanOrEqual" allowBlank="1" showDropDown="0" showInputMessage="1" showErrorMessage="1" errorTitle="" error="" promptTitle="" prompt="" sqref="K65:K65">
      <x:formula1>0</x:formula1>
      <x:formula2/>
    </x:dataValidation>
    <x:dataValidation type="decimal" errorStyle="stop" operator="between" allowBlank="1" showDropDown="0" showInputMessage="1" showErrorMessage="1" errorTitle="" error="" promptTitle="" prompt="" sqref="N65:N65">
      <x:formula1>0</x:formula1>
      <x:formula2>100</x:formula2>
    </x:dataValidation>
    <x:dataValidation type="decimal" errorStyle="stop" operator="between" allowBlank="1" showDropDown="0" showInputMessage="1" showErrorMessage="1" errorTitle="" error="" promptTitle="" prompt="" sqref="O65:O65">
      <x:formula1>0</x:formula1>
      <x:formula2>100</x:formula2>
    </x:dataValidation>
    <x:dataValidation type="list" errorStyle="stop" operator="between" allowBlank="1" showDropDown="0" showInputMessage="1" showErrorMessage="1" errorTitle="" error="" promptTitle="" prompt="" sqref="H66:H66">
      <x:formula1>'MasterData'!$B$1:$B$14</x:formula1>
      <x:formula2/>
    </x:dataValidation>
    <x:dataValidation type="list" errorStyle="stop" operator="between" allowBlank="1" showDropDown="0" showInputMessage="1" showErrorMessage="1" errorTitle="" error="" promptTitle="" prompt="" sqref="I66:I66">
      <x:formula1>'MasterData'!$E$451:$E$460</x:formula1>
      <x:formula2/>
    </x:dataValidation>
    <x:dataValidation type="decimal" errorStyle="stop" operator="greaterThanOrEqual" allowBlank="1" showDropDown="0" showInputMessage="1" showErrorMessage="1" errorTitle="" error="" promptTitle="" prompt="" sqref="K66:K66">
      <x:formula1>0</x:formula1>
      <x:formula2/>
    </x:dataValidation>
    <x:dataValidation type="decimal" errorStyle="stop" operator="between" allowBlank="1" showDropDown="0" showInputMessage="1" showErrorMessage="1" errorTitle="" error="" promptTitle="" prompt="" sqref="N66:N66">
      <x:formula1>0</x:formula1>
      <x:formula2>100</x:formula2>
    </x:dataValidation>
    <x:dataValidation type="decimal" errorStyle="stop" operator="between" allowBlank="1" showDropDown="0" showInputMessage="1" showErrorMessage="1" errorTitle="" error="" promptTitle="" prompt="" sqref="O66:O66">
      <x:formula1>0</x:formula1>
      <x:formula2>100</x:formula2>
    </x:dataValidation>
    <x:dataValidation type="list" errorStyle="stop" operator="between" allowBlank="1" showDropDown="0" showInputMessage="1" showErrorMessage="1" errorTitle="" error="" promptTitle="" prompt="" sqref="H67:H67">
      <x:formula1>'MasterData'!$B$1:$B$14</x:formula1>
      <x:formula2/>
    </x:dataValidation>
    <x:dataValidation type="list" errorStyle="stop" operator="between" allowBlank="1" showDropDown="0" showInputMessage="1" showErrorMessage="1" errorTitle="" error="" promptTitle="" prompt="" sqref="I67:I67">
      <x:formula1>'MasterData'!$E$461:$E$470</x:formula1>
      <x:formula2/>
    </x:dataValidation>
    <x:dataValidation type="decimal" errorStyle="stop" operator="greaterThanOrEqual" allowBlank="1" showDropDown="0" showInputMessage="1" showErrorMessage="1" errorTitle="" error="" promptTitle="" prompt="" sqref="K67:K67">
      <x:formula1>0</x:formula1>
      <x:formula2/>
    </x:dataValidation>
    <x:dataValidation type="decimal" errorStyle="stop" operator="between" allowBlank="1" showDropDown="0" showInputMessage="1" showErrorMessage="1" errorTitle="" error="" promptTitle="" prompt="" sqref="N67:N67">
      <x:formula1>0</x:formula1>
      <x:formula2>100</x:formula2>
    </x:dataValidation>
    <x:dataValidation type="decimal" errorStyle="stop" operator="between" allowBlank="1" showDropDown="0" showInputMessage="1" showErrorMessage="1" errorTitle="" error="" promptTitle="" prompt="" sqref="O67:O67">
      <x:formula1>0</x:formula1>
      <x:formula2>100</x:formula2>
    </x:dataValidation>
    <x:dataValidation type="list" errorStyle="stop" operator="between" allowBlank="1" showDropDown="0" showInputMessage="1" showErrorMessage="1" errorTitle="" error="" promptTitle="" prompt="" sqref="H68:H68">
      <x:formula1>'MasterData'!$B$1:$B$14</x:formula1>
      <x:formula2/>
    </x:dataValidation>
    <x:dataValidation type="list" errorStyle="stop" operator="between" allowBlank="1" showDropDown="0" showInputMessage="1" showErrorMessage="1" errorTitle="" error="" promptTitle="" prompt="" sqref="I68:I68">
      <x:formula1>'MasterData'!$E$471:$E$480</x:formula1>
      <x:formula2/>
    </x:dataValidation>
    <x:dataValidation type="decimal" errorStyle="stop" operator="greaterThanOrEqual" allowBlank="1" showDropDown="0" showInputMessage="1" showErrorMessage="1" errorTitle="" error="" promptTitle="" prompt="" sqref="K68:K68">
      <x:formula1>0</x:formula1>
      <x:formula2/>
    </x:dataValidation>
    <x:dataValidation type="decimal" errorStyle="stop" operator="between" allowBlank="1" showDropDown="0" showInputMessage="1" showErrorMessage="1" errorTitle="" error="" promptTitle="" prompt="" sqref="N68:N68">
      <x:formula1>0</x:formula1>
      <x:formula2>100</x:formula2>
    </x:dataValidation>
    <x:dataValidation type="decimal" errorStyle="stop" operator="between" allowBlank="1" showDropDown="0" showInputMessage="1" showErrorMessage="1" errorTitle="" error="" promptTitle="" prompt="" sqref="O68:O68">
      <x:formula1>0</x:formula1>
      <x:formula2>100</x:formula2>
    </x:dataValidation>
    <x:dataValidation type="list" errorStyle="stop" operator="between" allowBlank="1" showDropDown="0" showInputMessage="1" showErrorMessage="1" errorTitle="" error="" promptTitle="" prompt="" sqref="H69:H69">
      <x:formula1>'MasterData'!$B$1:$B$14</x:formula1>
      <x:formula2/>
    </x:dataValidation>
    <x:dataValidation type="list" errorStyle="stop" operator="between" allowBlank="1" showDropDown="0" showInputMessage="1" showErrorMessage="1" errorTitle="" error="" promptTitle="" prompt="" sqref="I69:I69">
      <x:formula1>'MasterData'!$E$481:$E$490</x:formula1>
      <x:formula2/>
    </x:dataValidation>
    <x:dataValidation type="decimal" errorStyle="stop" operator="greaterThanOrEqual" allowBlank="1" showDropDown="0" showInputMessage="1" showErrorMessage="1" errorTitle="" error="" promptTitle="" prompt="" sqref="K69:K69">
      <x:formula1>0</x:formula1>
      <x:formula2/>
    </x:dataValidation>
    <x:dataValidation type="decimal" errorStyle="stop" operator="between" allowBlank="1" showDropDown="0" showInputMessage="1" showErrorMessage="1" errorTitle="" error="" promptTitle="" prompt="" sqref="N69:N69">
      <x:formula1>0</x:formula1>
      <x:formula2>100</x:formula2>
    </x:dataValidation>
    <x:dataValidation type="decimal" errorStyle="stop" operator="between" allowBlank="1" showDropDown="0" showInputMessage="1" showErrorMessage="1" errorTitle="" error="" promptTitle="" prompt="" sqref="O69:O69">
      <x:formula1>0</x:formula1>
      <x:formula2>100</x:formula2>
    </x:dataValidation>
    <x:dataValidation type="list" errorStyle="stop" operator="between" allowBlank="1" showDropDown="0" showInputMessage="1" showErrorMessage="1" errorTitle="" error="" promptTitle="" prompt="" sqref="H70:H70">
      <x:formula1>'MasterData'!$B$1:$B$14</x:formula1>
      <x:formula2/>
    </x:dataValidation>
    <x:dataValidation type="list" errorStyle="stop" operator="between" allowBlank="1" showDropDown="0" showInputMessage="1" showErrorMessage="1" errorTitle="" error="" promptTitle="" prompt="" sqref="I70:I70">
      <x:formula1>'MasterData'!$E$491:$E$500</x:formula1>
      <x:formula2/>
    </x:dataValidation>
    <x:dataValidation type="decimal" errorStyle="stop" operator="greaterThanOrEqual" allowBlank="1" showDropDown="0" showInputMessage="1" showErrorMessage="1" errorTitle="" error="" promptTitle="" prompt="" sqref="K70:K70">
      <x:formula1>0</x:formula1>
      <x:formula2/>
    </x:dataValidation>
    <x:dataValidation type="decimal" errorStyle="stop" operator="between" allowBlank="1" showDropDown="0" showInputMessage="1" showErrorMessage="1" errorTitle="" error="" promptTitle="" prompt="" sqref="N70:N70">
      <x:formula1>0</x:formula1>
      <x:formula2>100</x:formula2>
    </x:dataValidation>
    <x:dataValidation type="decimal" errorStyle="stop" operator="between" allowBlank="1" showDropDown="0" showInputMessage="1" showErrorMessage="1" errorTitle="" error="" promptTitle="" prompt="" sqref="O70:O70">
      <x:formula1>0</x:formula1>
      <x:formula2>100</x:formula2>
    </x:dataValidation>
    <x:dataValidation type="list" errorStyle="stop" operator="between" allowBlank="1" showDropDown="0" showInputMessage="1" showErrorMessage="1" errorTitle="" error="" promptTitle="" prompt="" sqref="H71:H71">
      <x:formula1>'MasterData'!$B$1:$B$14</x:formula1>
      <x:formula2/>
    </x:dataValidation>
    <x:dataValidation type="list" errorStyle="stop" operator="between" allowBlank="1" showDropDown="0" showInputMessage="1" showErrorMessage="1" errorTitle="" error="" promptTitle="" prompt="" sqref="I71:I71">
      <x:formula1>'MasterData'!$E$501:$E$510</x:formula1>
      <x:formula2/>
    </x:dataValidation>
    <x:dataValidation type="decimal" errorStyle="stop" operator="greaterThanOrEqual" allowBlank="1" showDropDown="0" showInputMessage="1" showErrorMessage="1" errorTitle="" error="" promptTitle="" prompt="" sqref="K71:K71">
      <x:formula1>0</x:formula1>
      <x:formula2/>
    </x:dataValidation>
    <x:dataValidation type="decimal" errorStyle="stop" operator="between" allowBlank="1" showDropDown="0" showInputMessage="1" showErrorMessage="1" errorTitle="" error="" promptTitle="" prompt="" sqref="N71:N71">
      <x:formula1>0</x:formula1>
      <x:formula2>100</x:formula2>
    </x:dataValidation>
    <x:dataValidation type="decimal" errorStyle="stop" operator="between" allowBlank="1" showDropDown="0" showInputMessage="1" showErrorMessage="1" errorTitle="" error="" promptTitle="" prompt="" sqref="O71:O71">
      <x:formula1>0</x:formula1>
      <x:formula2>100</x:formula2>
    </x:dataValidation>
    <x:dataValidation type="list" errorStyle="stop" operator="between" allowBlank="1" showDropDown="0" showInputMessage="1" showErrorMessage="1" errorTitle="" error="" promptTitle="" prompt="" sqref="H72:H72">
      <x:formula1>'MasterData'!$B$1:$B$14</x:formula1>
      <x:formula2/>
    </x:dataValidation>
    <x:dataValidation type="list" errorStyle="stop" operator="between" allowBlank="1" showDropDown="0" showInputMessage="1" showErrorMessage="1" errorTitle="" error="" promptTitle="" prompt="" sqref="I72:I72">
      <x:formula1>'MasterData'!$E$511:$E$520</x:formula1>
      <x:formula2/>
    </x:dataValidation>
    <x:dataValidation type="decimal" errorStyle="stop" operator="greaterThanOrEqual" allowBlank="1" showDropDown="0" showInputMessage="1" showErrorMessage="1" errorTitle="" error="" promptTitle="" prompt="" sqref="K72:K72">
      <x:formula1>0</x:formula1>
      <x:formula2/>
    </x:dataValidation>
    <x:dataValidation type="decimal" errorStyle="stop" operator="between" allowBlank="1" showDropDown="0" showInputMessage="1" showErrorMessage="1" errorTitle="" error="" promptTitle="" prompt="" sqref="N72:N72">
      <x:formula1>0</x:formula1>
      <x:formula2>100</x:formula2>
    </x:dataValidation>
    <x:dataValidation type="decimal" errorStyle="stop" operator="between" allowBlank="1" showDropDown="0" showInputMessage="1" showErrorMessage="1" errorTitle="" error="" promptTitle="" prompt="" sqref="O72:O72">
      <x:formula1>0</x:formula1>
      <x:formula2>100</x:formula2>
    </x:dataValidation>
    <x:dataValidation type="list" errorStyle="stop" operator="between" allowBlank="1" showDropDown="0" showInputMessage="1" showErrorMessage="1" errorTitle="" error="" promptTitle="" prompt="" sqref="H73:H73">
      <x:formula1>'MasterData'!$B$1:$B$14</x:formula1>
      <x:formula2/>
    </x:dataValidation>
    <x:dataValidation type="list" errorStyle="stop" operator="between" allowBlank="1" showDropDown="0" showInputMessage="1" showErrorMessage="1" errorTitle="" error="" promptTitle="" prompt="" sqref="I73:I73">
      <x:formula1>'MasterData'!$E$521:$E$530</x:formula1>
      <x:formula2/>
    </x:dataValidation>
    <x:dataValidation type="decimal" errorStyle="stop" operator="greaterThanOrEqual" allowBlank="1" showDropDown="0" showInputMessage="1" showErrorMessage="1" errorTitle="" error="" promptTitle="" prompt="" sqref="K73:K73">
      <x:formula1>0</x:formula1>
      <x:formula2/>
    </x:dataValidation>
    <x:dataValidation type="decimal" errorStyle="stop" operator="between" allowBlank="1" showDropDown="0" showInputMessage="1" showErrorMessage="1" errorTitle="" error="" promptTitle="" prompt="" sqref="N73:N73">
      <x:formula1>0</x:formula1>
      <x:formula2>100</x:formula2>
    </x:dataValidation>
    <x:dataValidation type="decimal" errorStyle="stop" operator="between" allowBlank="1" showDropDown="0" showInputMessage="1" showErrorMessage="1" errorTitle="" error="" promptTitle="" prompt="" sqref="O73:O73">
      <x:formula1>0</x:formula1>
      <x:formula2>100</x:formula2>
    </x:dataValidation>
    <x:dataValidation type="list" errorStyle="stop" operator="between" allowBlank="1" showDropDown="0" showInputMessage="1" showErrorMessage="1" errorTitle="" error="" promptTitle="" prompt="" sqref="H74:H74">
      <x:formula1>'MasterData'!$B$1:$B$14</x:formula1>
      <x:formula2/>
    </x:dataValidation>
    <x:dataValidation type="list" errorStyle="stop" operator="between" allowBlank="1" showDropDown="0" showInputMessage="1" showErrorMessage="1" errorTitle="" error="" promptTitle="" prompt="" sqref="I74:I74">
      <x:formula1>'MasterData'!$E$531:$E$540</x:formula1>
      <x:formula2/>
    </x:dataValidation>
    <x:dataValidation type="decimal" errorStyle="stop" operator="greaterThanOrEqual" allowBlank="1" showDropDown="0" showInputMessage="1" showErrorMessage="1" errorTitle="" error="" promptTitle="" prompt="" sqref="K74:K74">
      <x:formula1>0</x:formula1>
      <x:formula2/>
    </x:dataValidation>
    <x:dataValidation type="decimal" errorStyle="stop" operator="between" allowBlank="1" showDropDown="0" showInputMessage="1" showErrorMessage="1" errorTitle="" error="" promptTitle="" prompt="" sqref="N74:N74">
      <x:formula1>0</x:formula1>
      <x:formula2>100</x:formula2>
    </x:dataValidation>
    <x:dataValidation type="decimal" errorStyle="stop" operator="between" allowBlank="1" showDropDown="0" showInputMessage="1" showErrorMessage="1" errorTitle="" error="" promptTitle="" prompt="" sqref="O74:O74">
      <x:formula1>0</x:formula1>
      <x:formula2>100</x:formula2>
    </x:dataValidation>
    <x:dataValidation type="list" errorStyle="stop" operator="between" allowBlank="1" showDropDown="0" showInputMessage="1" showErrorMessage="1" errorTitle="" error="" promptTitle="" prompt="" sqref="H75:H75">
      <x:formula1>'MasterData'!$B$1:$B$14</x:formula1>
      <x:formula2/>
    </x:dataValidation>
    <x:dataValidation type="list" errorStyle="stop" operator="between" allowBlank="1" showDropDown="0" showInputMessage="1" showErrorMessage="1" errorTitle="" error="" promptTitle="" prompt="" sqref="I75:I75">
      <x:formula1>'MasterData'!$E$541:$E$550</x:formula1>
      <x:formula2/>
    </x:dataValidation>
    <x:dataValidation type="decimal" errorStyle="stop" operator="greaterThanOrEqual" allowBlank="1" showDropDown="0" showInputMessage="1" showErrorMessage="1" errorTitle="" error="" promptTitle="" prompt="" sqref="K75:K75">
      <x:formula1>0</x:formula1>
      <x:formula2/>
    </x:dataValidation>
    <x:dataValidation type="decimal" errorStyle="stop" operator="between" allowBlank="1" showDropDown="0" showInputMessage="1" showErrorMessage="1" errorTitle="" error="" promptTitle="" prompt="" sqref="N75:N75">
      <x:formula1>0</x:formula1>
      <x:formula2>100</x:formula2>
    </x:dataValidation>
    <x:dataValidation type="decimal" errorStyle="stop" operator="between" allowBlank="1" showDropDown="0" showInputMessage="1" showErrorMessage="1" errorTitle="" error="" promptTitle="" prompt="" sqref="O75:O75">
      <x:formula1>0</x:formula1>
      <x:formula2>100</x:formula2>
    </x:dataValidation>
    <x:dataValidation type="list" errorStyle="stop" operator="between" allowBlank="1" showDropDown="0" showInputMessage="1" showErrorMessage="1" errorTitle="" error="" promptTitle="" prompt="" sqref="H76:H76">
      <x:formula1>'MasterData'!$B$1:$B$14</x:formula1>
      <x:formula2/>
    </x:dataValidation>
    <x:dataValidation type="list" errorStyle="stop" operator="between" allowBlank="1" showDropDown="0" showInputMessage="1" showErrorMessage="1" errorTitle="" error="" promptTitle="" prompt="" sqref="I76:I76">
      <x:formula1>'MasterData'!$E$551:$E$560</x:formula1>
      <x:formula2/>
    </x:dataValidation>
    <x:dataValidation type="decimal" errorStyle="stop" operator="greaterThanOrEqual" allowBlank="1" showDropDown="0" showInputMessage="1" showErrorMessage="1" errorTitle="" error="" promptTitle="" prompt="" sqref="K76:K76">
      <x:formula1>0</x:formula1>
      <x:formula2/>
    </x:dataValidation>
    <x:dataValidation type="decimal" errorStyle="stop" operator="between" allowBlank="1" showDropDown="0" showInputMessage="1" showErrorMessage="1" errorTitle="" error="" promptTitle="" prompt="" sqref="N76:N76">
      <x:formula1>0</x:formula1>
      <x:formula2>100</x:formula2>
    </x:dataValidation>
    <x:dataValidation type="decimal" errorStyle="stop" operator="between" allowBlank="1" showDropDown="0" showInputMessage="1" showErrorMessage="1" errorTitle="" error="" promptTitle="" prompt="" sqref="O76:O76">
      <x:formula1>0</x:formula1>
      <x:formula2>100</x:formula2>
    </x:dataValidation>
    <x:dataValidation type="list" errorStyle="stop" operator="between" allowBlank="1" showDropDown="0" showInputMessage="1" showErrorMessage="1" errorTitle="" error="" promptTitle="" prompt="" sqref="H77:H77">
      <x:formula1>'MasterData'!$B$1:$B$14</x:formula1>
      <x:formula2/>
    </x:dataValidation>
    <x:dataValidation type="list" errorStyle="stop" operator="between" allowBlank="1" showDropDown="0" showInputMessage="1" showErrorMessage="1" errorTitle="" error="" promptTitle="" prompt="" sqref="I77:I77">
      <x:formula1>'MasterData'!$E$561:$E$570</x:formula1>
      <x:formula2/>
    </x:dataValidation>
    <x:dataValidation type="decimal" errorStyle="stop" operator="greaterThanOrEqual" allowBlank="1" showDropDown="0" showInputMessage="1" showErrorMessage="1" errorTitle="" error="" promptTitle="" prompt="" sqref="K77:K77">
      <x:formula1>0</x:formula1>
      <x:formula2/>
    </x:dataValidation>
    <x:dataValidation type="decimal" errorStyle="stop" operator="between" allowBlank="1" showDropDown="0" showInputMessage="1" showErrorMessage="1" errorTitle="" error="" promptTitle="" prompt="" sqref="N77:N77">
      <x:formula1>0</x:formula1>
      <x:formula2>100</x:formula2>
    </x:dataValidation>
    <x:dataValidation type="decimal" errorStyle="stop" operator="between" allowBlank="1" showDropDown="0" showInputMessage="1" showErrorMessage="1" errorTitle="" error="" promptTitle="" prompt="" sqref="O77:O77">
      <x:formula1>0</x:formula1>
      <x:formula2>100</x:formula2>
    </x:dataValidation>
    <x:dataValidation type="list" errorStyle="stop" operator="between" allowBlank="1" showDropDown="0" showInputMessage="1" showErrorMessage="1" errorTitle="" error="" promptTitle="" prompt="" sqref="H78:H78">
      <x:formula1>'MasterData'!$B$1:$B$14</x:formula1>
      <x:formula2/>
    </x:dataValidation>
    <x:dataValidation type="list" errorStyle="stop" operator="between" allowBlank="1" showDropDown="0" showInputMessage="1" showErrorMessage="1" errorTitle="" error="" promptTitle="" prompt="" sqref="I78:I78">
      <x:formula1>'MasterData'!$E$571:$E$580</x:formula1>
      <x:formula2/>
    </x:dataValidation>
    <x:dataValidation type="decimal" errorStyle="stop" operator="greaterThanOrEqual" allowBlank="1" showDropDown="0" showInputMessage="1" showErrorMessage="1" errorTitle="" error="" promptTitle="" prompt="" sqref="K78:K78">
      <x:formula1>0</x:formula1>
      <x:formula2/>
    </x:dataValidation>
    <x:dataValidation type="decimal" errorStyle="stop" operator="between" allowBlank="1" showDropDown="0" showInputMessage="1" showErrorMessage="1" errorTitle="" error="" promptTitle="" prompt="" sqref="N78:N78">
      <x:formula1>0</x:formula1>
      <x:formula2>100</x:formula2>
    </x:dataValidation>
    <x:dataValidation type="decimal" errorStyle="stop" operator="between" allowBlank="1" showDropDown="0" showInputMessage="1" showErrorMessage="1" errorTitle="" error="" promptTitle="" prompt="" sqref="O78:O78">
      <x:formula1>0</x:formula1>
      <x:formula2>100</x:formula2>
    </x:dataValidation>
    <x:dataValidation type="list" errorStyle="stop" operator="between" allowBlank="1" showDropDown="0" showInputMessage="1" showErrorMessage="1" errorTitle="" error="" promptTitle="" prompt="" sqref="H79:H79">
      <x:formula1>'MasterData'!$B$1:$B$14</x:formula1>
      <x:formula2/>
    </x:dataValidation>
    <x:dataValidation type="list" errorStyle="stop" operator="between" allowBlank="1" showDropDown="0" showInputMessage="1" showErrorMessage="1" errorTitle="" error="" promptTitle="" prompt="" sqref="I79:I79">
      <x:formula1>'MasterData'!$E$581:$E$590</x:formula1>
      <x:formula2/>
    </x:dataValidation>
    <x:dataValidation type="decimal" errorStyle="stop" operator="greaterThanOrEqual" allowBlank="1" showDropDown="0" showInputMessage="1" showErrorMessage="1" errorTitle="" error="" promptTitle="" prompt="" sqref="K79:K79">
      <x:formula1>0</x:formula1>
      <x:formula2/>
    </x:dataValidation>
    <x:dataValidation type="decimal" errorStyle="stop" operator="between" allowBlank="1" showDropDown="0" showInputMessage="1" showErrorMessage="1" errorTitle="" error="" promptTitle="" prompt="" sqref="N79:N79">
      <x:formula1>0</x:formula1>
      <x:formula2>100</x:formula2>
    </x:dataValidation>
    <x:dataValidation type="decimal" errorStyle="stop" operator="between" allowBlank="1" showDropDown="0" showInputMessage="1" showErrorMessage="1" errorTitle="" error="" promptTitle="" prompt="" sqref="O79:O79">
      <x:formula1>0</x:formula1>
      <x:formula2>100</x:formula2>
    </x:dataValidation>
    <x:dataValidation type="list" errorStyle="stop" operator="between" allowBlank="1" showDropDown="0" showInputMessage="1" showErrorMessage="1" errorTitle="" error="" promptTitle="" prompt="" sqref="H80:H80">
      <x:formula1>'MasterData'!$B$1:$B$14</x:formula1>
      <x:formula2/>
    </x:dataValidation>
    <x:dataValidation type="list" errorStyle="stop" operator="between" allowBlank="1" showDropDown="0" showInputMessage="1" showErrorMessage="1" errorTitle="" error="" promptTitle="" prompt="" sqref="I80:I80">
      <x:formula1>'MasterData'!$E$591:$E$600</x:formula1>
      <x:formula2/>
    </x:dataValidation>
    <x:dataValidation type="decimal" errorStyle="stop" operator="greaterThanOrEqual" allowBlank="1" showDropDown="0" showInputMessage="1" showErrorMessage="1" errorTitle="" error="" promptTitle="" prompt="" sqref="K80:K80">
      <x:formula1>0</x:formula1>
      <x:formula2/>
    </x:dataValidation>
    <x:dataValidation type="decimal" errorStyle="stop" operator="between" allowBlank="1" showDropDown="0" showInputMessage="1" showErrorMessage="1" errorTitle="" error="" promptTitle="" prompt="" sqref="N80:N80">
      <x:formula1>0</x:formula1>
      <x:formula2>100</x:formula2>
    </x:dataValidation>
    <x:dataValidation type="decimal" errorStyle="stop" operator="between" allowBlank="1" showDropDown="0" showInputMessage="1" showErrorMessage="1" errorTitle="" error="" promptTitle="" prompt="" sqref="O80:O80">
      <x:formula1>0</x:formula1>
      <x:formula2>100</x:formula2>
    </x:dataValidation>
    <x:dataValidation type="list" errorStyle="stop" operator="between" allowBlank="1" showDropDown="0" showInputMessage="1" showErrorMessage="1" errorTitle="" error="" promptTitle="" prompt="" sqref="H81:H81">
      <x:formula1>'MasterData'!$B$1:$B$14</x:formula1>
      <x:formula2/>
    </x:dataValidation>
    <x:dataValidation type="list" errorStyle="stop" operator="between" allowBlank="1" showDropDown="0" showInputMessage="1" showErrorMessage="1" errorTitle="" error="" promptTitle="" prompt="" sqref="I81:I81">
      <x:formula1>'MasterData'!$E$601:$E$610</x:formula1>
      <x:formula2/>
    </x:dataValidation>
    <x:dataValidation type="decimal" errorStyle="stop" operator="greaterThanOrEqual" allowBlank="1" showDropDown="0" showInputMessage="1" showErrorMessage="1" errorTitle="" error="" promptTitle="" prompt="" sqref="K81:K81">
      <x:formula1>0</x:formula1>
      <x:formula2/>
    </x:dataValidation>
    <x:dataValidation type="decimal" errorStyle="stop" operator="between" allowBlank="1" showDropDown="0" showInputMessage="1" showErrorMessage="1" errorTitle="" error="" promptTitle="" prompt="" sqref="N81:N81">
      <x:formula1>0</x:formula1>
      <x:formula2>100</x:formula2>
    </x:dataValidation>
    <x:dataValidation type="decimal" errorStyle="stop" operator="between" allowBlank="1" showDropDown="0" showInputMessage="1" showErrorMessage="1" errorTitle="" error="" promptTitle="" prompt="" sqref="O81:O81">
      <x:formula1>0</x:formula1>
      <x:formula2>100</x:formula2>
    </x:dataValidation>
    <x:dataValidation type="list" errorStyle="stop" operator="between" allowBlank="1" showDropDown="0" showInputMessage="1" showErrorMessage="1" errorTitle="" error="" promptTitle="" prompt="" sqref="H82:H82">
      <x:formula1>'MasterData'!$B$1:$B$14</x:formula1>
      <x:formula2/>
    </x:dataValidation>
    <x:dataValidation type="list" errorStyle="stop" operator="between" allowBlank="1" showDropDown="0" showInputMessage="1" showErrorMessage="1" errorTitle="" error="" promptTitle="" prompt="" sqref="I82:I82">
      <x:formula1>'MasterData'!$E$611:$E$620</x:formula1>
      <x:formula2/>
    </x:dataValidation>
    <x:dataValidation type="decimal" errorStyle="stop" operator="greaterThanOrEqual" allowBlank="1" showDropDown="0" showInputMessage="1" showErrorMessage="1" errorTitle="" error="" promptTitle="" prompt="" sqref="K82:K82">
      <x:formula1>0</x:formula1>
      <x:formula2/>
    </x:dataValidation>
    <x:dataValidation type="decimal" errorStyle="stop" operator="between" allowBlank="1" showDropDown="0" showInputMessage="1" showErrorMessage="1" errorTitle="" error="" promptTitle="" prompt="" sqref="N82:N82">
      <x:formula1>0</x:formula1>
      <x:formula2>100</x:formula2>
    </x:dataValidation>
    <x:dataValidation type="decimal" errorStyle="stop" operator="between" allowBlank="1" showDropDown="0" showInputMessage="1" showErrorMessage="1" errorTitle="" error="" promptTitle="" prompt="" sqref="O82:O82">
      <x:formula1>0</x:formula1>
      <x:formula2>100</x:formula2>
    </x:dataValidation>
    <x:dataValidation type="list" errorStyle="stop" operator="between" allowBlank="1" showDropDown="0" showInputMessage="1" showErrorMessage="1" errorTitle="" error="" promptTitle="" prompt="" sqref="H83:H83">
      <x:formula1>'MasterData'!$B$1:$B$14</x:formula1>
      <x:formula2/>
    </x:dataValidation>
    <x:dataValidation type="list" errorStyle="stop" operator="between" allowBlank="1" showDropDown="0" showInputMessage="1" showErrorMessage="1" errorTitle="" error="" promptTitle="" prompt="" sqref="I83:I83">
      <x:formula1>'MasterData'!$E$621:$E$630</x:formula1>
      <x:formula2/>
    </x:dataValidation>
    <x:dataValidation type="decimal" errorStyle="stop" operator="greaterThanOrEqual" allowBlank="1" showDropDown="0" showInputMessage="1" showErrorMessage="1" errorTitle="" error="" promptTitle="" prompt="" sqref="K83:K83">
      <x:formula1>0</x:formula1>
      <x:formula2/>
    </x:dataValidation>
    <x:dataValidation type="decimal" errorStyle="stop" operator="between" allowBlank="1" showDropDown="0" showInputMessage="1" showErrorMessage="1" errorTitle="" error="" promptTitle="" prompt="" sqref="N83:N83">
      <x:formula1>0</x:formula1>
      <x:formula2>100</x:formula2>
    </x:dataValidation>
    <x:dataValidation type="decimal" errorStyle="stop" operator="between" allowBlank="1" showDropDown="0" showInputMessage="1" showErrorMessage="1" errorTitle="" error="" promptTitle="" prompt="" sqref="O83:O83">
      <x:formula1>0</x:formula1>
      <x:formula2>100</x:formula2>
    </x:dataValidation>
    <x:dataValidation type="list" errorStyle="stop" operator="between" allowBlank="1" showDropDown="0" showInputMessage="1" showErrorMessage="1" errorTitle="" error="" promptTitle="" prompt="" sqref="H84:H84">
      <x:formula1>'MasterData'!$B$1:$B$14</x:formula1>
      <x:formula2/>
    </x:dataValidation>
    <x:dataValidation type="list" errorStyle="stop" operator="between" allowBlank="1" showDropDown="0" showInputMessage="1" showErrorMessage="1" errorTitle="" error="" promptTitle="" prompt="" sqref="I84:I84">
      <x:formula1>'MasterData'!$E$631:$E$640</x:formula1>
      <x:formula2/>
    </x:dataValidation>
    <x:dataValidation type="decimal" errorStyle="stop" operator="greaterThanOrEqual" allowBlank="1" showDropDown="0" showInputMessage="1" showErrorMessage="1" errorTitle="" error="" promptTitle="" prompt="" sqref="K84:K84">
      <x:formula1>0</x:formula1>
      <x:formula2/>
    </x:dataValidation>
    <x:dataValidation type="decimal" errorStyle="stop" operator="between" allowBlank="1" showDropDown="0" showInputMessage="1" showErrorMessage="1" errorTitle="" error="" promptTitle="" prompt="" sqref="N84:N84">
      <x:formula1>0</x:formula1>
      <x:formula2>100</x:formula2>
    </x:dataValidation>
    <x:dataValidation type="decimal" errorStyle="stop" operator="between" allowBlank="1" showDropDown="0" showInputMessage="1" showErrorMessage="1" errorTitle="" error="" promptTitle="" prompt="" sqref="O84:O84">
      <x:formula1>0</x:formula1>
      <x:formula2>100</x:formula2>
    </x:dataValidation>
    <x:dataValidation type="list" errorStyle="stop" operator="between" allowBlank="1" showDropDown="0" showInputMessage="1" showErrorMessage="1" errorTitle="" error="" promptTitle="" prompt="" sqref="H85:H85">
      <x:formula1>'MasterData'!$B$1:$B$14</x:formula1>
      <x:formula2/>
    </x:dataValidation>
    <x:dataValidation type="list" errorStyle="stop" operator="between" allowBlank="1" showDropDown="0" showInputMessage="1" showErrorMessage="1" errorTitle="" error="" promptTitle="" prompt="" sqref="I85:I85">
      <x:formula1>'MasterData'!$E$641:$E$650</x:formula1>
      <x:formula2/>
    </x:dataValidation>
    <x:dataValidation type="decimal" errorStyle="stop" operator="greaterThanOrEqual" allowBlank="1" showDropDown="0" showInputMessage="1" showErrorMessage="1" errorTitle="" error="" promptTitle="" prompt="" sqref="K85:K85">
      <x:formula1>0</x:formula1>
      <x:formula2/>
    </x:dataValidation>
    <x:dataValidation type="decimal" errorStyle="stop" operator="between" allowBlank="1" showDropDown="0" showInputMessage="1" showErrorMessage="1" errorTitle="" error="" promptTitle="" prompt="" sqref="N85:N85">
      <x:formula1>0</x:formula1>
      <x:formula2>100</x:formula2>
    </x:dataValidation>
    <x:dataValidation type="decimal" errorStyle="stop" operator="between" allowBlank="1" showDropDown="0" showInputMessage="1" showErrorMessage="1" errorTitle="" error="" promptTitle="" prompt="" sqref="O85:O85">
      <x:formula1>0</x:formula1>
      <x:formula2>100</x:formula2>
    </x:dataValidation>
    <x:dataValidation type="list" errorStyle="stop" operator="between" allowBlank="1" showDropDown="0" showInputMessage="1" showErrorMessage="1" errorTitle="" error="" promptTitle="" prompt="" sqref="H86:H86">
      <x:formula1>'MasterData'!$B$1:$B$14</x:formula1>
      <x:formula2/>
    </x:dataValidation>
    <x:dataValidation type="list" errorStyle="stop" operator="between" allowBlank="1" showDropDown="0" showInputMessage="1" showErrorMessage="1" errorTitle="" error="" promptTitle="" prompt="" sqref="I86:I86">
      <x:formula1>'MasterData'!$E$651:$E$660</x:formula1>
      <x:formula2/>
    </x:dataValidation>
    <x:dataValidation type="decimal" errorStyle="stop" operator="greaterThanOrEqual" allowBlank="1" showDropDown="0" showInputMessage="1" showErrorMessage="1" errorTitle="" error="" promptTitle="" prompt="" sqref="K86:K86">
      <x:formula1>0</x:formula1>
      <x:formula2/>
    </x:dataValidation>
    <x:dataValidation type="decimal" errorStyle="stop" operator="between" allowBlank="1" showDropDown="0" showInputMessage="1" showErrorMessage="1" errorTitle="" error="" promptTitle="" prompt="" sqref="N86:N86">
      <x:formula1>0</x:formula1>
      <x:formula2>100</x:formula2>
    </x:dataValidation>
    <x:dataValidation type="decimal" errorStyle="stop" operator="between" allowBlank="1" showDropDown="0" showInputMessage="1" showErrorMessage="1" errorTitle="" error="" promptTitle="" prompt="" sqref="O86:O86">
      <x:formula1>0</x:formula1>
      <x:formula2>100</x:formula2>
    </x:dataValidation>
    <x:dataValidation type="list" errorStyle="stop" operator="between" allowBlank="1" showDropDown="0" showInputMessage="1" showErrorMessage="1" errorTitle="" error="" promptTitle="" prompt="" sqref="H87:H87">
      <x:formula1>'MasterData'!$B$1:$B$14</x:formula1>
      <x:formula2/>
    </x:dataValidation>
    <x:dataValidation type="list" errorStyle="stop" operator="between" allowBlank="1" showDropDown="0" showInputMessage="1" showErrorMessage="1" errorTitle="" error="" promptTitle="" prompt="" sqref="I87:I87">
      <x:formula1>'MasterData'!$E$661:$E$670</x:formula1>
      <x:formula2/>
    </x:dataValidation>
    <x:dataValidation type="decimal" errorStyle="stop" operator="greaterThanOrEqual" allowBlank="1" showDropDown="0" showInputMessage="1" showErrorMessage="1" errorTitle="" error="" promptTitle="" prompt="" sqref="K87:K87">
      <x:formula1>0</x:formula1>
      <x:formula2/>
    </x:dataValidation>
    <x:dataValidation type="decimal" errorStyle="stop" operator="between" allowBlank="1" showDropDown="0" showInputMessage="1" showErrorMessage="1" errorTitle="" error="" promptTitle="" prompt="" sqref="N87:N87">
      <x:formula1>0</x:formula1>
      <x:formula2>100</x:formula2>
    </x:dataValidation>
    <x:dataValidation type="decimal" errorStyle="stop" operator="between" allowBlank="1" showDropDown="0" showInputMessage="1" showErrorMessage="1" errorTitle="" error="" promptTitle="" prompt="" sqref="O87:O87">
      <x:formula1>0</x:formula1>
      <x:formula2>100</x:formula2>
    </x:dataValidation>
    <x:dataValidation type="list" errorStyle="stop" operator="between" allowBlank="1" showDropDown="0" showInputMessage="1" showErrorMessage="1" errorTitle="" error="" promptTitle="" prompt="" sqref="H88:H88">
      <x:formula1>'MasterData'!$B$1:$B$14</x:formula1>
      <x:formula2/>
    </x:dataValidation>
    <x:dataValidation type="list" errorStyle="stop" operator="between" allowBlank="1" showDropDown="0" showInputMessage="1" showErrorMessage="1" errorTitle="" error="" promptTitle="" prompt="" sqref="I88:I88">
      <x:formula1>'MasterData'!$E$671:$E$680</x:formula1>
      <x:formula2/>
    </x:dataValidation>
    <x:dataValidation type="decimal" errorStyle="stop" operator="greaterThanOrEqual" allowBlank="1" showDropDown="0" showInputMessage="1" showErrorMessage="1" errorTitle="" error="" promptTitle="" prompt="" sqref="K88:K88">
      <x:formula1>0</x:formula1>
      <x:formula2/>
    </x:dataValidation>
    <x:dataValidation type="decimal" errorStyle="stop" operator="between" allowBlank="1" showDropDown="0" showInputMessage="1" showErrorMessage="1" errorTitle="" error="" promptTitle="" prompt="" sqref="N88:N88">
      <x:formula1>0</x:formula1>
      <x:formula2>100</x:formula2>
    </x:dataValidation>
    <x:dataValidation type="decimal" errorStyle="stop" operator="between" allowBlank="1" showDropDown="0" showInputMessage="1" showErrorMessage="1" errorTitle="" error="" promptTitle="" prompt="" sqref="O88:O88">
      <x:formula1>0</x:formula1>
      <x:formula2>100</x:formula2>
    </x:dataValidation>
    <x:dataValidation type="list" errorStyle="stop" operator="between" allowBlank="1" showDropDown="0" showInputMessage="1" showErrorMessage="1" errorTitle="" error="" promptTitle="" prompt="" sqref="H89:H89">
      <x:formula1>'MasterData'!$B$1:$B$14</x:formula1>
      <x:formula2/>
    </x:dataValidation>
    <x:dataValidation type="list" errorStyle="stop" operator="between" allowBlank="1" showDropDown="0" showInputMessage="1" showErrorMessage="1" errorTitle="" error="" promptTitle="" prompt="" sqref="I89:I89">
      <x:formula1>'MasterData'!$E$681:$E$690</x:formula1>
      <x:formula2/>
    </x:dataValidation>
    <x:dataValidation type="decimal" errorStyle="stop" operator="greaterThanOrEqual" allowBlank="1" showDropDown="0" showInputMessage="1" showErrorMessage="1" errorTitle="" error="" promptTitle="" prompt="" sqref="K89:K89">
      <x:formula1>0</x:formula1>
      <x:formula2/>
    </x:dataValidation>
    <x:dataValidation type="decimal" errorStyle="stop" operator="between" allowBlank="1" showDropDown="0" showInputMessage="1" showErrorMessage="1" errorTitle="" error="" promptTitle="" prompt="" sqref="N89:N89">
      <x:formula1>0</x:formula1>
      <x:formula2>100</x:formula2>
    </x:dataValidation>
    <x:dataValidation type="decimal" errorStyle="stop" operator="between" allowBlank="1" showDropDown="0" showInputMessage="1" showErrorMessage="1" errorTitle="" error="" promptTitle="" prompt="" sqref="O89:O89">
      <x:formula1>0</x:formula1>
      <x:formula2>100</x:formula2>
    </x:dataValidation>
    <x:dataValidation type="list" errorStyle="stop" operator="between" allowBlank="1" showDropDown="0" showInputMessage="1" showErrorMessage="1" errorTitle="" error="" promptTitle="" prompt="" sqref="H90:H90">
      <x:formula1>'MasterData'!$B$1:$B$14</x:formula1>
      <x:formula2/>
    </x:dataValidation>
    <x:dataValidation type="list" errorStyle="stop" operator="between" allowBlank="1" showDropDown="0" showInputMessage="1" showErrorMessage="1" errorTitle="" error="" promptTitle="" prompt="" sqref="I90:I90">
      <x:formula1>'MasterData'!$E$691:$E$700</x:formula1>
      <x:formula2/>
    </x:dataValidation>
    <x:dataValidation type="decimal" errorStyle="stop" operator="greaterThanOrEqual" allowBlank="1" showDropDown="0" showInputMessage="1" showErrorMessage="1" errorTitle="" error="" promptTitle="" prompt="" sqref="K90:K90">
      <x:formula1>0</x:formula1>
      <x:formula2/>
    </x:dataValidation>
    <x:dataValidation type="decimal" errorStyle="stop" operator="between" allowBlank="1" showDropDown="0" showInputMessage="1" showErrorMessage="1" errorTitle="" error="" promptTitle="" prompt="" sqref="N90:N90">
      <x:formula1>0</x:formula1>
      <x:formula2>100</x:formula2>
    </x:dataValidation>
    <x:dataValidation type="decimal" errorStyle="stop" operator="between" allowBlank="1" showDropDown="0" showInputMessage="1" showErrorMessage="1" errorTitle="" error="" promptTitle="" prompt="" sqref="O90:O90">
      <x:formula1>0</x:formula1>
      <x:formula2>100</x:formula2>
    </x:dataValidation>
    <x:dataValidation type="list" errorStyle="stop" operator="between" allowBlank="1" showDropDown="0" showInputMessage="1" showErrorMessage="1" errorTitle="" error="" promptTitle="" prompt="" sqref="H91:H91">
      <x:formula1>'MasterData'!$B$1:$B$14</x:formula1>
      <x:formula2/>
    </x:dataValidation>
    <x:dataValidation type="list" errorStyle="stop" operator="between" allowBlank="1" showDropDown="0" showInputMessage="1" showErrorMessage="1" errorTitle="" error="" promptTitle="" prompt="" sqref="I91:I91">
      <x:formula1>'MasterData'!$E$701:$E$710</x:formula1>
      <x:formula2/>
    </x:dataValidation>
    <x:dataValidation type="decimal" errorStyle="stop" operator="greaterThanOrEqual" allowBlank="1" showDropDown="0" showInputMessage="1" showErrorMessage="1" errorTitle="" error="" promptTitle="" prompt="" sqref="K91:K91">
      <x:formula1>0</x:formula1>
      <x:formula2/>
    </x:dataValidation>
    <x:dataValidation type="decimal" errorStyle="stop" operator="between" allowBlank="1" showDropDown="0" showInputMessage="1" showErrorMessage="1" errorTitle="" error="" promptTitle="" prompt="" sqref="N91:N91">
      <x:formula1>0</x:formula1>
      <x:formula2>100</x:formula2>
    </x:dataValidation>
    <x:dataValidation type="decimal" errorStyle="stop" operator="between" allowBlank="1" showDropDown="0" showInputMessage="1" showErrorMessage="1" errorTitle="" error="" promptTitle="" prompt="" sqref="O91:O91">
      <x:formula1>0</x:formula1>
      <x:formula2>100</x:formula2>
    </x:dataValidation>
    <x:dataValidation type="list" errorStyle="stop" operator="between" allowBlank="1" showDropDown="0" showInputMessage="1" showErrorMessage="1" errorTitle="" error="" promptTitle="" prompt="" sqref="H92:H92">
      <x:formula1>'MasterData'!$B$1:$B$14</x:formula1>
      <x:formula2/>
    </x:dataValidation>
    <x:dataValidation type="list" errorStyle="stop" operator="between" allowBlank="1" showDropDown="0" showInputMessage="1" showErrorMessage="1" errorTitle="" error="" promptTitle="" prompt="" sqref="I92:I92">
      <x:formula1>'MasterData'!$E$711:$E$720</x:formula1>
      <x:formula2/>
    </x:dataValidation>
    <x:dataValidation type="decimal" errorStyle="stop" operator="greaterThanOrEqual" allowBlank="1" showDropDown="0" showInputMessage="1" showErrorMessage="1" errorTitle="" error="" promptTitle="" prompt="" sqref="K92:K92">
      <x:formula1>0</x:formula1>
      <x:formula2/>
    </x:dataValidation>
    <x:dataValidation type="decimal" errorStyle="stop" operator="between" allowBlank="1" showDropDown="0" showInputMessage="1" showErrorMessage="1" errorTitle="" error="" promptTitle="" prompt="" sqref="N92:N92">
      <x:formula1>0</x:formula1>
      <x:formula2>100</x:formula2>
    </x:dataValidation>
    <x:dataValidation type="decimal" errorStyle="stop" operator="between" allowBlank="1" showDropDown="0" showInputMessage="1" showErrorMessage="1" errorTitle="" error="" promptTitle="" prompt="" sqref="O92:O92">
      <x:formula1>0</x:formula1>
      <x:formula2>100</x:formula2>
    </x:dataValidation>
    <x:dataValidation type="list" errorStyle="stop" operator="between" allowBlank="1" showDropDown="0" showInputMessage="1" showErrorMessage="1" errorTitle="" error="" promptTitle="" prompt="" sqref="H93:H93">
      <x:formula1>'MasterData'!$B$1:$B$14</x:formula1>
      <x:formula2/>
    </x:dataValidation>
    <x:dataValidation type="list" errorStyle="stop" operator="between" allowBlank="1" showDropDown="0" showInputMessage="1" showErrorMessage="1" errorTitle="" error="" promptTitle="" prompt="" sqref="I93:I93">
      <x:formula1>'MasterData'!$E$721:$E$730</x:formula1>
      <x:formula2/>
    </x:dataValidation>
    <x:dataValidation type="decimal" errorStyle="stop" operator="greaterThanOrEqual" allowBlank="1" showDropDown="0" showInputMessage="1" showErrorMessage="1" errorTitle="" error="" promptTitle="" prompt="" sqref="K93:K93">
      <x:formula1>0</x:formula1>
      <x:formula2/>
    </x:dataValidation>
    <x:dataValidation type="decimal" errorStyle="stop" operator="between" allowBlank="1" showDropDown="0" showInputMessage="1" showErrorMessage="1" errorTitle="" error="" promptTitle="" prompt="" sqref="N93:N93">
      <x:formula1>0</x:formula1>
      <x:formula2>100</x:formula2>
    </x:dataValidation>
    <x:dataValidation type="decimal" errorStyle="stop" operator="between" allowBlank="1" showDropDown="0" showInputMessage="1" showErrorMessage="1" errorTitle="" error="" promptTitle="" prompt="" sqref="O93:O93">
      <x:formula1>0</x:formula1>
      <x:formula2>100</x:formula2>
    </x:dataValidation>
    <x:dataValidation type="list" errorStyle="stop" operator="between" allowBlank="1" showDropDown="0" showInputMessage="1" showErrorMessage="1" errorTitle="" error="" promptTitle="" prompt="" sqref="H94:H94">
      <x:formula1>'MasterData'!$B$1:$B$14</x:formula1>
      <x:formula2/>
    </x:dataValidation>
    <x:dataValidation type="list" errorStyle="stop" operator="between" allowBlank="1" showDropDown="0" showInputMessage="1" showErrorMessage="1" errorTitle="" error="" promptTitle="" prompt="" sqref="I94:I94">
      <x:formula1>'MasterData'!$E$731:$E$740</x:formula1>
      <x:formula2/>
    </x:dataValidation>
    <x:dataValidation type="decimal" errorStyle="stop" operator="greaterThanOrEqual" allowBlank="1" showDropDown="0" showInputMessage="1" showErrorMessage="1" errorTitle="" error="" promptTitle="" prompt="" sqref="K94:K94">
      <x:formula1>0</x:formula1>
      <x:formula2/>
    </x:dataValidation>
    <x:dataValidation type="decimal" errorStyle="stop" operator="between" allowBlank="1" showDropDown="0" showInputMessage="1" showErrorMessage="1" errorTitle="" error="" promptTitle="" prompt="" sqref="N94:N94">
      <x:formula1>0</x:formula1>
      <x:formula2>100</x:formula2>
    </x:dataValidation>
    <x:dataValidation type="decimal" errorStyle="stop" operator="between" allowBlank="1" showDropDown="0" showInputMessage="1" showErrorMessage="1" errorTitle="" error="" promptTitle="" prompt="" sqref="O94:O94">
      <x:formula1>0</x:formula1>
      <x:formula2>100</x:formula2>
    </x:dataValidation>
    <x:dataValidation type="list" errorStyle="stop" operator="between" allowBlank="1" showDropDown="0" showInputMessage="1" showErrorMessage="1" errorTitle="" error="" promptTitle="" prompt="" sqref="H95:H95">
      <x:formula1>'MasterData'!$B$1:$B$14</x:formula1>
      <x:formula2/>
    </x:dataValidation>
    <x:dataValidation type="list" errorStyle="stop" operator="between" allowBlank="1" showDropDown="0" showInputMessage="1" showErrorMessage="1" errorTitle="" error="" promptTitle="" prompt="" sqref="I95:I95">
      <x:formula1>'MasterData'!$E$741:$E$750</x:formula1>
      <x:formula2/>
    </x:dataValidation>
    <x:dataValidation type="decimal" errorStyle="stop" operator="greaterThanOrEqual" allowBlank="1" showDropDown="0" showInputMessage="1" showErrorMessage="1" errorTitle="" error="" promptTitle="" prompt="" sqref="K95:K95">
      <x:formula1>0</x:formula1>
      <x:formula2/>
    </x:dataValidation>
    <x:dataValidation type="decimal" errorStyle="stop" operator="between" allowBlank="1" showDropDown="0" showInputMessage="1" showErrorMessage="1" errorTitle="" error="" promptTitle="" prompt="" sqref="N95:N95">
      <x:formula1>0</x:formula1>
      <x:formula2>100</x:formula2>
    </x:dataValidation>
    <x:dataValidation type="decimal" errorStyle="stop" operator="between" allowBlank="1" showDropDown="0" showInputMessage="1" showErrorMessage="1" errorTitle="" error="" promptTitle="" prompt="" sqref="O95:O95">
      <x:formula1>0</x:formula1>
      <x:formula2>100</x:formula2>
    </x:dataValidation>
    <x:dataValidation type="list" errorStyle="stop" operator="between" allowBlank="1" showDropDown="0" showInputMessage="1" showErrorMessage="1" errorTitle="" error="" promptTitle="" prompt="" sqref="H96:H96">
      <x:formula1>'MasterData'!$B$1:$B$14</x:formula1>
      <x:formula2/>
    </x:dataValidation>
    <x:dataValidation type="list" errorStyle="stop" operator="between" allowBlank="1" showDropDown="0" showInputMessage="1" showErrorMessage="1" errorTitle="" error="" promptTitle="" prompt="" sqref="I96:I96">
      <x:formula1>'MasterData'!$E$751:$E$760</x:formula1>
      <x:formula2/>
    </x:dataValidation>
    <x:dataValidation type="decimal" errorStyle="stop" operator="greaterThanOrEqual" allowBlank="1" showDropDown="0" showInputMessage="1" showErrorMessage="1" errorTitle="" error="" promptTitle="" prompt="" sqref="K96:K96">
      <x:formula1>0</x:formula1>
      <x:formula2/>
    </x:dataValidation>
    <x:dataValidation type="decimal" errorStyle="stop" operator="between" allowBlank="1" showDropDown="0" showInputMessage="1" showErrorMessage="1" errorTitle="" error="" promptTitle="" prompt="" sqref="N96:N96">
      <x:formula1>0</x:formula1>
      <x:formula2>100</x:formula2>
    </x:dataValidation>
    <x:dataValidation type="decimal" errorStyle="stop" operator="between" allowBlank="1" showDropDown="0" showInputMessage="1" showErrorMessage="1" errorTitle="" error="" promptTitle="" prompt="" sqref="O96:O96">
      <x:formula1>0</x:formula1>
      <x:formula2>100</x:formula2>
    </x:dataValidation>
    <x:dataValidation type="list" errorStyle="stop" operator="between" allowBlank="1" showDropDown="0" showInputMessage="1" showErrorMessage="1" errorTitle="" error="" promptTitle="" prompt="" sqref="H97:H97">
      <x:formula1>'MasterData'!$B$1:$B$14</x:formula1>
      <x:formula2/>
    </x:dataValidation>
    <x:dataValidation type="list" errorStyle="stop" operator="between" allowBlank="1" showDropDown="0" showInputMessage="1" showErrorMessage="1" errorTitle="" error="" promptTitle="" prompt="" sqref="I97:I97">
      <x:formula1>'MasterData'!$E$761:$E$770</x:formula1>
      <x:formula2/>
    </x:dataValidation>
    <x:dataValidation type="decimal" errorStyle="stop" operator="greaterThanOrEqual" allowBlank="1" showDropDown="0" showInputMessage="1" showErrorMessage="1" errorTitle="" error="" promptTitle="" prompt="" sqref="K97:K97">
      <x:formula1>0</x:formula1>
      <x:formula2/>
    </x:dataValidation>
    <x:dataValidation type="decimal" errorStyle="stop" operator="between" allowBlank="1" showDropDown="0" showInputMessage="1" showErrorMessage="1" errorTitle="" error="" promptTitle="" prompt="" sqref="N97:N97">
      <x:formula1>0</x:formula1>
      <x:formula2>100</x:formula2>
    </x:dataValidation>
    <x:dataValidation type="decimal" errorStyle="stop" operator="between" allowBlank="1" showDropDown="0" showInputMessage="1" showErrorMessage="1" errorTitle="" error="" promptTitle="" prompt="" sqref="O97:O97">
      <x:formula1>0</x:formula1>
      <x:formula2>100</x:formula2>
    </x:dataValidation>
    <x:dataValidation type="list" errorStyle="stop" operator="between" allowBlank="1" showDropDown="0" showInputMessage="1" showErrorMessage="1" errorTitle="" error="" promptTitle="" prompt="" sqref="H98:H98">
      <x:formula1>'MasterData'!$B$1:$B$14</x:formula1>
      <x:formula2/>
    </x:dataValidation>
    <x:dataValidation type="list" errorStyle="stop" operator="between" allowBlank="1" showDropDown="0" showInputMessage="1" showErrorMessage="1" errorTitle="" error="" promptTitle="" prompt="" sqref="I98:I98">
      <x:formula1>'MasterData'!$E$771:$E$780</x:formula1>
      <x:formula2/>
    </x:dataValidation>
    <x:dataValidation type="decimal" errorStyle="stop" operator="greaterThanOrEqual" allowBlank="1" showDropDown="0" showInputMessage="1" showErrorMessage="1" errorTitle="" error="" promptTitle="" prompt="" sqref="K98:K98">
      <x:formula1>0</x:formula1>
      <x:formula2/>
    </x:dataValidation>
    <x:dataValidation type="decimal" errorStyle="stop" operator="between" allowBlank="1" showDropDown="0" showInputMessage="1" showErrorMessage="1" errorTitle="" error="" promptTitle="" prompt="" sqref="N98:N98">
      <x:formula1>0</x:formula1>
      <x:formula2>100</x:formula2>
    </x:dataValidation>
    <x:dataValidation type="decimal" errorStyle="stop" operator="between" allowBlank="1" showDropDown="0" showInputMessage="1" showErrorMessage="1" errorTitle="" error="" promptTitle="" prompt="" sqref="O98:O98">
      <x:formula1>0</x:formula1>
      <x:formula2>100</x:formula2>
    </x:dataValidation>
    <x:dataValidation type="list" errorStyle="stop" operator="between" allowBlank="1" showDropDown="0" showInputMessage="1" showErrorMessage="1" errorTitle="" error="" promptTitle="" prompt="" sqref="H99:H99">
      <x:formula1>'MasterData'!$B$1:$B$14</x:formula1>
      <x:formula2/>
    </x:dataValidation>
    <x:dataValidation type="list" errorStyle="stop" operator="between" allowBlank="1" showDropDown="0" showInputMessage="1" showErrorMessage="1" errorTitle="" error="" promptTitle="" prompt="" sqref="I99:I99">
      <x:formula1>'MasterData'!$E$781:$E$790</x:formula1>
      <x:formula2/>
    </x:dataValidation>
    <x:dataValidation type="decimal" errorStyle="stop" operator="greaterThanOrEqual" allowBlank="1" showDropDown="0" showInputMessage="1" showErrorMessage="1" errorTitle="" error="" promptTitle="" prompt="" sqref="K99:K99">
      <x:formula1>0</x:formula1>
      <x:formula2/>
    </x:dataValidation>
    <x:dataValidation type="decimal" errorStyle="stop" operator="between" allowBlank="1" showDropDown="0" showInputMessage="1" showErrorMessage="1" errorTitle="" error="" promptTitle="" prompt="" sqref="N99:N99">
      <x:formula1>0</x:formula1>
      <x:formula2>100</x:formula2>
    </x:dataValidation>
    <x:dataValidation type="decimal" errorStyle="stop" operator="between" allowBlank="1" showDropDown="0" showInputMessage="1" showErrorMessage="1" errorTitle="" error="" promptTitle="" prompt="" sqref="O99:O99">
      <x:formula1>0</x:formula1>
      <x:formula2>100</x:formula2>
    </x:dataValidation>
    <x:dataValidation type="list" errorStyle="stop" operator="between" allowBlank="1" showDropDown="0" showInputMessage="1" showErrorMessage="1" errorTitle="" error="" promptTitle="" prompt="" sqref="H100:H100">
      <x:formula1>'MasterData'!$B$1:$B$14</x:formula1>
      <x:formula2/>
    </x:dataValidation>
    <x:dataValidation type="list" errorStyle="stop" operator="between" allowBlank="1" showDropDown="0" showInputMessage="1" showErrorMessage="1" errorTitle="" error="" promptTitle="" prompt="" sqref="I100:I100">
      <x:formula1>'MasterData'!$E$791:$E$800</x:formula1>
      <x:formula2/>
    </x:dataValidation>
    <x:dataValidation type="decimal" errorStyle="stop" operator="greaterThanOrEqual" allowBlank="1" showDropDown="0" showInputMessage="1" showErrorMessage="1" errorTitle="" error="" promptTitle="" prompt="" sqref="K100:K100">
      <x:formula1>0</x:formula1>
      <x:formula2/>
    </x:dataValidation>
    <x:dataValidation type="decimal" errorStyle="stop" operator="between" allowBlank="1" showDropDown="0" showInputMessage="1" showErrorMessage="1" errorTitle="" error="" promptTitle="" prompt="" sqref="N100:N100">
      <x:formula1>0</x:formula1>
      <x:formula2>100</x:formula2>
    </x:dataValidation>
    <x:dataValidation type="decimal" errorStyle="stop" operator="between" allowBlank="1" showDropDown="0" showInputMessage="1" showErrorMessage="1" errorTitle="" error="" promptTitle="" prompt="" sqref="O100:O100">
      <x:formula1>0</x:formula1>
      <x:formula2>100</x:formula2>
    </x:dataValidation>
    <x:dataValidation type="list" errorStyle="stop" operator="between" allowBlank="1" showDropDown="0" showInputMessage="1" showErrorMessage="1" errorTitle="" error="" promptTitle="" prompt="" sqref="H101:H101">
      <x:formula1>'MasterData'!$B$1:$B$14</x:formula1>
      <x:formula2/>
    </x:dataValidation>
    <x:dataValidation type="list" errorStyle="stop" operator="between" allowBlank="1" showDropDown="0" showInputMessage="1" showErrorMessage="1" errorTitle="" error="" promptTitle="" prompt="" sqref="I101:I101">
      <x:formula1>'MasterData'!$E$801:$E$810</x:formula1>
      <x:formula2/>
    </x:dataValidation>
    <x:dataValidation type="decimal" errorStyle="stop" operator="greaterThanOrEqual" allowBlank="1" showDropDown="0" showInputMessage="1" showErrorMessage="1" errorTitle="" error="" promptTitle="" prompt="" sqref="K101:K101">
      <x:formula1>0</x:formula1>
      <x:formula2/>
    </x:dataValidation>
    <x:dataValidation type="decimal" errorStyle="stop" operator="between" allowBlank="1" showDropDown="0" showInputMessage="1" showErrorMessage="1" errorTitle="" error="" promptTitle="" prompt="" sqref="N101:N101">
      <x:formula1>0</x:formula1>
      <x:formula2>100</x:formula2>
    </x:dataValidation>
    <x:dataValidation type="decimal" errorStyle="stop" operator="between" allowBlank="1" showDropDown="0" showInputMessage="1" showErrorMessage="1" errorTitle="" error="" promptTitle="" prompt="" sqref="O101:O101">
      <x:formula1>0</x:formula1>
      <x:formula2>100</x:formula2>
    </x:dataValidation>
    <x:dataValidation type="list" errorStyle="stop" operator="between" allowBlank="1" showDropDown="0" showInputMessage="1" showErrorMessage="1" errorTitle="" error="" promptTitle="" prompt="" sqref="H102:H102">
      <x:formula1>'MasterData'!$B$1:$B$14</x:formula1>
      <x:formula2/>
    </x:dataValidation>
    <x:dataValidation type="list" errorStyle="stop" operator="between" allowBlank="1" showDropDown="0" showInputMessage="1" showErrorMessage="1" errorTitle="" error="" promptTitle="" prompt="" sqref="I102:I102">
      <x:formula1>'MasterData'!$E$811:$E$820</x:formula1>
      <x:formula2/>
    </x:dataValidation>
    <x:dataValidation type="decimal" errorStyle="stop" operator="greaterThanOrEqual" allowBlank="1" showDropDown="0" showInputMessage="1" showErrorMessage="1" errorTitle="" error="" promptTitle="" prompt="" sqref="K102:K102">
      <x:formula1>0</x:formula1>
      <x:formula2/>
    </x:dataValidation>
    <x:dataValidation type="decimal" errorStyle="stop" operator="between" allowBlank="1" showDropDown="0" showInputMessage="1" showErrorMessage="1" errorTitle="" error="" promptTitle="" prompt="" sqref="N102:N102">
      <x:formula1>0</x:formula1>
      <x:formula2>100</x:formula2>
    </x:dataValidation>
    <x:dataValidation type="decimal" errorStyle="stop" operator="between" allowBlank="1" showDropDown="0" showInputMessage="1" showErrorMessage="1" errorTitle="" error="" promptTitle="" prompt="" sqref="O102:O102">
      <x:formula1>0</x:formula1>
      <x:formula2>100</x:formula2>
    </x:dataValidation>
    <x:dataValidation type="list" errorStyle="stop" operator="between" allowBlank="1" showDropDown="0" showInputMessage="1" showErrorMessage="1" errorTitle="" error="" promptTitle="" prompt="" sqref="H103:H103">
      <x:formula1>'MasterData'!$B$1:$B$14</x:formula1>
      <x:formula2/>
    </x:dataValidation>
    <x:dataValidation type="list" errorStyle="stop" operator="between" allowBlank="1" showDropDown="0" showInputMessage="1" showErrorMessage="1" errorTitle="" error="" promptTitle="" prompt="" sqref="I103:I103">
      <x:formula1>'MasterData'!$E$821:$E$830</x:formula1>
      <x:formula2/>
    </x:dataValidation>
    <x:dataValidation type="decimal" errorStyle="stop" operator="greaterThanOrEqual" allowBlank="1" showDropDown="0" showInputMessage="1" showErrorMessage="1" errorTitle="" error="" promptTitle="" prompt="" sqref="K103:K103">
      <x:formula1>0</x:formula1>
      <x:formula2/>
    </x:dataValidation>
    <x:dataValidation type="decimal" errorStyle="stop" operator="between" allowBlank="1" showDropDown="0" showInputMessage="1" showErrorMessage="1" errorTitle="" error="" promptTitle="" prompt="" sqref="N103:N103">
      <x:formula1>0</x:formula1>
      <x:formula2>100</x:formula2>
    </x:dataValidation>
    <x:dataValidation type="decimal" errorStyle="stop" operator="between" allowBlank="1" showDropDown="0" showInputMessage="1" showErrorMessage="1" errorTitle="" error="" promptTitle="" prompt="" sqref="O103:O103">
      <x:formula1>0</x:formula1>
      <x:formula2>100</x:formula2>
    </x:dataValidation>
    <x:dataValidation type="list" errorStyle="stop" operator="between" allowBlank="1" showDropDown="0" showInputMessage="1" showErrorMessage="1" errorTitle="" error="" promptTitle="" prompt="" sqref="H104:H104">
      <x:formula1>'MasterData'!$B$1:$B$14</x:formula1>
      <x:formula2/>
    </x:dataValidation>
    <x:dataValidation type="list" errorStyle="stop" operator="between" allowBlank="1" showDropDown="0" showInputMessage="1" showErrorMessage="1" errorTitle="" error="" promptTitle="" prompt="" sqref="I104:I104">
      <x:formula1>'MasterData'!$E$831:$E$840</x:formula1>
      <x:formula2/>
    </x:dataValidation>
    <x:dataValidation type="decimal" errorStyle="stop" operator="greaterThanOrEqual" allowBlank="1" showDropDown="0" showInputMessage="1" showErrorMessage="1" errorTitle="" error="" promptTitle="" prompt="" sqref="K104:K104">
      <x:formula1>0</x:formula1>
      <x:formula2/>
    </x:dataValidation>
    <x:dataValidation type="decimal" errorStyle="stop" operator="between" allowBlank="1" showDropDown="0" showInputMessage="1" showErrorMessage="1" errorTitle="" error="" promptTitle="" prompt="" sqref="N104:N104">
      <x:formula1>0</x:formula1>
      <x:formula2>100</x:formula2>
    </x:dataValidation>
    <x:dataValidation type="decimal" errorStyle="stop" operator="between" allowBlank="1" showDropDown="0" showInputMessage="1" showErrorMessage="1" errorTitle="" error="" promptTitle="" prompt="" sqref="O104:O104">
      <x:formula1>0</x:formula1>
      <x:formula2>100</x:formula2>
    </x:dataValidation>
    <x:dataValidation type="list" errorStyle="stop" operator="between" allowBlank="1" showDropDown="0" showInputMessage="1" showErrorMessage="1" errorTitle="" error="" promptTitle="" prompt="" sqref="H105:H105">
      <x:formula1>'MasterData'!$B$1:$B$14</x:formula1>
      <x:formula2/>
    </x:dataValidation>
    <x:dataValidation type="list" errorStyle="stop" operator="between" allowBlank="1" showDropDown="0" showInputMessage="1" showErrorMessage="1" errorTitle="" error="" promptTitle="" prompt="" sqref="I105:I105">
      <x:formula1>'MasterData'!$E$841:$E$850</x:formula1>
      <x:formula2/>
    </x:dataValidation>
    <x:dataValidation type="decimal" errorStyle="stop" operator="greaterThanOrEqual" allowBlank="1" showDropDown="0" showInputMessage="1" showErrorMessage="1" errorTitle="" error="" promptTitle="" prompt="" sqref="K105:K105">
      <x:formula1>0</x:formula1>
      <x:formula2/>
    </x:dataValidation>
    <x:dataValidation type="decimal" errorStyle="stop" operator="between" allowBlank="1" showDropDown="0" showInputMessage="1" showErrorMessage="1" errorTitle="" error="" promptTitle="" prompt="" sqref="N105:N105">
      <x:formula1>0</x:formula1>
      <x:formula2>100</x:formula2>
    </x:dataValidation>
    <x:dataValidation type="decimal" errorStyle="stop" operator="between" allowBlank="1" showDropDown="0" showInputMessage="1" showErrorMessage="1" errorTitle="" error="" promptTitle="" prompt="" sqref="O105:O105">
      <x:formula1>0</x:formula1>
      <x:formula2>100</x:formula2>
    </x:dataValidation>
    <x:dataValidation type="list" errorStyle="stop" operator="between" allowBlank="1" showDropDown="0" showInputMessage="1" showErrorMessage="1" errorTitle="" error="" promptTitle="" prompt="" sqref="H106:H106">
      <x:formula1>'MasterData'!$B$1:$B$14</x:formula1>
      <x:formula2/>
    </x:dataValidation>
    <x:dataValidation type="list" errorStyle="stop" operator="between" allowBlank="1" showDropDown="0" showInputMessage="1" showErrorMessage="1" errorTitle="" error="" promptTitle="" prompt="" sqref="I106:I106">
      <x:formula1>'MasterData'!$E$851:$E$860</x:formula1>
      <x:formula2/>
    </x:dataValidation>
    <x:dataValidation type="decimal" errorStyle="stop" operator="greaterThanOrEqual" allowBlank="1" showDropDown="0" showInputMessage="1" showErrorMessage="1" errorTitle="" error="" promptTitle="" prompt="" sqref="K106:K106">
      <x:formula1>0</x:formula1>
      <x:formula2/>
    </x:dataValidation>
    <x:dataValidation type="decimal" errorStyle="stop" operator="between" allowBlank="1" showDropDown="0" showInputMessage="1" showErrorMessage="1" errorTitle="" error="" promptTitle="" prompt="" sqref="N106:N106">
      <x:formula1>0</x:formula1>
      <x:formula2>100</x:formula2>
    </x:dataValidation>
    <x:dataValidation type="decimal" errorStyle="stop" operator="between" allowBlank="1" showDropDown="0" showInputMessage="1" showErrorMessage="1" errorTitle="" error="" promptTitle="" prompt="" sqref="O106:O106">
      <x:formula1>0</x:formula1>
      <x:formula2>100</x:formula2>
    </x:dataValidation>
    <x:dataValidation type="list" errorStyle="stop" operator="between" allowBlank="1" showDropDown="0" showInputMessage="1" showErrorMessage="1" errorTitle="" error="" promptTitle="" prompt="" sqref="H107:H107">
      <x:formula1>'MasterData'!$B$1:$B$14</x:formula1>
      <x:formula2/>
    </x:dataValidation>
    <x:dataValidation type="list" errorStyle="stop" operator="between" allowBlank="1" showDropDown="0" showInputMessage="1" showErrorMessage="1" errorTitle="" error="" promptTitle="" prompt="" sqref="I107:I107">
      <x:formula1>'MasterData'!$E$861:$E$870</x:formula1>
      <x:formula2/>
    </x:dataValidation>
    <x:dataValidation type="decimal" errorStyle="stop" operator="greaterThanOrEqual" allowBlank="1" showDropDown="0" showInputMessage="1" showErrorMessage="1" errorTitle="" error="" promptTitle="" prompt="" sqref="K107:K107">
      <x:formula1>0</x:formula1>
      <x:formula2/>
    </x:dataValidation>
    <x:dataValidation type="decimal" errorStyle="stop" operator="between" allowBlank="1" showDropDown="0" showInputMessage="1" showErrorMessage="1" errorTitle="" error="" promptTitle="" prompt="" sqref="N107:N107">
      <x:formula1>0</x:formula1>
      <x:formula2>100</x:formula2>
    </x:dataValidation>
    <x:dataValidation type="decimal" errorStyle="stop" operator="between" allowBlank="1" showDropDown="0" showInputMessage="1" showErrorMessage="1" errorTitle="" error="" promptTitle="" prompt="" sqref="O107:O107">
      <x:formula1>0</x:formula1>
      <x:formula2>100</x:formula2>
    </x:dataValidation>
    <x:dataValidation type="list" errorStyle="stop" operator="between" allowBlank="1" showDropDown="0" showInputMessage="1" showErrorMessage="1" errorTitle="" error="" promptTitle="" prompt="" sqref="H108:H108">
      <x:formula1>'MasterData'!$B$1:$B$14</x:formula1>
      <x:formula2/>
    </x:dataValidation>
    <x:dataValidation type="list" errorStyle="stop" operator="between" allowBlank="1" showDropDown="0" showInputMessage="1" showErrorMessage="1" errorTitle="" error="" promptTitle="" prompt="" sqref="I108:I108">
      <x:formula1>'MasterData'!$E$871:$E$880</x:formula1>
      <x:formula2/>
    </x:dataValidation>
    <x:dataValidation type="decimal" errorStyle="stop" operator="greaterThanOrEqual" allowBlank="1" showDropDown="0" showInputMessage="1" showErrorMessage="1" errorTitle="" error="" promptTitle="" prompt="" sqref="K108:K108">
      <x:formula1>0</x:formula1>
      <x:formula2/>
    </x:dataValidation>
    <x:dataValidation type="decimal" errorStyle="stop" operator="between" allowBlank="1" showDropDown="0" showInputMessage="1" showErrorMessage="1" errorTitle="" error="" promptTitle="" prompt="" sqref="N108:N108">
      <x:formula1>0</x:formula1>
      <x:formula2>100</x:formula2>
    </x:dataValidation>
    <x:dataValidation type="decimal" errorStyle="stop" operator="between" allowBlank="1" showDropDown="0" showInputMessage="1" showErrorMessage="1" errorTitle="" error="" promptTitle="" prompt="" sqref="O108:O108">
      <x:formula1>0</x:formula1>
      <x:formula2>100</x:formula2>
    </x:dataValidation>
    <x:dataValidation type="list" errorStyle="stop" operator="between" allowBlank="1" showDropDown="0" showInputMessage="1" showErrorMessage="1" errorTitle="" error="" promptTitle="" prompt="" sqref="H109:H109">
      <x:formula1>'MasterData'!$B$1:$B$14</x:formula1>
      <x:formula2/>
    </x:dataValidation>
    <x:dataValidation type="list" errorStyle="stop" operator="between" allowBlank="1" showDropDown="0" showInputMessage="1" showErrorMessage="1" errorTitle="" error="" promptTitle="" prompt="" sqref="I109:I109">
      <x:formula1>'MasterData'!$E$881:$E$890</x:formula1>
      <x:formula2/>
    </x:dataValidation>
    <x:dataValidation type="decimal" errorStyle="stop" operator="greaterThanOrEqual" allowBlank="1" showDropDown="0" showInputMessage="1" showErrorMessage="1" errorTitle="" error="" promptTitle="" prompt="" sqref="K109:K109">
      <x:formula1>0</x:formula1>
      <x:formula2/>
    </x:dataValidation>
    <x:dataValidation type="decimal" errorStyle="stop" operator="between" allowBlank="1" showDropDown="0" showInputMessage="1" showErrorMessage="1" errorTitle="" error="" promptTitle="" prompt="" sqref="N109:N109">
      <x:formula1>0</x:formula1>
      <x:formula2>100</x:formula2>
    </x:dataValidation>
    <x:dataValidation type="decimal" errorStyle="stop" operator="between" allowBlank="1" showDropDown="0" showInputMessage="1" showErrorMessage="1" errorTitle="" error="" promptTitle="" prompt="" sqref="O109:O109">
      <x:formula1>0</x:formula1>
      <x:formula2>100</x:formula2>
    </x:dataValidation>
    <x:dataValidation type="list" errorStyle="stop" operator="between" allowBlank="1" showDropDown="0" showInputMessage="1" showErrorMessage="1" errorTitle="" error="" promptTitle="" prompt="" sqref="H110:H110">
      <x:formula1>'MasterData'!$B$1:$B$14</x:formula1>
      <x:formula2/>
    </x:dataValidation>
    <x:dataValidation type="list" errorStyle="stop" operator="between" allowBlank="1" showDropDown="0" showInputMessage="1" showErrorMessage="1" errorTitle="" error="" promptTitle="" prompt="" sqref="I110:I110">
      <x:formula1>'MasterData'!$E$891:$E$900</x:formula1>
      <x:formula2/>
    </x:dataValidation>
    <x:dataValidation type="decimal" errorStyle="stop" operator="greaterThanOrEqual" allowBlank="1" showDropDown="0" showInputMessage="1" showErrorMessage="1" errorTitle="" error="" promptTitle="" prompt="" sqref="K110:K110">
      <x:formula1>0</x:formula1>
      <x:formula2/>
    </x:dataValidation>
    <x:dataValidation type="decimal" errorStyle="stop" operator="between" allowBlank="1" showDropDown="0" showInputMessage="1" showErrorMessage="1" errorTitle="" error="" promptTitle="" prompt="" sqref="N110:N110">
      <x:formula1>0</x:formula1>
      <x:formula2>100</x:formula2>
    </x:dataValidation>
    <x:dataValidation type="decimal" errorStyle="stop" operator="between" allowBlank="1" showDropDown="0" showInputMessage="1" showErrorMessage="1" errorTitle="" error="" promptTitle="" prompt="" sqref="O110:O110">
      <x:formula1>0</x:formula1>
      <x:formula2>100</x:formula2>
    </x:dataValidation>
    <x:dataValidation type="list" errorStyle="stop" operator="between" allowBlank="1" showDropDown="0" showInputMessage="1" showErrorMessage="1" errorTitle="" error="" promptTitle="" prompt="" sqref="H111:H111">
      <x:formula1>'MasterData'!$B$1:$B$14</x:formula1>
      <x:formula2/>
    </x:dataValidation>
    <x:dataValidation type="list" errorStyle="stop" operator="between" allowBlank="1" showDropDown="0" showInputMessage="1" showErrorMessage="1" errorTitle="" error="" promptTitle="" prompt="" sqref="I111:I111">
      <x:formula1>'MasterData'!$E$901:$E$910</x:formula1>
      <x:formula2/>
    </x:dataValidation>
    <x:dataValidation type="decimal" errorStyle="stop" operator="greaterThanOrEqual" allowBlank="1" showDropDown="0" showInputMessage="1" showErrorMessage="1" errorTitle="" error="" promptTitle="" prompt="" sqref="K111:K111">
      <x:formula1>0</x:formula1>
      <x:formula2/>
    </x:dataValidation>
    <x:dataValidation type="decimal" errorStyle="stop" operator="between" allowBlank="1" showDropDown="0" showInputMessage="1" showErrorMessage="1" errorTitle="" error="" promptTitle="" prompt="" sqref="N111:N111">
      <x:formula1>0</x:formula1>
      <x:formula2>100</x:formula2>
    </x:dataValidation>
    <x:dataValidation type="decimal" errorStyle="stop" operator="between" allowBlank="1" showDropDown="0" showInputMessage="1" showErrorMessage="1" errorTitle="" error="" promptTitle="" prompt="" sqref="O111:O111">
      <x:formula1>0</x:formula1>
      <x:formula2>100</x:formula2>
    </x:dataValidation>
    <x:dataValidation type="list" errorStyle="stop" operator="between" allowBlank="1" showDropDown="0" showInputMessage="1" showErrorMessage="1" errorTitle="" error="" promptTitle="" prompt="" sqref="H112:H112">
      <x:formula1>'MasterData'!$B$1:$B$14</x:formula1>
      <x:formula2/>
    </x:dataValidation>
    <x:dataValidation type="list" errorStyle="stop" operator="between" allowBlank="1" showDropDown="0" showInputMessage="1" showErrorMessage="1" errorTitle="" error="" promptTitle="" prompt="" sqref="I112:I112">
      <x:formula1>'MasterData'!$E$911:$E$920</x:formula1>
      <x:formula2/>
    </x:dataValidation>
    <x:dataValidation type="decimal" errorStyle="stop" operator="greaterThanOrEqual" allowBlank="1" showDropDown="0" showInputMessage="1" showErrorMessage="1" errorTitle="" error="" promptTitle="" prompt="" sqref="K112:K112">
      <x:formula1>0</x:formula1>
      <x:formula2/>
    </x:dataValidation>
    <x:dataValidation type="decimal" errorStyle="stop" operator="between" allowBlank="1" showDropDown="0" showInputMessage="1" showErrorMessage="1" errorTitle="" error="" promptTitle="" prompt="" sqref="N112:N112">
      <x:formula1>0</x:formula1>
      <x:formula2>100</x:formula2>
    </x:dataValidation>
    <x:dataValidation type="decimal" errorStyle="stop" operator="between" allowBlank="1" showDropDown="0" showInputMessage="1" showErrorMessage="1" errorTitle="" error="" promptTitle="" prompt="" sqref="O112:O112">
      <x:formula1>0</x:formula1>
      <x:formula2>100</x:formula2>
    </x:dataValidation>
    <x:dataValidation type="list" errorStyle="stop" operator="between" allowBlank="1" showDropDown="0" showInputMessage="1" showErrorMessage="1" errorTitle="" error="" promptTitle="" prompt="" sqref="H113:H113">
      <x:formula1>'MasterData'!$B$1:$B$14</x:formula1>
      <x:formula2/>
    </x:dataValidation>
    <x:dataValidation type="list" errorStyle="stop" operator="between" allowBlank="1" showDropDown="0" showInputMessage="1" showErrorMessage="1" errorTitle="" error="" promptTitle="" prompt="" sqref="I113:I113">
      <x:formula1>'MasterData'!$E$921:$E$930</x:formula1>
      <x:formula2/>
    </x:dataValidation>
    <x:dataValidation type="decimal" errorStyle="stop" operator="greaterThanOrEqual" allowBlank="1" showDropDown="0" showInputMessage="1" showErrorMessage="1" errorTitle="" error="" promptTitle="" prompt="" sqref="K113:K113">
      <x:formula1>0</x:formula1>
      <x:formula2/>
    </x:dataValidation>
    <x:dataValidation type="decimal" errorStyle="stop" operator="between" allowBlank="1" showDropDown="0" showInputMessage="1" showErrorMessage="1" errorTitle="" error="" promptTitle="" prompt="" sqref="N113:N113">
      <x:formula1>0</x:formula1>
      <x:formula2>100</x:formula2>
    </x:dataValidation>
    <x:dataValidation type="decimal" errorStyle="stop" operator="between" allowBlank="1" showDropDown="0" showInputMessage="1" showErrorMessage="1" errorTitle="" error="" promptTitle="" prompt="" sqref="O113:O113">
      <x:formula1>0</x:formula1>
      <x:formula2>100</x:formula2>
    </x:dataValidation>
    <x:dataValidation type="list" errorStyle="stop" operator="between" allowBlank="1" showDropDown="0" showInputMessage="1" showErrorMessage="1" errorTitle="" error="" promptTitle="" prompt="" sqref="H114:H114">
      <x:formula1>'MasterData'!$B$1:$B$14</x:formula1>
      <x:formula2/>
    </x:dataValidation>
    <x:dataValidation type="list" errorStyle="stop" operator="between" allowBlank="1" showDropDown="0" showInputMessage="1" showErrorMessage="1" errorTitle="" error="" promptTitle="" prompt="" sqref="I114:I114">
      <x:formula1>'MasterData'!$E$931:$E$940</x:formula1>
      <x:formula2/>
    </x:dataValidation>
    <x:dataValidation type="decimal" errorStyle="stop" operator="greaterThanOrEqual" allowBlank="1" showDropDown="0" showInputMessage="1" showErrorMessage="1" errorTitle="" error="" promptTitle="" prompt="" sqref="K114:K114">
      <x:formula1>0</x:formula1>
      <x:formula2/>
    </x:dataValidation>
    <x:dataValidation type="decimal" errorStyle="stop" operator="between" allowBlank="1" showDropDown="0" showInputMessage="1" showErrorMessage="1" errorTitle="" error="" promptTitle="" prompt="" sqref="N114:N114">
      <x:formula1>0</x:formula1>
      <x:formula2>100</x:formula2>
    </x:dataValidation>
    <x:dataValidation type="decimal" errorStyle="stop" operator="between" allowBlank="1" showDropDown="0" showInputMessage="1" showErrorMessage="1" errorTitle="" error="" promptTitle="" prompt="" sqref="O114:O114">
      <x:formula1>0</x:formula1>
      <x:formula2>100</x:formula2>
    </x:dataValidation>
    <x:dataValidation type="list" errorStyle="stop" operator="between" allowBlank="1" showDropDown="0" showInputMessage="1" showErrorMessage="1" errorTitle="" error="" promptTitle="" prompt="" sqref="H115:H115">
      <x:formula1>'MasterData'!$B$1:$B$14</x:formula1>
      <x:formula2/>
    </x:dataValidation>
    <x:dataValidation type="list" errorStyle="stop" operator="between" allowBlank="1" showDropDown="0" showInputMessage="1" showErrorMessage="1" errorTitle="" error="" promptTitle="" prompt="" sqref="I115:I115">
      <x:formula1>'MasterData'!$E$941:$E$950</x:formula1>
      <x:formula2/>
    </x:dataValidation>
    <x:dataValidation type="decimal" errorStyle="stop" operator="greaterThanOrEqual" allowBlank="1" showDropDown="0" showInputMessage="1" showErrorMessage="1" errorTitle="" error="" promptTitle="" prompt="" sqref="K115:K115">
      <x:formula1>0</x:formula1>
      <x:formula2/>
    </x:dataValidation>
    <x:dataValidation type="decimal" errorStyle="stop" operator="between" allowBlank="1" showDropDown="0" showInputMessage="1" showErrorMessage="1" errorTitle="" error="" promptTitle="" prompt="" sqref="N115:N115">
      <x:formula1>0</x:formula1>
      <x:formula2>100</x:formula2>
    </x:dataValidation>
    <x:dataValidation type="decimal" errorStyle="stop" operator="between" allowBlank="1" showDropDown="0" showInputMessage="1" showErrorMessage="1" errorTitle="" error="" promptTitle="" prompt="" sqref="O115:O115">
      <x:formula1>0</x:formula1>
      <x:formula2>100</x:formula2>
    </x:dataValidation>
    <x:dataValidation type="list" errorStyle="stop" operator="between" allowBlank="1" showDropDown="0" showInputMessage="1" showErrorMessage="1" errorTitle="" error="" promptTitle="" prompt="" sqref="H116:H116">
      <x:formula1>'MasterData'!$B$1:$B$14</x:formula1>
      <x:formula2/>
    </x:dataValidation>
    <x:dataValidation type="list" errorStyle="stop" operator="between" allowBlank="1" showDropDown="0" showInputMessage="1" showErrorMessage="1" errorTitle="" error="" promptTitle="" prompt="" sqref="I116:I116">
      <x:formula1>'MasterData'!$E$951:$E$960</x:formula1>
      <x:formula2/>
    </x:dataValidation>
    <x:dataValidation type="decimal" errorStyle="stop" operator="greaterThanOrEqual" allowBlank="1" showDropDown="0" showInputMessage="1" showErrorMessage="1" errorTitle="" error="" promptTitle="" prompt="" sqref="K116:K116">
      <x:formula1>0</x:formula1>
      <x:formula2/>
    </x:dataValidation>
    <x:dataValidation type="decimal" errorStyle="stop" operator="between" allowBlank="1" showDropDown="0" showInputMessage="1" showErrorMessage="1" errorTitle="" error="" promptTitle="" prompt="" sqref="N116:N116">
      <x:formula1>0</x:formula1>
      <x:formula2>100</x:formula2>
    </x:dataValidation>
    <x:dataValidation type="decimal" errorStyle="stop" operator="between" allowBlank="1" showDropDown="0" showInputMessage="1" showErrorMessage="1" errorTitle="" error="" promptTitle="" prompt="" sqref="O116:O116">
      <x:formula1>0</x:formula1>
      <x:formula2>100</x:formula2>
    </x:dataValidation>
    <x:dataValidation type="list" errorStyle="stop" operator="between" allowBlank="1" showDropDown="0" showInputMessage="1" showErrorMessage="1" errorTitle="" error="" promptTitle="" prompt="" sqref="H117:H117">
      <x:formula1>'MasterData'!$B$1:$B$14</x:formula1>
      <x:formula2/>
    </x:dataValidation>
    <x:dataValidation type="list" errorStyle="stop" operator="between" allowBlank="1" showDropDown="0" showInputMessage="1" showErrorMessage="1" errorTitle="" error="" promptTitle="" prompt="" sqref="I117:I117">
      <x:formula1>'MasterData'!$E$961:$E$970</x:formula1>
      <x:formula2/>
    </x:dataValidation>
    <x:dataValidation type="decimal" errorStyle="stop" operator="greaterThanOrEqual" allowBlank="1" showDropDown="0" showInputMessage="1" showErrorMessage="1" errorTitle="" error="" promptTitle="" prompt="" sqref="K117:K117">
      <x:formula1>0</x:formula1>
      <x:formula2/>
    </x:dataValidation>
    <x:dataValidation type="decimal" errorStyle="stop" operator="between" allowBlank="1" showDropDown="0" showInputMessage="1" showErrorMessage="1" errorTitle="" error="" promptTitle="" prompt="" sqref="N117:N117">
      <x:formula1>0</x:formula1>
      <x:formula2>100</x:formula2>
    </x:dataValidation>
    <x:dataValidation type="decimal" errorStyle="stop" operator="between" allowBlank="1" showDropDown="0" showInputMessage="1" showErrorMessage="1" errorTitle="" error="" promptTitle="" prompt="" sqref="O117:O117">
      <x:formula1>0</x:formula1>
      <x:formula2>100</x:formula2>
    </x:dataValidation>
    <x:dataValidation type="list" errorStyle="stop" operator="between" allowBlank="1" showDropDown="0" showInputMessage="1" showErrorMessage="1" errorTitle="" error="" promptTitle="" prompt="" sqref="H118:H118">
      <x:formula1>'MasterData'!$B$1:$B$14</x:formula1>
      <x:formula2/>
    </x:dataValidation>
    <x:dataValidation type="list" errorStyle="stop" operator="between" allowBlank="1" showDropDown="0" showInputMessage="1" showErrorMessage="1" errorTitle="" error="" promptTitle="" prompt="" sqref="I118:I118">
      <x:formula1>'MasterData'!$E$971:$E$980</x:formula1>
      <x:formula2/>
    </x:dataValidation>
    <x:dataValidation type="decimal" errorStyle="stop" operator="greaterThanOrEqual" allowBlank="1" showDropDown="0" showInputMessage="1" showErrorMessage="1" errorTitle="" error="" promptTitle="" prompt="" sqref="K118:K118">
      <x:formula1>0</x:formula1>
      <x:formula2/>
    </x:dataValidation>
    <x:dataValidation type="decimal" errorStyle="stop" operator="between" allowBlank="1" showDropDown="0" showInputMessage="1" showErrorMessage="1" errorTitle="" error="" promptTitle="" prompt="" sqref="N118:N118">
      <x:formula1>0</x:formula1>
      <x:formula2>100</x:formula2>
    </x:dataValidation>
    <x:dataValidation type="decimal" errorStyle="stop" operator="between" allowBlank="1" showDropDown="0" showInputMessage="1" showErrorMessage="1" errorTitle="" error="" promptTitle="" prompt="" sqref="O118:O118">
      <x:formula1>0</x:formula1>
      <x:formula2>100</x:formula2>
    </x:dataValidation>
    <x:dataValidation type="list" errorStyle="stop" operator="between" allowBlank="1" showDropDown="0" showInputMessage="1" showErrorMessage="1" errorTitle="" error="" promptTitle="" prompt="" sqref="H119:H119">
      <x:formula1>'MasterData'!$B$1:$B$14</x:formula1>
      <x:formula2/>
    </x:dataValidation>
    <x:dataValidation type="list" errorStyle="stop" operator="between" allowBlank="1" showDropDown="0" showInputMessage="1" showErrorMessage="1" errorTitle="" error="" promptTitle="" prompt="" sqref="I119:I119">
      <x:formula1>'MasterData'!$E$981:$E$990</x:formula1>
      <x:formula2/>
    </x:dataValidation>
    <x:dataValidation type="decimal" errorStyle="stop" operator="greaterThanOrEqual" allowBlank="1" showDropDown="0" showInputMessage="1" showErrorMessage="1" errorTitle="" error="" promptTitle="" prompt="" sqref="K119:K119">
      <x:formula1>0</x:formula1>
      <x:formula2/>
    </x:dataValidation>
    <x:dataValidation type="decimal" errorStyle="stop" operator="between" allowBlank="1" showDropDown="0" showInputMessage="1" showErrorMessage="1" errorTitle="" error="" promptTitle="" prompt="" sqref="N119:N119">
      <x:formula1>0</x:formula1>
      <x:formula2>100</x:formula2>
    </x:dataValidation>
    <x:dataValidation type="decimal" errorStyle="stop" operator="between" allowBlank="1" showDropDown="0" showInputMessage="1" showErrorMessage="1" errorTitle="" error="" promptTitle="" prompt="" sqref="O119:O119">
      <x:formula1>0</x:formula1>
      <x:formula2>100</x:formula2>
    </x:dataValidation>
    <x:dataValidation type="list" errorStyle="stop" operator="between" allowBlank="1" showDropDown="0" showInputMessage="1" showErrorMessage="1" errorTitle="" error="" promptTitle="" prompt="" sqref="H120:H120">
      <x:formula1>'MasterData'!$B$1:$B$14</x:formula1>
      <x:formula2/>
    </x:dataValidation>
    <x:dataValidation type="list" errorStyle="stop" operator="between" allowBlank="1" showDropDown="0" showInputMessage="1" showErrorMessage="1" errorTitle="" error="" promptTitle="" prompt="" sqref="I120:I120">
      <x:formula1>'MasterData'!$E$991:$E$1000</x:formula1>
      <x:formula2/>
    </x:dataValidation>
    <x:dataValidation type="decimal" errorStyle="stop" operator="greaterThanOrEqual" allowBlank="1" showDropDown="0" showInputMessage="1" showErrorMessage="1" errorTitle="" error="" promptTitle="" prompt="" sqref="K120:K120">
      <x:formula1>0</x:formula1>
      <x:formula2/>
    </x:dataValidation>
    <x:dataValidation type="decimal" errorStyle="stop" operator="between" allowBlank="1" showDropDown="0" showInputMessage="1" showErrorMessage="1" errorTitle="" error="" promptTitle="" prompt="" sqref="N120:N120">
      <x:formula1>0</x:formula1>
      <x:formula2>100</x:formula2>
    </x:dataValidation>
    <x:dataValidation type="decimal" errorStyle="stop" operator="between" allowBlank="1" showDropDown="0" showInputMessage="1" showErrorMessage="1" errorTitle="" error="" promptTitle="" prompt="" sqref="O120:O120">
      <x:formula1>0</x:formula1>
      <x:formula2>100</x:formula2>
    </x:dataValidation>
    <x:dataValidation type="list" errorStyle="stop" operator="between" allowBlank="1" showDropDown="0" showInputMessage="1" showErrorMessage="1" errorTitle="" error="" promptTitle="" prompt="" sqref="H121:H121">
      <x:formula1>'MasterData'!$B$1:$B$14</x:formula1>
      <x:formula2/>
    </x:dataValidation>
    <x:dataValidation type="list" errorStyle="stop" operator="between" allowBlank="1" showDropDown="0" showInputMessage="1" showErrorMessage="1" errorTitle="" error="" promptTitle="" prompt="" sqref="I121:I121">
      <x:formula1>'MasterData'!$E$1001:$E$1010</x:formula1>
      <x:formula2/>
    </x:dataValidation>
    <x:dataValidation type="decimal" errorStyle="stop" operator="greaterThanOrEqual" allowBlank="1" showDropDown="0" showInputMessage="1" showErrorMessage="1" errorTitle="" error="" promptTitle="" prompt="" sqref="K121:K121">
      <x:formula1>0</x:formula1>
      <x:formula2/>
    </x:dataValidation>
    <x:dataValidation type="decimal" errorStyle="stop" operator="between" allowBlank="1" showDropDown="0" showInputMessage="1" showErrorMessage="1" errorTitle="" error="" promptTitle="" prompt="" sqref="N121:N121">
      <x:formula1>0</x:formula1>
      <x:formula2>100</x:formula2>
    </x:dataValidation>
    <x:dataValidation type="decimal" errorStyle="stop" operator="between" allowBlank="1" showDropDown="0" showInputMessage="1" showErrorMessage="1" errorTitle="" error="" promptTitle="" prompt="" sqref="O121:O121">
      <x:formula1>0</x:formula1>
      <x:formula2>100</x:formula2>
    </x:dataValidation>
    <x:dataValidation type="list" errorStyle="stop" operator="between" allowBlank="1" showDropDown="0" showInputMessage="1" showErrorMessage="1" errorTitle="" error="" promptTitle="" prompt="" sqref="H122:H122">
      <x:formula1>'MasterData'!$B$1:$B$14</x:formula1>
      <x:formula2/>
    </x:dataValidation>
    <x:dataValidation type="list" errorStyle="stop" operator="between" allowBlank="1" showDropDown="0" showInputMessage="1" showErrorMessage="1" errorTitle="" error="" promptTitle="" prompt="" sqref="I122:I122">
      <x:formula1>'MasterData'!$E$1011:$E$1020</x:formula1>
      <x:formula2/>
    </x:dataValidation>
    <x:dataValidation type="decimal" errorStyle="stop" operator="greaterThanOrEqual" allowBlank="1" showDropDown="0" showInputMessage="1" showErrorMessage="1" errorTitle="" error="" promptTitle="" prompt="" sqref="K122:K122">
      <x:formula1>0</x:formula1>
      <x:formula2/>
    </x:dataValidation>
    <x:dataValidation type="decimal" errorStyle="stop" operator="between" allowBlank="1" showDropDown="0" showInputMessage="1" showErrorMessage="1" errorTitle="" error="" promptTitle="" prompt="" sqref="N122:N122">
      <x:formula1>0</x:formula1>
      <x:formula2>100</x:formula2>
    </x:dataValidation>
    <x:dataValidation type="decimal" errorStyle="stop" operator="between" allowBlank="1" showDropDown="0" showInputMessage="1" showErrorMessage="1" errorTitle="" error="" promptTitle="" prompt="" sqref="O122:O122">
      <x:formula1>0</x:formula1>
      <x:formula2>100</x:formula2>
    </x:dataValidation>
    <x:dataValidation type="list" errorStyle="stop" operator="between" allowBlank="1" showDropDown="0" showInputMessage="1" showErrorMessage="1" errorTitle="" error="" promptTitle="" prompt="" sqref="H123:H123">
      <x:formula1>'MasterData'!$B$1:$B$14</x:formula1>
      <x:formula2/>
    </x:dataValidation>
    <x:dataValidation type="list" errorStyle="stop" operator="between" allowBlank="1" showDropDown="0" showInputMessage="1" showErrorMessage="1" errorTitle="" error="" promptTitle="" prompt="" sqref="I123:I123">
      <x:formula1>'MasterData'!$E$1021:$E$1030</x:formula1>
      <x:formula2/>
    </x:dataValidation>
    <x:dataValidation type="decimal" errorStyle="stop" operator="greaterThanOrEqual" allowBlank="1" showDropDown="0" showInputMessage="1" showErrorMessage="1" errorTitle="" error="" promptTitle="" prompt="" sqref="K123:K123">
      <x:formula1>0</x:formula1>
      <x:formula2/>
    </x:dataValidation>
    <x:dataValidation type="decimal" errorStyle="stop" operator="between" allowBlank="1" showDropDown="0" showInputMessage="1" showErrorMessage="1" errorTitle="" error="" promptTitle="" prompt="" sqref="N123:N123">
      <x:formula1>0</x:formula1>
      <x:formula2>100</x:formula2>
    </x:dataValidation>
    <x:dataValidation type="decimal" errorStyle="stop" operator="between" allowBlank="1" showDropDown="0" showInputMessage="1" showErrorMessage="1" errorTitle="" error="" promptTitle="" prompt="" sqref="O123:O123">
      <x:formula1>0</x:formula1>
      <x:formula2>100</x:formula2>
    </x:dataValidation>
    <x:dataValidation type="list" errorStyle="stop" operator="between" allowBlank="1" showDropDown="0" showInputMessage="1" showErrorMessage="1" errorTitle="" error="" promptTitle="" prompt="" sqref="H124:H124">
      <x:formula1>'MasterData'!$B$1:$B$14</x:formula1>
      <x:formula2/>
    </x:dataValidation>
    <x:dataValidation type="list" errorStyle="stop" operator="between" allowBlank="1" showDropDown="0" showInputMessage="1" showErrorMessage="1" errorTitle="" error="" promptTitle="" prompt="" sqref="I124:I124">
      <x:formula1>'MasterData'!$E$1031:$E$1040</x:formula1>
      <x:formula2/>
    </x:dataValidation>
    <x:dataValidation type="decimal" errorStyle="stop" operator="greaterThanOrEqual" allowBlank="1" showDropDown="0" showInputMessage="1" showErrorMessage="1" errorTitle="" error="" promptTitle="" prompt="" sqref="K124:K124">
      <x:formula1>0</x:formula1>
      <x:formula2/>
    </x:dataValidation>
    <x:dataValidation type="decimal" errorStyle="stop" operator="between" allowBlank="1" showDropDown="0" showInputMessage="1" showErrorMessage="1" errorTitle="" error="" promptTitle="" prompt="" sqref="N124:N124">
      <x:formula1>0</x:formula1>
      <x:formula2>100</x:formula2>
    </x:dataValidation>
    <x:dataValidation type="decimal" errorStyle="stop" operator="between" allowBlank="1" showDropDown="0" showInputMessage="1" showErrorMessage="1" errorTitle="" error="" promptTitle="" prompt="" sqref="O124:O124">
      <x:formula1>0</x:formula1>
      <x:formula2>100</x:formula2>
    </x:dataValidation>
    <x:dataValidation type="list" errorStyle="stop" operator="between" allowBlank="1" showDropDown="0" showInputMessage="1" showErrorMessage="1" errorTitle="" error="" promptTitle="" prompt="" sqref="H125:H125">
      <x:formula1>'MasterData'!$B$1:$B$14</x:formula1>
      <x:formula2/>
    </x:dataValidation>
    <x:dataValidation type="list" errorStyle="stop" operator="between" allowBlank="1" showDropDown="0" showInputMessage="1" showErrorMessage="1" errorTitle="" error="" promptTitle="" prompt="" sqref="I125:I125">
      <x:formula1>'MasterData'!$E$1041:$E$1050</x:formula1>
      <x:formula2/>
    </x:dataValidation>
    <x:dataValidation type="decimal" errorStyle="stop" operator="greaterThanOrEqual" allowBlank="1" showDropDown="0" showInputMessage="1" showErrorMessage="1" errorTitle="" error="" promptTitle="" prompt="" sqref="K125:K125">
      <x:formula1>0</x:formula1>
      <x:formula2/>
    </x:dataValidation>
    <x:dataValidation type="decimal" errorStyle="stop" operator="between" allowBlank="1" showDropDown="0" showInputMessage="1" showErrorMessage="1" errorTitle="" error="" promptTitle="" prompt="" sqref="N125:N125">
      <x:formula1>0</x:formula1>
      <x:formula2>100</x:formula2>
    </x:dataValidation>
    <x:dataValidation type="decimal" errorStyle="stop" operator="between" allowBlank="1" showDropDown="0" showInputMessage="1" showErrorMessage="1" errorTitle="" error="" promptTitle="" prompt="" sqref="O125:O125">
      <x:formula1>0</x:formula1>
      <x:formula2>100</x:formula2>
    </x:dataValidation>
    <x:dataValidation type="list" errorStyle="stop" operator="between" allowBlank="1" showDropDown="0" showInputMessage="1" showErrorMessage="1" errorTitle="" error="" promptTitle="" prompt="" sqref="H126:H126">
      <x:formula1>'MasterData'!$B$1:$B$14</x:formula1>
      <x:formula2/>
    </x:dataValidation>
    <x:dataValidation type="list" errorStyle="stop" operator="between" allowBlank="1" showDropDown="0" showInputMessage="1" showErrorMessage="1" errorTitle="" error="" promptTitle="" prompt="" sqref="I126:I126">
      <x:formula1>'MasterData'!$E$1051:$E$1060</x:formula1>
      <x:formula2/>
    </x:dataValidation>
    <x:dataValidation type="decimal" errorStyle="stop" operator="greaterThanOrEqual" allowBlank="1" showDropDown="0" showInputMessage="1" showErrorMessage="1" errorTitle="" error="" promptTitle="" prompt="" sqref="K126:K126">
      <x:formula1>0</x:formula1>
      <x:formula2/>
    </x:dataValidation>
    <x:dataValidation type="decimal" errorStyle="stop" operator="between" allowBlank="1" showDropDown="0" showInputMessage="1" showErrorMessage="1" errorTitle="" error="" promptTitle="" prompt="" sqref="N126:N126">
      <x:formula1>0</x:formula1>
      <x:formula2>100</x:formula2>
    </x:dataValidation>
    <x:dataValidation type="decimal" errorStyle="stop" operator="between" allowBlank="1" showDropDown="0" showInputMessage="1" showErrorMessage="1" errorTitle="" error="" promptTitle="" prompt="" sqref="O126:O126">
      <x:formula1>0</x:formula1>
      <x:formula2>100</x:formula2>
    </x:dataValidation>
    <x:dataValidation type="list" errorStyle="stop" operator="between" allowBlank="1" showDropDown="0" showInputMessage="1" showErrorMessage="1" errorTitle="" error="" promptTitle="" prompt="" sqref="H127:H127">
      <x:formula1>'MasterData'!$B$1:$B$14</x:formula1>
      <x:formula2/>
    </x:dataValidation>
    <x:dataValidation type="list" errorStyle="stop" operator="between" allowBlank="1" showDropDown="0" showInputMessage="1" showErrorMessage="1" errorTitle="" error="" promptTitle="" prompt="" sqref="I127:I127">
      <x:formula1>'MasterData'!$E$1061:$E$1070</x:formula1>
      <x:formula2/>
    </x:dataValidation>
    <x:dataValidation type="decimal" errorStyle="stop" operator="greaterThanOrEqual" allowBlank="1" showDropDown="0" showInputMessage="1" showErrorMessage="1" errorTitle="" error="" promptTitle="" prompt="" sqref="K127:K127">
      <x:formula1>0</x:formula1>
      <x:formula2/>
    </x:dataValidation>
    <x:dataValidation type="decimal" errorStyle="stop" operator="between" allowBlank="1" showDropDown="0" showInputMessage="1" showErrorMessage="1" errorTitle="" error="" promptTitle="" prompt="" sqref="N127:N127">
      <x:formula1>0</x:formula1>
      <x:formula2>100</x:formula2>
    </x:dataValidation>
    <x:dataValidation type="decimal" errorStyle="stop" operator="between" allowBlank="1" showDropDown="0" showInputMessage="1" showErrorMessage="1" errorTitle="" error="" promptTitle="" prompt="" sqref="O127:O127">
      <x:formula1>0</x:formula1>
      <x:formula2>100</x:formula2>
    </x:dataValidation>
    <x:dataValidation type="list" errorStyle="stop" operator="between" allowBlank="1" showDropDown="0" showInputMessage="1" showErrorMessage="1" errorTitle="" error="" promptTitle="" prompt="" sqref="H128:H128">
      <x:formula1>'MasterData'!$B$1:$B$14</x:formula1>
      <x:formula2/>
    </x:dataValidation>
    <x:dataValidation type="list" errorStyle="stop" operator="between" allowBlank="1" showDropDown="0" showInputMessage="1" showErrorMessage="1" errorTitle="" error="" promptTitle="" prompt="" sqref="I128:I128">
      <x:formula1>'MasterData'!$E$1071:$E$1080</x:formula1>
      <x:formula2/>
    </x:dataValidation>
    <x:dataValidation type="decimal" errorStyle="stop" operator="greaterThanOrEqual" allowBlank="1" showDropDown="0" showInputMessage="1" showErrorMessage="1" errorTitle="" error="" promptTitle="" prompt="" sqref="K128:K128">
      <x:formula1>0</x:formula1>
      <x:formula2/>
    </x:dataValidation>
    <x:dataValidation type="decimal" errorStyle="stop" operator="between" allowBlank="1" showDropDown="0" showInputMessage="1" showErrorMessage="1" errorTitle="" error="" promptTitle="" prompt="" sqref="N128:N128">
      <x:formula1>0</x:formula1>
      <x:formula2>100</x:formula2>
    </x:dataValidation>
    <x:dataValidation type="decimal" errorStyle="stop" operator="between" allowBlank="1" showDropDown="0" showInputMessage="1" showErrorMessage="1" errorTitle="" error="" promptTitle="" prompt="" sqref="O128:O128">
      <x:formula1>0</x:formula1>
      <x:formula2>100</x:formula2>
    </x:dataValidation>
    <x:dataValidation type="list" errorStyle="stop" operator="between" allowBlank="1" showDropDown="0" showInputMessage="1" showErrorMessage="1" errorTitle="" error="" promptTitle="" prompt="" sqref="H129:H129">
      <x:formula1>'MasterData'!$B$1:$B$14</x:formula1>
      <x:formula2/>
    </x:dataValidation>
    <x:dataValidation type="list" errorStyle="stop" operator="between" allowBlank="1" showDropDown="0" showInputMessage="1" showErrorMessage="1" errorTitle="" error="" promptTitle="" prompt="" sqref="I129:I129">
      <x:formula1>'MasterData'!$E$1081:$E$1090</x:formula1>
      <x:formula2/>
    </x:dataValidation>
    <x:dataValidation type="decimal" errorStyle="stop" operator="greaterThanOrEqual" allowBlank="1" showDropDown="0" showInputMessage="1" showErrorMessage="1" errorTitle="" error="" promptTitle="" prompt="" sqref="K129:K129">
      <x:formula1>0</x:formula1>
      <x:formula2/>
    </x:dataValidation>
    <x:dataValidation type="decimal" errorStyle="stop" operator="between" allowBlank="1" showDropDown="0" showInputMessage="1" showErrorMessage="1" errorTitle="" error="" promptTitle="" prompt="" sqref="N129:N129">
      <x:formula1>0</x:formula1>
      <x:formula2>100</x:formula2>
    </x:dataValidation>
    <x:dataValidation type="decimal" errorStyle="stop" operator="between" allowBlank="1" showDropDown="0" showInputMessage="1" showErrorMessage="1" errorTitle="" error="" promptTitle="" prompt="" sqref="O129:O129">
      <x:formula1>0</x:formula1>
      <x:formula2>100</x:formula2>
    </x:dataValidation>
    <x:dataValidation type="list" errorStyle="stop" operator="between" allowBlank="1" showDropDown="0" showInputMessage="1" showErrorMessage="1" errorTitle="" error="" promptTitle="" prompt="" sqref="H130:H130">
      <x:formula1>'MasterData'!$B$1:$B$14</x:formula1>
      <x:formula2/>
    </x:dataValidation>
    <x:dataValidation type="list" errorStyle="stop" operator="between" allowBlank="1" showDropDown="0" showInputMessage="1" showErrorMessage="1" errorTitle="" error="" promptTitle="" prompt="" sqref="I130:I130">
      <x:formula1>'MasterData'!$E$1091:$E$1100</x:formula1>
      <x:formula2/>
    </x:dataValidation>
    <x:dataValidation type="decimal" errorStyle="stop" operator="greaterThanOrEqual" allowBlank="1" showDropDown="0" showInputMessage="1" showErrorMessage="1" errorTitle="" error="" promptTitle="" prompt="" sqref="K130:K130">
      <x:formula1>0</x:formula1>
      <x:formula2/>
    </x:dataValidation>
    <x:dataValidation type="decimal" errorStyle="stop" operator="between" allowBlank="1" showDropDown="0" showInputMessage="1" showErrorMessage="1" errorTitle="" error="" promptTitle="" prompt="" sqref="N130:N130">
      <x:formula1>0</x:formula1>
      <x:formula2>100</x:formula2>
    </x:dataValidation>
    <x:dataValidation type="decimal" errorStyle="stop" operator="between" allowBlank="1" showDropDown="0" showInputMessage="1" showErrorMessage="1" errorTitle="" error="" promptTitle="" prompt="" sqref="O130:O130">
      <x:formula1>0</x:formula1>
      <x:formula2>100</x:formula2>
    </x:dataValidation>
    <x:dataValidation type="list" errorStyle="stop" operator="between" allowBlank="1" showDropDown="0" showInputMessage="1" showErrorMessage="1" errorTitle="" error="" promptTitle="" prompt="" sqref="H131:H131">
      <x:formula1>'MasterData'!$B$1:$B$14</x:formula1>
      <x:formula2/>
    </x:dataValidation>
    <x:dataValidation type="list" errorStyle="stop" operator="between" allowBlank="1" showDropDown="0" showInputMessage="1" showErrorMessage="1" errorTitle="" error="" promptTitle="" prompt="" sqref="I131:I131">
      <x:formula1>'MasterData'!$E$1101:$E$1110</x:formula1>
      <x:formula2/>
    </x:dataValidation>
    <x:dataValidation type="decimal" errorStyle="stop" operator="greaterThanOrEqual" allowBlank="1" showDropDown="0" showInputMessage="1" showErrorMessage="1" errorTitle="" error="" promptTitle="" prompt="" sqref="K131:K131">
      <x:formula1>0</x:formula1>
      <x:formula2/>
    </x:dataValidation>
    <x:dataValidation type="decimal" errorStyle="stop" operator="between" allowBlank="1" showDropDown="0" showInputMessage="1" showErrorMessage="1" errorTitle="" error="" promptTitle="" prompt="" sqref="N131:N131">
      <x:formula1>0</x:formula1>
      <x:formula2>100</x:formula2>
    </x:dataValidation>
    <x:dataValidation type="decimal" errorStyle="stop" operator="between" allowBlank="1" showDropDown="0" showInputMessage="1" showErrorMessage="1" errorTitle="" error="" promptTitle="" prompt="" sqref="O131:O131">
      <x:formula1>0</x:formula1>
      <x:formula2>100</x:formula2>
    </x:dataValidation>
    <x:dataValidation type="list" errorStyle="stop" operator="between" allowBlank="1" showDropDown="0" showInputMessage="1" showErrorMessage="1" errorTitle="" error="" promptTitle="" prompt="" sqref="H132:H132">
      <x:formula1>'MasterData'!$B$1:$B$14</x:formula1>
      <x:formula2/>
    </x:dataValidation>
    <x:dataValidation type="list" errorStyle="stop" operator="between" allowBlank="1" showDropDown="0" showInputMessage="1" showErrorMessage="1" errorTitle="" error="" promptTitle="" prompt="" sqref="I132:I132">
      <x:formula1>'MasterData'!$E$1111:$E$1120</x:formula1>
      <x:formula2/>
    </x:dataValidation>
    <x:dataValidation type="decimal" errorStyle="stop" operator="greaterThanOrEqual" allowBlank="1" showDropDown="0" showInputMessage="1" showErrorMessage="1" errorTitle="" error="" promptTitle="" prompt="" sqref="K132:K132">
      <x:formula1>0</x:formula1>
      <x:formula2/>
    </x:dataValidation>
    <x:dataValidation type="decimal" errorStyle="stop" operator="between" allowBlank="1" showDropDown="0" showInputMessage="1" showErrorMessage="1" errorTitle="" error="" promptTitle="" prompt="" sqref="N132:N132">
      <x:formula1>0</x:formula1>
      <x:formula2>100</x:formula2>
    </x:dataValidation>
    <x:dataValidation type="decimal" errorStyle="stop" operator="between" allowBlank="1" showDropDown="0" showInputMessage="1" showErrorMessage="1" errorTitle="" error="" promptTitle="" prompt="" sqref="O132:O132">
      <x:formula1>0</x:formula1>
      <x:formula2>100</x:formula2>
    </x:dataValidation>
    <x:dataValidation type="list" errorStyle="stop" operator="between" allowBlank="1" showDropDown="0" showInputMessage="1" showErrorMessage="1" errorTitle="" error="" promptTitle="" prompt="" sqref="H133:H133">
      <x:formula1>'MasterData'!$B$1:$B$14</x:formula1>
      <x:formula2/>
    </x:dataValidation>
    <x:dataValidation type="list" errorStyle="stop" operator="between" allowBlank="1" showDropDown="0" showInputMessage="1" showErrorMessage="1" errorTitle="" error="" promptTitle="" prompt="" sqref="I133:I133">
      <x:formula1>'MasterData'!$E$1121:$E$1130</x:formula1>
      <x:formula2/>
    </x:dataValidation>
    <x:dataValidation type="decimal" errorStyle="stop" operator="greaterThanOrEqual" allowBlank="1" showDropDown="0" showInputMessage="1" showErrorMessage="1" errorTitle="" error="" promptTitle="" prompt="" sqref="K133:K133">
      <x:formula1>0</x:formula1>
      <x:formula2/>
    </x:dataValidation>
    <x:dataValidation type="decimal" errorStyle="stop" operator="between" allowBlank="1" showDropDown="0" showInputMessage="1" showErrorMessage="1" errorTitle="" error="" promptTitle="" prompt="" sqref="N133:N133">
      <x:formula1>0</x:formula1>
      <x:formula2>100</x:formula2>
    </x:dataValidation>
    <x:dataValidation type="decimal" errorStyle="stop" operator="between" allowBlank="1" showDropDown="0" showInputMessage="1" showErrorMessage="1" errorTitle="" error="" promptTitle="" prompt="" sqref="O133:O133">
      <x:formula1>0</x:formula1>
      <x:formula2>100</x:formula2>
    </x:dataValidation>
    <x:dataValidation type="list" errorStyle="stop" operator="between" allowBlank="1" showDropDown="0" showInputMessage="1" showErrorMessage="1" errorTitle="" error="" promptTitle="" prompt="" sqref="H134:H134">
      <x:formula1>'MasterData'!$B$1:$B$14</x:formula1>
      <x:formula2/>
    </x:dataValidation>
    <x:dataValidation type="list" errorStyle="stop" operator="between" allowBlank="1" showDropDown="0" showInputMessage="1" showErrorMessage="1" errorTitle="" error="" promptTitle="" prompt="" sqref="I134:I134">
      <x:formula1>'MasterData'!$E$1131:$E$1140</x:formula1>
      <x:formula2/>
    </x:dataValidation>
    <x:dataValidation type="decimal" errorStyle="stop" operator="greaterThanOrEqual" allowBlank="1" showDropDown="0" showInputMessage="1" showErrorMessage="1" errorTitle="" error="" promptTitle="" prompt="" sqref="K134:K134">
      <x:formula1>0</x:formula1>
      <x:formula2/>
    </x:dataValidation>
    <x:dataValidation type="decimal" errorStyle="stop" operator="between" allowBlank="1" showDropDown="0" showInputMessage="1" showErrorMessage="1" errorTitle="" error="" promptTitle="" prompt="" sqref="N134:N134">
      <x:formula1>0</x:formula1>
      <x:formula2>100</x:formula2>
    </x:dataValidation>
    <x:dataValidation type="decimal" errorStyle="stop" operator="between" allowBlank="1" showDropDown="0" showInputMessage="1" showErrorMessage="1" errorTitle="" error="" promptTitle="" prompt="" sqref="O134:O134">
      <x:formula1>0</x:formula1>
      <x:formula2>100</x:formula2>
    </x:dataValidation>
    <x:dataValidation type="list" errorStyle="stop" operator="between" allowBlank="1" showDropDown="0" showInputMessage="1" showErrorMessage="1" errorTitle="" error="" promptTitle="" prompt="" sqref="H135:H135">
      <x:formula1>'MasterData'!$B$1:$B$14</x:formula1>
      <x:formula2/>
    </x:dataValidation>
    <x:dataValidation type="list" errorStyle="stop" operator="between" allowBlank="1" showDropDown="0" showInputMessage="1" showErrorMessage="1" errorTitle="" error="" promptTitle="" prompt="" sqref="I135:I135">
      <x:formula1>'MasterData'!$E$1141:$E$1150</x:formula1>
      <x:formula2/>
    </x:dataValidation>
    <x:dataValidation type="decimal" errorStyle="stop" operator="greaterThanOrEqual" allowBlank="1" showDropDown="0" showInputMessage="1" showErrorMessage="1" errorTitle="" error="" promptTitle="" prompt="" sqref="K135:K135">
      <x:formula1>0</x:formula1>
      <x:formula2/>
    </x:dataValidation>
    <x:dataValidation type="decimal" errorStyle="stop" operator="between" allowBlank="1" showDropDown="0" showInputMessage="1" showErrorMessage="1" errorTitle="" error="" promptTitle="" prompt="" sqref="N135:N135">
      <x:formula1>0</x:formula1>
      <x:formula2>100</x:formula2>
    </x:dataValidation>
    <x:dataValidation type="decimal" errorStyle="stop" operator="between" allowBlank="1" showDropDown="0" showInputMessage="1" showErrorMessage="1" errorTitle="" error="" promptTitle="" prompt="" sqref="O135:O135">
      <x:formula1>0</x:formula1>
      <x:formula2>100</x:formula2>
    </x:dataValidation>
    <x:dataValidation type="list" errorStyle="stop" operator="between" allowBlank="1" showDropDown="0" showInputMessage="1" showErrorMessage="1" errorTitle="" error="" promptTitle="" prompt="" sqref="H136:H136">
      <x:formula1>'MasterData'!$B$1:$B$14</x:formula1>
      <x:formula2/>
    </x:dataValidation>
    <x:dataValidation type="list" errorStyle="stop" operator="between" allowBlank="1" showDropDown="0" showInputMessage="1" showErrorMessage="1" errorTitle="" error="" promptTitle="" prompt="" sqref="I136:I136">
      <x:formula1>'MasterData'!$E$1151:$E$1160</x:formula1>
      <x:formula2/>
    </x:dataValidation>
    <x:dataValidation type="decimal" errorStyle="stop" operator="greaterThanOrEqual" allowBlank="1" showDropDown="0" showInputMessage="1" showErrorMessage="1" errorTitle="" error="" promptTitle="" prompt="" sqref="K136:K136">
      <x:formula1>0</x:formula1>
      <x:formula2/>
    </x:dataValidation>
    <x:dataValidation type="decimal" errorStyle="stop" operator="between" allowBlank="1" showDropDown="0" showInputMessage="1" showErrorMessage="1" errorTitle="" error="" promptTitle="" prompt="" sqref="N136:N136">
      <x:formula1>0</x:formula1>
      <x:formula2>100</x:formula2>
    </x:dataValidation>
    <x:dataValidation type="decimal" errorStyle="stop" operator="between" allowBlank="1" showDropDown="0" showInputMessage="1" showErrorMessage="1" errorTitle="" error="" promptTitle="" prompt="" sqref="O136:O136">
      <x:formula1>0</x:formula1>
      <x:formula2>100</x:formula2>
    </x:dataValidation>
    <x:dataValidation type="list" errorStyle="stop" operator="between" allowBlank="1" showDropDown="0" showInputMessage="1" showErrorMessage="1" errorTitle="" error="" promptTitle="" prompt="" sqref="H137:H137">
      <x:formula1>'MasterData'!$B$1:$B$14</x:formula1>
      <x:formula2/>
    </x:dataValidation>
    <x:dataValidation type="list" errorStyle="stop" operator="between" allowBlank="1" showDropDown="0" showInputMessage="1" showErrorMessage="1" errorTitle="" error="" promptTitle="" prompt="" sqref="I137:I137">
      <x:formula1>'MasterData'!$E$1161:$E$1170</x:formula1>
      <x:formula2/>
    </x:dataValidation>
    <x:dataValidation type="decimal" errorStyle="stop" operator="greaterThanOrEqual" allowBlank="1" showDropDown="0" showInputMessage="1" showErrorMessage="1" errorTitle="" error="" promptTitle="" prompt="" sqref="K137:K137">
      <x:formula1>0</x:formula1>
      <x:formula2/>
    </x:dataValidation>
    <x:dataValidation type="decimal" errorStyle="stop" operator="between" allowBlank="1" showDropDown="0" showInputMessage="1" showErrorMessage="1" errorTitle="" error="" promptTitle="" prompt="" sqref="N137:N137">
      <x:formula1>0</x:formula1>
      <x:formula2>100</x:formula2>
    </x:dataValidation>
    <x:dataValidation type="decimal" errorStyle="stop" operator="between" allowBlank="1" showDropDown="0" showInputMessage="1" showErrorMessage="1" errorTitle="" error="" promptTitle="" prompt="" sqref="O137:O137">
      <x:formula1>0</x:formula1>
      <x:formula2>100</x:formula2>
    </x:dataValidation>
    <x:dataValidation type="list" errorStyle="stop" operator="between" allowBlank="1" showDropDown="0" showInputMessage="1" showErrorMessage="1" errorTitle="" error="" promptTitle="" prompt="" sqref="H138:H138">
      <x:formula1>'MasterData'!$B$1:$B$14</x:formula1>
      <x:formula2/>
    </x:dataValidation>
    <x:dataValidation type="list" errorStyle="stop" operator="between" allowBlank="1" showDropDown="0" showInputMessage="1" showErrorMessage="1" errorTitle="" error="" promptTitle="" prompt="" sqref="I138:I138">
      <x:formula1>'MasterData'!$E$1171:$E$1180</x:formula1>
      <x:formula2/>
    </x:dataValidation>
    <x:dataValidation type="decimal" errorStyle="stop" operator="greaterThanOrEqual" allowBlank="1" showDropDown="0" showInputMessage="1" showErrorMessage="1" errorTitle="" error="" promptTitle="" prompt="" sqref="K138:K138">
      <x:formula1>0</x:formula1>
      <x:formula2/>
    </x:dataValidation>
    <x:dataValidation type="decimal" errorStyle="stop" operator="between" allowBlank="1" showDropDown="0" showInputMessage="1" showErrorMessage="1" errorTitle="" error="" promptTitle="" prompt="" sqref="N138:N138">
      <x:formula1>0</x:formula1>
      <x:formula2>100</x:formula2>
    </x:dataValidation>
    <x:dataValidation type="decimal" errorStyle="stop" operator="between" allowBlank="1" showDropDown="0" showInputMessage="1" showErrorMessage="1" errorTitle="" error="" promptTitle="" prompt="" sqref="O138:O138">
      <x:formula1>0</x:formula1>
      <x:formula2>100</x:formula2>
    </x:dataValidation>
    <x:dataValidation type="list" errorStyle="stop" operator="between" allowBlank="1" showDropDown="0" showInputMessage="1" showErrorMessage="1" errorTitle="" error="" promptTitle="" prompt="" sqref="H139:H139">
      <x:formula1>'MasterData'!$B$1:$B$14</x:formula1>
      <x:formula2/>
    </x:dataValidation>
    <x:dataValidation type="list" errorStyle="stop" operator="between" allowBlank="1" showDropDown="0" showInputMessage="1" showErrorMessage="1" errorTitle="" error="" promptTitle="" prompt="" sqref="I139:I139">
      <x:formula1>'MasterData'!$E$1181:$E$1190</x:formula1>
      <x:formula2/>
    </x:dataValidation>
    <x:dataValidation type="decimal" errorStyle="stop" operator="greaterThanOrEqual" allowBlank="1" showDropDown="0" showInputMessage="1" showErrorMessage="1" errorTitle="" error="" promptTitle="" prompt="" sqref="K139:K139">
      <x:formula1>0</x:formula1>
      <x:formula2/>
    </x:dataValidation>
    <x:dataValidation type="decimal" errorStyle="stop" operator="between" allowBlank="1" showDropDown="0" showInputMessage="1" showErrorMessage="1" errorTitle="" error="" promptTitle="" prompt="" sqref="N139:N139">
      <x:formula1>0</x:formula1>
      <x:formula2>100</x:formula2>
    </x:dataValidation>
    <x:dataValidation type="decimal" errorStyle="stop" operator="between" allowBlank="1" showDropDown="0" showInputMessage="1" showErrorMessage="1" errorTitle="" error="" promptTitle="" prompt="" sqref="O139:O139">
      <x:formula1>0</x:formula1>
      <x:formula2>100</x:formula2>
    </x:dataValidation>
    <x:dataValidation type="list" errorStyle="stop" operator="between" allowBlank="1" showDropDown="0" showInputMessage="1" showErrorMessage="1" errorTitle="" error="" promptTitle="" prompt="" sqref="H140:H140">
      <x:formula1>'MasterData'!$B$1:$B$14</x:formula1>
      <x:formula2/>
    </x:dataValidation>
    <x:dataValidation type="list" errorStyle="stop" operator="between" allowBlank="1" showDropDown="0" showInputMessage="1" showErrorMessage="1" errorTitle="" error="" promptTitle="" prompt="" sqref="I140:I140">
      <x:formula1>'MasterData'!$E$1191:$E$1200</x:formula1>
      <x:formula2/>
    </x:dataValidation>
    <x:dataValidation type="decimal" errorStyle="stop" operator="greaterThanOrEqual" allowBlank="1" showDropDown="0" showInputMessage="1" showErrorMessage="1" errorTitle="" error="" promptTitle="" prompt="" sqref="K140:K140">
      <x:formula1>0</x:formula1>
      <x:formula2/>
    </x:dataValidation>
    <x:dataValidation type="decimal" errorStyle="stop" operator="between" allowBlank="1" showDropDown="0" showInputMessage="1" showErrorMessage="1" errorTitle="" error="" promptTitle="" prompt="" sqref="N140:N140">
      <x:formula1>0</x:formula1>
      <x:formula2>100</x:formula2>
    </x:dataValidation>
    <x:dataValidation type="decimal" errorStyle="stop" operator="between" allowBlank="1" showDropDown="0" showInputMessage="1" showErrorMessage="1" errorTitle="" error="" promptTitle="" prompt="" sqref="O140:O140">
      <x:formula1>0</x:formula1>
      <x:formula2>100</x:formula2>
    </x:dataValidation>
    <x:dataValidation type="list" errorStyle="stop" operator="between" allowBlank="1" showDropDown="0" showInputMessage="1" showErrorMessage="1" errorTitle="" error="" promptTitle="" prompt="" sqref="H141:H141">
      <x:formula1>'MasterData'!$B$1:$B$14</x:formula1>
      <x:formula2/>
    </x:dataValidation>
    <x:dataValidation type="list" errorStyle="stop" operator="between" allowBlank="1" showDropDown="0" showInputMessage="1" showErrorMessage="1" errorTitle="" error="" promptTitle="" prompt="" sqref="I141:I141">
      <x:formula1>'MasterData'!$E$1201:$E$1210</x:formula1>
      <x:formula2/>
    </x:dataValidation>
    <x:dataValidation type="decimal" errorStyle="stop" operator="greaterThanOrEqual" allowBlank="1" showDropDown="0" showInputMessage="1" showErrorMessage="1" errorTitle="" error="" promptTitle="" prompt="" sqref="K141:K141">
      <x:formula1>0</x:formula1>
      <x:formula2/>
    </x:dataValidation>
    <x:dataValidation type="decimal" errorStyle="stop" operator="between" allowBlank="1" showDropDown="0" showInputMessage="1" showErrorMessage="1" errorTitle="" error="" promptTitle="" prompt="" sqref="N141:N141">
      <x:formula1>0</x:formula1>
      <x:formula2>100</x:formula2>
    </x:dataValidation>
    <x:dataValidation type="decimal" errorStyle="stop" operator="between" allowBlank="1" showDropDown="0" showInputMessage="1" showErrorMessage="1" errorTitle="" error="" promptTitle="" prompt="" sqref="O141:O141">
      <x:formula1>0</x:formula1>
      <x:formula2>100</x:formula2>
    </x:dataValidation>
    <x:dataValidation type="list" errorStyle="stop" operator="between" allowBlank="1" showDropDown="0" showInputMessage="1" showErrorMessage="1" errorTitle="" error="" promptTitle="" prompt="" sqref="H142:H142">
      <x:formula1>'MasterData'!$B$1:$B$14</x:formula1>
      <x:formula2/>
    </x:dataValidation>
    <x:dataValidation type="list" errorStyle="stop" operator="between" allowBlank="1" showDropDown="0" showInputMessage="1" showErrorMessage="1" errorTitle="" error="" promptTitle="" prompt="" sqref="I142:I142">
      <x:formula1>'MasterData'!$E$1211:$E$1220</x:formula1>
      <x:formula2/>
    </x:dataValidation>
    <x:dataValidation type="decimal" errorStyle="stop" operator="greaterThanOrEqual" allowBlank="1" showDropDown="0" showInputMessage="1" showErrorMessage="1" errorTitle="" error="" promptTitle="" prompt="" sqref="K142:K142">
      <x:formula1>0</x:formula1>
      <x:formula2/>
    </x:dataValidation>
    <x:dataValidation type="decimal" errorStyle="stop" operator="between" allowBlank="1" showDropDown="0" showInputMessage="1" showErrorMessage="1" errorTitle="" error="" promptTitle="" prompt="" sqref="N142:N142">
      <x:formula1>0</x:formula1>
      <x:formula2>100</x:formula2>
    </x:dataValidation>
    <x:dataValidation type="decimal" errorStyle="stop" operator="between" allowBlank="1" showDropDown="0" showInputMessage="1" showErrorMessage="1" errorTitle="" error="" promptTitle="" prompt="" sqref="O142:O142">
      <x:formula1>0</x:formula1>
      <x:formula2>100</x:formula2>
    </x:dataValidation>
    <x:dataValidation type="list" errorStyle="stop" operator="between" allowBlank="1" showDropDown="0" showInputMessage="1" showErrorMessage="1" errorTitle="" error="" promptTitle="" prompt="" sqref="H143:H143">
      <x:formula1>'MasterData'!$B$1:$B$14</x:formula1>
      <x:formula2/>
    </x:dataValidation>
    <x:dataValidation type="list" errorStyle="stop" operator="between" allowBlank="1" showDropDown="0" showInputMessage="1" showErrorMessage="1" errorTitle="" error="" promptTitle="" prompt="" sqref="I143:I143">
      <x:formula1>'MasterData'!$E$1221:$E$1230</x:formula1>
      <x:formula2/>
    </x:dataValidation>
    <x:dataValidation type="decimal" errorStyle="stop" operator="greaterThanOrEqual" allowBlank="1" showDropDown="0" showInputMessage="1" showErrorMessage="1" errorTitle="" error="" promptTitle="" prompt="" sqref="K143:K143">
      <x:formula1>0</x:formula1>
      <x:formula2/>
    </x:dataValidation>
    <x:dataValidation type="decimal" errorStyle="stop" operator="between" allowBlank="1" showDropDown="0" showInputMessage="1" showErrorMessage="1" errorTitle="" error="" promptTitle="" prompt="" sqref="N143:N143">
      <x:formula1>0</x:formula1>
      <x:formula2>100</x:formula2>
    </x:dataValidation>
    <x:dataValidation type="decimal" errorStyle="stop" operator="between" allowBlank="1" showDropDown="0" showInputMessage="1" showErrorMessage="1" errorTitle="" error="" promptTitle="" prompt="" sqref="O143:O143">
      <x:formula1>0</x:formula1>
      <x:formula2>100</x:formula2>
    </x:dataValidation>
    <x:dataValidation type="list" errorStyle="stop" operator="between" allowBlank="1" showDropDown="0" showInputMessage="1" showErrorMessage="1" errorTitle="" error="" promptTitle="" prompt="" sqref="H144:H144">
      <x:formula1>'MasterData'!$B$1:$B$14</x:formula1>
      <x:formula2/>
    </x:dataValidation>
    <x:dataValidation type="list" errorStyle="stop" operator="between" allowBlank="1" showDropDown="0" showInputMessage="1" showErrorMessage="1" errorTitle="" error="" promptTitle="" prompt="" sqref="I144:I144">
      <x:formula1>'MasterData'!$E$1231:$E$1240</x:formula1>
      <x:formula2/>
    </x:dataValidation>
    <x:dataValidation type="decimal" errorStyle="stop" operator="greaterThanOrEqual" allowBlank="1" showDropDown="0" showInputMessage="1" showErrorMessage="1" errorTitle="" error="" promptTitle="" prompt="" sqref="K144:K144">
      <x:formula1>0</x:formula1>
      <x:formula2/>
    </x:dataValidation>
    <x:dataValidation type="decimal" errorStyle="stop" operator="between" allowBlank="1" showDropDown="0" showInputMessage="1" showErrorMessage="1" errorTitle="" error="" promptTitle="" prompt="" sqref="N144:N144">
      <x:formula1>0</x:formula1>
      <x:formula2>100</x:formula2>
    </x:dataValidation>
    <x:dataValidation type="decimal" errorStyle="stop" operator="between" allowBlank="1" showDropDown="0" showInputMessage="1" showErrorMessage="1" errorTitle="" error="" promptTitle="" prompt="" sqref="O144:O144">
      <x:formula1>0</x:formula1>
      <x:formula2>100</x:formula2>
    </x:dataValidation>
    <x:dataValidation type="list" errorStyle="stop" operator="between" allowBlank="1" showDropDown="0" showInputMessage="1" showErrorMessage="1" errorTitle="" error="" promptTitle="" prompt="" sqref="H145:H145">
      <x:formula1>'MasterData'!$B$1:$B$14</x:formula1>
      <x:formula2/>
    </x:dataValidation>
    <x:dataValidation type="list" errorStyle="stop" operator="between" allowBlank="1" showDropDown="0" showInputMessage="1" showErrorMessage="1" errorTitle="" error="" promptTitle="" prompt="" sqref="I145:I145">
      <x:formula1>'MasterData'!$E$1241:$E$1250</x:formula1>
      <x:formula2/>
    </x:dataValidation>
    <x:dataValidation type="decimal" errorStyle="stop" operator="greaterThanOrEqual" allowBlank="1" showDropDown="0" showInputMessage="1" showErrorMessage="1" errorTitle="" error="" promptTitle="" prompt="" sqref="K145:K145">
      <x:formula1>0</x:formula1>
      <x:formula2/>
    </x:dataValidation>
    <x:dataValidation type="decimal" errorStyle="stop" operator="between" allowBlank="1" showDropDown="0" showInputMessage="1" showErrorMessage="1" errorTitle="" error="" promptTitle="" prompt="" sqref="N145:N145">
      <x:formula1>0</x:formula1>
      <x:formula2>100</x:formula2>
    </x:dataValidation>
    <x:dataValidation type="decimal" errorStyle="stop" operator="between" allowBlank="1" showDropDown="0" showInputMessage="1" showErrorMessage="1" errorTitle="" error="" promptTitle="" prompt="" sqref="O145:O145">
      <x:formula1>0</x:formula1>
      <x:formula2>100</x:formula2>
    </x:dataValidation>
    <x:dataValidation type="list" errorStyle="stop" operator="between" allowBlank="1" showDropDown="0" showInputMessage="1" showErrorMessage="1" errorTitle="" error="" promptTitle="" prompt="" sqref="H146:H146">
      <x:formula1>'MasterData'!$B$1:$B$14</x:formula1>
      <x:formula2/>
    </x:dataValidation>
    <x:dataValidation type="list" errorStyle="stop" operator="between" allowBlank="1" showDropDown="0" showInputMessage="1" showErrorMessage="1" errorTitle="" error="" promptTitle="" prompt="" sqref="I146:I146">
      <x:formula1>'MasterData'!$E$1251:$E$1260</x:formula1>
      <x:formula2/>
    </x:dataValidation>
    <x:dataValidation type="decimal" errorStyle="stop" operator="greaterThanOrEqual" allowBlank="1" showDropDown="0" showInputMessage="1" showErrorMessage="1" errorTitle="" error="" promptTitle="" prompt="" sqref="K146:K146">
      <x:formula1>0</x:formula1>
      <x:formula2/>
    </x:dataValidation>
    <x:dataValidation type="decimal" errorStyle="stop" operator="between" allowBlank="1" showDropDown="0" showInputMessage="1" showErrorMessage="1" errorTitle="" error="" promptTitle="" prompt="" sqref="N146:N146">
      <x:formula1>0</x:formula1>
      <x:formula2>100</x:formula2>
    </x:dataValidation>
    <x:dataValidation type="decimal" errorStyle="stop" operator="between" allowBlank="1" showDropDown="0" showInputMessage="1" showErrorMessage="1" errorTitle="" error="" promptTitle="" prompt="" sqref="O146:O146">
      <x:formula1>0</x:formula1>
      <x:formula2>100</x:formula2>
    </x:dataValidation>
    <x:dataValidation type="list" errorStyle="stop" operator="between" allowBlank="1" showDropDown="0" showInputMessage="1" showErrorMessage="1" errorTitle="" error="" promptTitle="" prompt="" sqref="H147:H147">
      <x:formula1>'MasterData'!$B$1:$B$14</x:formula1>
      <x:formula2/>
    </x:dataValidation>
    <x:dataValidation type="list" errorStyle="stop" operator="between" allowBlank="1" showDropDown="0" showInputMessage="1" showErrorMessage="1" errorTitle="" error="" promptTitle="" prompt="" sqref="I147:I147">
      <x:formula1>'MasterData'!$E$1261:$E$1270</x:formula1>
      <x:formula2/>
    </x:dataValidation>
    <x:dataValidation type="decimal" errorStyle="stop" operator="greaterThanOrEqual" allowBlank="1" showDropDown="0" showInputMessage="1" showErrorMessage="1" errorTitle="" error="" promptTitle="" prompt="" sqref="K147:K147">
      <x:formula1>0</x:formula1>
      <x:formula2/>
    </x:dataValidation>
    <x:dataValidation type="decimal" errorStyle="stop" operator="between" allowBlank="1" showDropDown="0" showInputMessage="1" showErrorMessage="1" errorTitle="" error="" promptTitle="" prompt="" sqref="N147:N147">
      <x:formula1>0</x:formula1>
      <x:formula2>100</x:formula2>
    </x:dataValidation>
    <x:dataValidation type="decimal" errorStyle="stop" operator="between" allowBlank="1" showDropDown="0" showInputMessage="1" showErrorMessage="1" errorTitle="" error="" promptTitle="" prompt="" sqref="O147:O147">
      <x:formula1>0</x:formula1>
      <x:formula2>100</x:formula2>
    </x:dataValidation>
    <x:dataValidation type="list" errorStyle="stop" operator="between" allowBlank="1" showDropDown="0" showInputMessage="1" showErrorMessage="1" errorTitle="" error="" promptTitle="" prompt="" sqref="H148:H148">
      <x:formula1>'MasterData'!$B$1:$B$14</x:formula1>
      <x:formula2/>
    </x:dataValidation>
    <x:dataValidation type="list" errorStyle="stop" operator="between" allowBlank="1" showDropDown="0" showInputMessage="1" showErrorMessage="1" errorTitle="" error="" promptTitle="" prompt="" sqref="I148:I148">
      <x:formula1>'MasterData'!$E$1271:$E$1280</x:formula1>
      <x:formula2/>
    </x:dataValidation>
    <x:dataValidation type="decimal" errorStyle="stop" operator="greaterThanOrEqual" allowBlank="1" showDropDown="0" showInputMessage="1" showErrorMessage="1" errorTitle="" error="" promptTitle="" prompt="" sqref="K148:K148">
      <x:formula1>0</x:formula1>
      <x:formula2/>
    </x:dataValidation>
    <x:dataValidation type="decimal" errorStyle="stop" operator="between" allowBlank="1" showDropDown="0" showInputMessage="1" showErrorMessage="1" errorTitle="" error="" promptTitle="" prompt="" sqref="N148:N148">
      <x:formula1>0</x:formula1>
      <x:formula2>100</x:formula2>
    </x:dataValidation>
    <x:dataValidation type="decimal" errorStyle="stop" operator="between" allowBlank="1" showDropDown="0" showInputMessage="1" showErrorMessage="1" errorTitle="" error="" promptTitle="" prompt="" sqref="O148:O148">
      <x:formula1>0</x:formula1>
      <x:formula2>100</x:formula2>
    </x:dataValidation>
    <x:dataValidation type="list" errorStyle="stop" operator="between" allowBlank="1" showDropDown="0" showInputMessage="1" showErrorMessage="1" errorTitle="" error="" promptTitle="" prompt="" sqref="H149:H149">
      <x:formula1>'MasterData'!$B$1:$B$14</x:formula1>
      <x:formula2/>
    </x:dataValidation>
    <x:dataValidation type="list" errorStyle="stop" operator="between" allowBlank="1" showDropDown="0" showInputMessage="1" showErrorMessage="1" errorTitle="" error="" promptTitle="" prompt="" sqref="I149:I149">
      <x:formula1>'MasterData'!$E$1281:$E$1290</x:formula1>
      <x:formula2/>
    </x:dataValidation>
    <x:dataValidation type="decimal" errorStyle="stop" operator="greaterThanOrEqual" allowBlank="1" showDropDown="0" showInputMessage="1" showErrorMessage="1" errorTitle="" error="" promptTitle="" prompt="" sqref="K149:K149">
      <x:formula1>0</x:formula1>
      <x:formula2/>
    </x:dataValidation>
    <x:dataValidation type="decimal" errorStyle="stop" operator="between" allowBlank="1" showDropDown="0" showInputMessage="1" showErrorMessage="1" errorTitle="" error="" promptTitle="" prompt="" sqref="N149:N149">
      <x:formula1>0</x:formula1>
      <x:formula2>100</x:formula2>
    </x:dataValidation>
    <x:dataValidation type="decimal" errorStyle="stop" operator="between" allowBlank="1" showDropDown="0" showInputMessage="1" showErrorMessage="1" errorTitle="" error="" promptTitle="" prompt="" sqref="O149:O149">
      <x:formula1>0</x:formula1>
      <x:formula2>100</x:formula2>
    </x:dataValidation>
    <x:dataValidation type="list" errorStyle="stop" operator="between" allowBlank="1" showDropDown="0" showInputMessage="1" showErrorMessage="1" errorTitle="" error="" promptTitle="" prompt="" sqref="H150:H150">
      <x:formula1>'MasterData'!$B$1:$B$14</x:formula1>
      <x:formula2/>
    </x:dataValidation>
    <x:dataValidation type="list" errorStyle="stop" operator="between" allowBlank="1" showDropDown="0" showInputMessage="1" showErrorMessage="1" errorTitle="" error="" promptTitle="" prompt="" sqref="I150:I150">
      <x:formula1>'MasterData'!$E$1291:$E$1300</x:formula1>
      <x:formula2/>
    </x:dataValidation>
    <x:dataValidation type="decimal" errorStyle="stop" operator="greaterThanOrEqual" allowBlank="1" showDropDown="0" showInputMessage="1" showErrorMessage="1" errorTitle="" error="" promptTitle="" prompt="" sqref="K150:K150">
      <x:formula1>0</x:formula1>
      <x:formula2/>
    </x:dataValidation>
    <x:dataValidation type="decimal" errorStyle="stop" operator="between" allowBlank="1" showDropDown="0" showInputMessage="1" showErrorMessage="1" errorTitle="" error="" promptTitle="" prompt="" sqref="N150:N150">
      <x:formula1>0</x:formula1>
      <x:formula2>100</x:formula2>
    </x:dataValidation>
    <x:dataValidation type="decimal" errorStyle="stop" operator="between" allowBlank="1" showDropDown="0" showInputMessage="1" showErrorMessage="1" errorTitle="" error="" promptTitle="" prompt="" sqref="O150:O150">
      <x:formula1>0</x:formula1>
      <x:formula2>100</x:formula2>
    </x:dataValidation>
    <x:dataValidation type="list" errorStyle="stop" operator="between" allowBlank="1" showDropDown="0" showInputMessage="1" showErrorMessage="1" errorTitle="" error="" promptTitle="" prompt="" sqref="H151:H151">
      <x:formula1>'MasterData'!$B$1:$B$14</x:formula1>
      <x:formula2/>
    </x:dataValidation>
    <x:dataValidation type="list" errorStyle="stop" operator="between" allowBlank="1" showDropDown="0" showInputMessage="1" showErrorMessage="1" errorTitle="" error="" promptTitle="" prompt="" sqref="I151:I151">
      <x:formula1>'MasterData'!$E$1301:$E$1310</x:formula1>
      <x:formula2/>
    </x:dataValidation>
    <x:dataValidation type="decimal" errorStyle="stop" operator="greaterThanOrEqual" allowBlank="1" showDropDown="0" showInputMessage="1" showErrorMessage="1" errorTitle="" error="" promptTitle="" prompt="" sqref="K151:K151">
      <x:formula1>0</x:formula1>
      <x:formula2/>
    </x:dataValidation>
    <x:dataValidation type="decimal" errorStyle="stop" operator="between" allowBlank="1" showDropDown="0" showInputMessage="1" showErrorMessage="1" errorTitle="" error="" promptTitle="" prompt="" sqref="N151:N151">
      <x:formula1>0</x:formula1>
      <x:formula2>100</x:formula2>
    </x:dataValidation>
    <x:dataValidation type="decimal" errorStyle="stop" operator="between" allowBlank="1" showDropDown="0" showInputMessage="1" showErrorMessage="1" errorTitle="" error="" promptTitle="" prompt="" sqref="O151:O151">
      <x:formula1>0</x:formula1>
      <x:formula2>100</x:formula2>
    </x:dataValidation>
    <x:dataValidation type="list" errorStyle="stop" operator="between" allowBlank="1" showDropDown="0" showInputMessage="1" showErrorMessage="1" errorTitle="" error="" promptTitle="" prompt="" sqref="H152:H152">
      <x:formula1>'MasterData'!$B$1:$B$14</x:formula1>
      <x:formula2/>
    </x:dataValidation>
    <x:dataValidation type="list" errorStyle="stop" operator="between" allowBlank="1" showDropDown="0" showInputMessage="1" showErrorMessage="1" errorTitle="" error="" promptTitle="" prompt="" sqref="I152:I152">
      <x:formula1>'MasterData'!$E$1311:$E$1320</x:formula1>
      <x:formula2/>
    </x:dataValidation>
    <x:dataValidation type="decimal" errorStyle="stop" operator="greaterThanOrEqual" allowBlank="1" showDropDown="0" showInputMessage="1" showErrorMessage="1" errorTitle="" error="" promptTitle="" prompt="" sqref="K152:K152">
      <x:formula1>0</x:formula1>
      <x:formula2/>
    </x:dataValidation>
    <x:dataValidation type="decimal" errorStyle="stop" operator="between" allowBlank="1" showDropDown="0" showInputMessage="1" showErrorMessage="1" errorTitle="" error="" promptTitle="" prompt="" sqref="N152:N152">
      <x:formula1>0</x:formula1>
      <x:formula2>100</x:formula2>
    </x:dataValidation>
    <x:dataValidation type="decimal" errorStyle="stop" operator="between" allowBlank="1" showDropDown="0" showInputMessage="1" showErrorMessage="1" errorTitle="" error="" promptTitle="" prompt="" sqref="O152:O152">
      <x:formula1>0</x:formula1>
      <x:formula2>100</x:formula2>
    </x:dataValidation>
    <x:dataValidation type="list" errorStyle="stop" operator="between" allowBlank="1" showDropDown="0" showInputMessage="1" showErrorMessage="1" errorTitle="" error="" promptTitle="" prompt="" sqref="H153:H153">
      <x:formula1>'MasterData'!$B$1:$B$14</x:formula1>
      <x:formula2/>
    </x:dataValidation>
    <x:dataValidation type="list" errorStyle="stop" operator="between" allowBlank="1" showDropDown="0" showInputMessage="1" showErrorMessage="1" errorTitle="" error="" promptTitle="" prompt="" sqref="I153:I153">
      <x:formula1>'MasterData'!$E$1321:$E$1330</x:formula1>
      <x:formula2/>
    </x:dataValidation>
    <x:dataValidation type="decimal" errorStyle="stop" operator="greaterThanOrEqual" allowBlank="1" showDropDown="0" showInputMessage="1" showErrorMessage="1" errorTitle="" error="" promptTitle="" prompt="" sqref="K153:K153">
      <x:formula1>0</x:formula1>
      <x:formula2/>
    </x:dataValidation>
    <x:dataValidation type="decimal" errorStyle="stop" operator="between" allowBlank="1" showDropDown="0" showInputMessage="1" showErrorMessage="1" errorTitle="" error="" promptTitle="" prompt="" sqref="N153:N153">
      <x:formula1>0</x:formula1>
      <x:formula2>100</x:formula2>
    </x:dataValidation>
    <x:dataValidation type="decimal" errorStyle="stop" operator="between" allowBlank="1" showDropDown="0" showInputMessage="1" showErrorMessage="1" errorTitle="" error="" promptTitle="" prompt="" sqref="O153:O153">
      <x:formula1>0</x:formula1>
      <x:formula2>100</x:formula2>
    </x:dataValidation>
    <x:dataValidation type="list" errorStyle="stop" operator="between" allowBlank="1" showDropDown="0" showInputMessage="1" showErrorMessage="1" errorTitle="" error="" promptTitle="" prompt="" sqref="H154:H154">
      <x:formula1>'MasterData'!$B$1:$B$14</x:formula1>
      <x:formula2/>
    </x:dataValidation>
    <x:dataValidation type="list" errorStyle="stop" operator="between" allowBlank="1" showDropDown="0" showInputMessage="1" showErrorMessage="1" errorTitle="" error="" promptTitle="" prompt="" sqref="I154:I154">
      <x:formula1>'MasterData'!$E$1331:$E$1340</x:formula1>
      <x:formula2/>
    </x:dataValidation>
    <x:dataValidation type="decimal" errorStyle="stop" operator="greaterThanOrEqual" allowBlank="1" showDropDown="0" showInputMessage="1" showErrorMessage="1" errorTitle="" error="" promptTitle="" prompt="" sqref="K154:K154">
      <x:formula1>0</x:formula1>
      <x:formula2/>
    </x:dataValidation>
    <x:dataValidation type="decimal" errorStyle="stop" operator="between" allowBlank="1" showDropDown="0" showInputMessage="1" showErrorMessage="1" errorTitle="" error="" promptTitle="" prompt="" sqref="N154:N154">
      <x:formula1>0</x:formula1>
      <x:formula2>100</x:formula2>
    </x:dataValidation>
    <x:dataValidation type="decimal" errorStyle="stop" operator="between" allowBlank="1" showDropDown="0" showInputMessage="1" showErrorMessage="1" errorTitle="" error="" promptTitle="" prompt="" sqref="O154:O154">
      <x:formula1>0</x:formula1>
      <x:formula2>100</x:formula2>
    </x:dataValidation>
    <x:dataValidation type="list" errorStyle="stop" operator="between" allowBlank="1" showDropDown="0" showInputMessage="1" showErrorMessage="1" errorTitle="" error="" promptTitle="" prompt="" sqref="H155:H155">
      <x:formula1>'MasterData'!$B$1:$B$14</x:formula1>
      <x:formula2/>
    </x:dataValidation>
    <x:dataValidation type="list" errorStyle="stop" operator="between" allowBlank="1" showDropDown="0" showInputMessage="1" showErrorMessage="1" errorTitle="" error="" promptTitle="" prompt="" sqref="I155:I155">
      <x:formula1>'MasterData'!$E$1341:$E$1350</x:formula1>
      <x:formula2/>
    </x:dataValidation>
    <x:dataValidation type="decimal" errorStyle="stop" operator="greaterThanOrEqual" allowBlank="1" showDropDown="0" showInputMessage="1" showErrorMessage="1" errorTitle="" error="" promptTitle="" prompt="" sqref="K155:K155">
      <x:formula1>0</x:formula1>
      <x:formula2/>
    </x:dataValidation>
    <x:dataValidation type="decimal" errorStyle="stop" operator="between" allowBlank="1" showDropDown="0" showInputMessage="1" showErrorMessage="1" errorTitle="" error="" promptTitle="" prompt="" sqref="N155:N155">
      <x:formula1>0</x:formula1>
      <x:formula2>100</x:formula2>
    </x:dataValidation>
    <x:dataValidation type="decimal" errorStyle="stop" operator="between" allowBlank="1" showDropDown="0" showInputMessage="1" showErrorMessage="1" errorTitle="" error="" promptTitle="" prompt="" sqref="O155:O155">
      <x:formula1>0</x:formula1>
      <x:formula2>100</x:formula2>
    </x:dataValidation>
    <x:dataValidation type="list" errorStyle="stop" operator="between" allowBlank="1" showDropDown="0" showInputMessage="1" showErrorMessage="1" errorTitle="" error="" promptTitle="" prompt="" sqref="H156:H156">
      <x:formula1>'MasterData'!$B$1:$B$14</x:formula1>
      <x:formula2/>
    </x:dataValidation>
    <x:dataValidation type="list" errorStyle="stop" operator="between" allowBlank="1" showDropDown="0" showInputMessage="1" showErrorMessage="1" errorTitle="" error="" promptTitle="" prompt="" sqref="I156:I156">
      <x:formula1>'MasterData'!$E$1351:$E$1360</x:formula1>
      <x:formula2/>
    </x:dataValidation>
    <x:dataValidation type="decimal" errorStyle="stop" operator="greaterThanOrEqual" allowBlank="1" showDropDown="0" showInputMessage="1" showErrorMessage="1" errorTitle="" error="" promptTitle="" prompt="" sqref="K156:K156">
      <x:formula1>0</x:formula1>
      <x:formula2/>
    </x:dataValidation>
    <x:dataValidation type="decimal" errorStyle="stop" operator="between" allowBlank="1" showDropDown="0" showInputMessage="1" showErrorMessage="1" errorTitle="" error="" promptTitle="" prompt="" sqref="N156:N156">
      <x:formula1>0</x:formula1>
      <x:formula2>100</x:formula2>
    </x:dataValidation>
    <x:dataValidation type="decimal" errorStyle="stop" operator="between" allowBlank="1" showDropDown="0" showInputMessage="1" showErrorMessage="1" errorTitle="" error="" promptTitle="" prompt="" sqref="O156:O156">
      <x:formula1>0</x:formula1>
      <x:formula2>100</x:formula2>
    </x:dataValidation>
    <x:dataValidation type="list" errorStyle="stop" operator="between" allowBlank="1" showDropDown="0" showInputMessage="1" showErrorMessage="1" errorTitle="" error="" promptTitle="" prompt="" sqref="H157:H157">
      <x:formula1>'MasterData'!$B$1:$B$14</x:formula1>
      <x:formula2/>
    </x:dataValidation>
    <x:dataValidation type="list" errorStyle="stop" operator="between" allowBlank="1" showDropDown="0" showInputMessage="1" showErrorMessage="1" errorTitle="" error="" promptTitle="" prompt="" sqref="I157:I157">
      <x:formula1>'MasterData'!$E$1361:$E$1370</x:formula1>
      <x:formula2/>
    </x:dataValidation>
    <x:dataValidation type="decimal" errorStyle="stop" operator="greaterThanOrEqual" allowBlank="1" showDropDown="0" showInputMessage="1" showErrorMessage="1" errorTitle="" error="" promptTitle="" prompt="" sqref="K157:K157">
      <x:formula1>0</x:formula1>
      <x:formula2/>
    </x:dataValidation>
    <x:dataValidation type="decimal" errorStyle="stop" operator="between" allowBlank="1" showDropDown="0" showInputMessage="1" showErrorMessage="1" errorTitle="" error="" promptTitle="" prompt="" sqref="N157:N157">
      <x:formula1>0</x:formula1>
      <x:formula2>100</x:formula2>
    </x:dataValidation>
    <x:dataValidation type="decimal" errorStyle="stop" operator="between" allowBlank="1" showDropDown="0" showInputMessage="1" showErrorMessage="1" errorTitle="" error="" promptTitle="" prompt="" sqref="O157:O157">
      <x:formula1>0</x:formula1>
      <x:formula2>100</x:formula2>
    </x:dataValidation>
    <x:dataValidation type="list" errorStyle="stop" operator="between" allowBlank="1" showDropDown="0" showInputMessage="1" showErrorMessage="1" errorTitle="" error="" promptTitle="" prompt="" sqref="H158:H158">
      <x:formula1>'MasterData'!$B$1:$B$14</x:formula1>
      <x:formula2/>
    </x:dataValidation>
    <x:dataValidation type="list" errorStyle="stop" operator="between" allowBlank="1" showDropDown="0" showInputMessage="1" showErrorMessage="1" errorTitle="" error="" promptTitle="" prompt="" sqref="I158:I158">
      <x:formula1>'MasterData'!$E$1371:$E$1380</x:formula1>
      <x:formula2/>
    </x:dataValidation>
    <x:dataValidation type="decimal" errorStyle="stop" operator="greaterThanOrEqual" allowBlank="1" showDropDown="0" showInputMessage="1" showErrorMessage="1" errorTitle="" error="" promptTitle="" prompt="" sqref="K158:K158">
      <x:formula1>0</x:formula1>
      <x:formula2/>
    </x:dataValidation>
    <x:dataValidation type="decimal" errorStyle="stop" operator="between" allowBlank="1" showDropDown="0" showInputMessage="1" showErrorMessage="1" errorTitle="" error="" promptTitle="" prompt="" sqref="N158:N158">
      <x:formula1>0</x:formula1>
      <x:formula2>100</x:formula2>
    </x:dataValidation>
    <x:dataValidation type="decimal" errorStyle="stop" operator="between" allowBlank="1" showDropDown="0" showInputMessage="1" showErrorMessage="1" errorTitle="" error="" promptTitle="" prompt="" sqref="O158:O158">
      <x:formula1>0</x:formula1>
      <x:formula2>100</x:formula2>
    </x:dataValidation>
    <x:dataValidation type="list" errorStyle="stop" operator="between" allowBlank="1" showDropDown="0" showInputMessage="1" showErrorMessage="1" errorTitle="" error="" promptTitle="" prompt="" sqref="H159:H159">
      <x:formula1>'MasterData'!$B$1:$B$14</x:formula1>
      <x:formula2/>
    </x:dataValidation>
    <x:dataValidation type="list" errorStyle="stop" operator="between" allowBlank="1" showDropDown="0" showInputMessage="1" showErrorMessage="1" errorTitle="" error="" promptTitle="" prompt="" sqref="I159:I159">
      <x:formula1>'MasterData'!$E$1381:$E$1390</x:formula1>
      <x:formula2/>
    </x:dataValidation>
    <x:dataValidation type="decimal" errorStyle="stop" operator="greaterThanOrEqual" allowBlank="1" showDropDown="0" showInputMessage="1" showErrorMessage="1" errorTitle="" error="" promptTitle="" prompt="" sqref="K159:K159">
      <x:formula1>0</x:formula1>
      <x:formula2/>
    </x:dataValidation>
    <x:dataValidation type="decimal" errorStyle="stop" operator="between" allowBlank="1" showDropDown="0" showInputMessage="1" showErrorMessage="1" errorTitle="" error="" promptTitle="" prompt="" sqref="N159:N159">
      <x:formula1>0</x:formula1>
      <x:formula2>100</x:formula2>
    </x:dataValidation>
    <x:dataValidation type="decimal" errorStyle="stop" operator="between" allowBlank="1" showDropDown="0" showInputMessage="1" showErrorMessage="1" errorTitle="" error="" promptTitle="" prompt="" sqref="O159:O159">
      <x:formula1>0</x:formula1>
      <x:formula2>100</x:formula2>
    </x:dataValidation>
    <x:dataValidation type="list" errorStyle="stop" operator="between" allowBlank="1" showDropDown="0" showInputMessage="1" showErrorMessage="1" errorTitle="" error="" promptTitle="" prompt="" sqref="H160:H160">
      <x:formula1>'MasterData'!$B$1:$B$14</x:formula1>
      <x:formula2/>
    </x:dataValidation>
    <x:dataValidation type="list" errorStyle="stop" operator="between" allowBlank="1" showDropDown="0" showInputMessage="1" showErrorMessage="1" errorTitle="" error="" promptTitle="" prompt="" sqref="I160:I160">
      <x:formula1>'MasterData'!$E$1391:$E$1400</x:formula1>
      <x:formula2/>
    </x:dataValidation>
    <x:dataValidation type="decimal" errorStyle="stop" operator="greaterThanOrEqual" allowBlank="1" showDropDown="0" showInputMessage="1" showErrorMessage="1" errorTitle="" error="" promptTitle="" prompt="" sqref="K160:K160">
      <x:formula1>0</x:formula1>
      <x:formula2/>
    </x:dataValidation>
    <x:dataValidation type="decimal" errorStyle="stop" operator="between" allowBlank="1" showDropDown="0" showInputMessage="1" showErrorMessage="1" errorTitle="" error="" promptTitle="" prompt="" sqref="N160:N160">
      <x:formula1>0</x:formula1>
      <x:formula2>100</x:formula2>
    </x:dataValidation>
    <x:dataValidation type="decimal" errorStyle="stop" operator="between" allowBlank="1" showDropDown="0" showInputMessage="1" showErrorMessage="1" errorTitle="" error="" promptTitle="" prompt="" sqref="O160:O160">
      <x:formula1>0</x:formula1>
      <x:formula2>100</x:formula2>
    </x:dataValidation>
    <x:dataValidation type="list" errorStyle="stop" operator="between" allowBlank="1" showDropDown="0" showInputMessage="1" showErrorMessage="1" errorTitle="" error="" promptTitle="" prompt="" sqref="H161:H161">
      <x:formula1>'MasterData'!$B$1:$B$14</x:formula1>
      <x:formula2/>
    </x:dataValidation>
    <x:dataValidation type="list" errorStyle="stop" operator="between" allowBlank="1" showDropDown="0" showInputMessage="1" showErrorMessage="1" errorTitle="" error="" promptTitle="" prompt="" sqref="I161:I161">
      <x:formula1>'MasterData'!$E$1401:$E$1410</x:formula1>
      <x:formula2/>
    </x:dataValidation>
    <x:dataValidation type="decimal" errorStyle="stop" operator="greaterThanOrEqual" allowBlank="1" showDropDown="0" showInputMessage="1" showErrorMessage="1" errorTitle="" error="" promptTitle="" prompt="" sqref="K161:K161">
      <x:formula1>0</x:formula1>
      <x:formula2/>
    </x:dataValidation>
    <x:dataValidation type="decimal" errorStyle="stop" operator="between" allowBlank="1" showDropDown="0" showInputMessage="1" showErrorMessage="1" errorTitle="" error="" promptTitle="" prompt="" sqref="N161:N161">
      <x:formula1>0</x:formula1>
      <x:formula2>100</x:formula2>
    </x:dataValidation>
    <x:dataValidation type="decimal" errorStyle="stop" operator="between" allowBlank="1" showDropDown="0" showInputMessage="1" showErrorMessage="1" errorTitle="" error="" promptTitle="" prompt="" sqref="O161:O161">
      <x:formula1>0</x:formula1>
      <x:formula2>100</x:formula2>
    </x:dataValidation>
    <x:dataValidation type="list" errorStyle="stop" operator="between" allowBlank="1" showDropDown="0" showInputMessage="1" showErrorMessage="1" errorTitle="" error="" promptTitle="" prompt="" sqref="H162:H162">
      <x:formula1>'MasterData'!$B$1:$B$14</x:formula1>
      <x:formula2/>
    </x:dataValidation>
    <x:dataValidation type="list" errorStyle="stop" operator="between" allowBlank="1" showDropDown="0" showInputMessage="1" showErrorMessage="1" errorTitle="" error="" promptTitle="" prompt="" sqref="I162:I162">
      <x:formula1>'MasterData'!$E$1411:$E$1420</x:formula1>
      <x:formula2/>
    </x:dataValidation>
    <x:dataValidation type="decimal" errorStyle="stop" operator="greaterThanOrEqual" allowBlank="1" showDropDown="0" showInputMessage="1" showErrorMessage="1" errorTitle="" error="" promptTitle="" prompt="" sqref="K162:K162">
      <x:formula1>0</x:formula1>
      <x:formula2/>
    </x:dataValidation>
    <x:dataValidation type="decimal" errorStyle="stop" operator="between" allowBlank="1" showDropDown="0" showInputMessage="1" showErrorMessage="1" errorTitle="" error="" promptTitle="" prompt="" sqref="N162:N162">
      <x:formula1>0</x:formula1>
      <x:formula2>100</x:formula2>
    </x:dataValidation>
    <x:dataValidation type="decimal" errorStyle="stop" operator="between" allowBlank="1" showDropDown="0" showInputMessage="1" showErrorMessage="1" errorTitle="" error="" promptTitle="" prompt="" sqref="O162:O162">
      <x:formula1>0</x:formula1>
      <x:formula2>100</x:formula2>
    </x:dataValidation>
    <x:dataValidation type="list" errorStyle="stop" operator="between" allowBlank="1" showDropDown="0" showInputMessage="1" showErrorMessage="1" errorTitle="" error="" promptTitle="" prompt="" sqref="H163:H163">
      <x:formula1>'MasterData'!$B$1:$B$14</x:formula1>
      <x:formula2/>
    </x:dataValidation>
    <x:dataValidation type="list" errorStyle="stop" operator="between" allowBlank="1" showDropDown="0" showInputMessage="1" showErrorMessage="1" errorTitle="" error="" promptTitle="" prompt="" sqref="I163:I163">
      <x:formula1>'MasterData'!$E$1421:$E$1430</x:formula1>
      <x:formula2/>
    </x:dataValidation>
    <x:dataValidation type="decimal" errorStyle="stop" operator="greaterThanOrEqual" allowBlank="1" showDropDown="0" showInputMessage="1" showErrorMessage="1" errorTitle="" error="" promptTitle="" prompt="" sqref="K163:K163">
      <x:formula1>0</x:formula1>
      <x:formula2/>
    </x:dataValidation>
    <x:dataValidation type="decimal" errorStyle="stop" operator="between" allowBlank="1" showDropDown="0" showInputMessage="1" showErrorMessage="1" errorTitle="" error="" promptTitle="" prompt="" sqref="N163:N163">
      <x:formula1>0</x:formula1>
      <x:formula2>100</x:formula2>
    </x:dataValidation>
    <x:dataValidation type="decimal" errorStyle="stop" operator="between" allowBlank="1" showDropDown="0" showInputMessage="1" showErrorMessage="1" errorTitle="" error="" promptTitle="" prompt="" sqref="O163:O163">
      <x:formula1>0</x:formula1>
      <x:formula2>100</x:formula2>
    </x:dataValidation>
    <x:dataValidation type="list" errorStyle="stop" operator="between" allowBlank="1" showDropDown="0" showInputMessage="1" showErrorMessage="1" errorTitle="" error="" promptTitle="" prompt="" sqref="H164:H164">
      <x:formula1>'MasterData'!$B$1:$B$14</x:formula1>
      <x:formula2/>
    </x:dataValidation>
    <x:dataValidation type="list" errorStyle="stop" operator="between" allowBlank="1" showDropDown="0" showInputMessage="1" showErrorMessage="1" errorTitle="" error="" promptTitle="" prompt="" sqref="I164:I164">
      <x:formula1>'MasterData'!$E$1431:$E$1440</x:formula1>
      <x:formula2/>
    </x:dataValidation>
    <x:dataValidation type="decimal" errorStyle="stop" operator="greaterThanOrEqual" allowBlank="1" showDropDown="0" showInputMessage="1" showErrorMessage="1" errorTitle="" error="" promptTitle="" prompt="" sqref="K164:K164">
      <x:formula1>0</x:formula1>
      <x:formula2/>
    </x:dataValidation>
    <x:dataValidation type="decimal" errorStyle="stop" operator="between" allowBlank="1" showDropDown="0" showInputMessage="1" showErrorMessage="1" errorTitle="" error="" promptTitle="" prompt="" sqref="N164:N164">
      <x:formula1>0</x:formula1>
      <x:formula2>100</x:formula2>
    </x:dataValidation>
    <x:dataValidation type="decimal" errorStyle="stop" operator="between" allowBlank="1" showDropDown="0" showInputMessage="1" showErrorMessage="1" errorTitle="" error="" promptTitle="" prompt="" sqref="O164:O164">
      <x:formula1>0</x:formula1>
      <x:formula2>100</x:formula2>
    </x:dataValidation>
    <x:dataValidation type="list" errorStyle="stop" operator="between" allowBlank="1" showDropDown="0" showInputMessage="1" showErrorMessage="1" errorTitle="" error="" promptTitle="" prompt="" sqref="H165:H165">
      <x:formula1>'MasterData'!$B$1:$B$14</x:formula1>
      <x:formula2/>
    </x:dataValidation>
    <x:dataValidation type="list" errorStyle="stop" operator="between" allowBlank="1" showDropDown="0" showInputMessage="1" showErrorMessage="1" errorTitle="" error="" promptTitle="" prompt="" sqref="I165:I165">
      <x:formula1>'MasterData'!$E$1441:$E$1450</x:formula1>
      <x:formula2/>
    </x:dataValidation>
    <x:dataValidation type="decimal" errorStyle="stop" operator="greaterThanOrEqual" allowBlank="1" showDropDown="0" showInputMessage="1" showErrorMessage="1" errorTitle="" error="" promptTitle="" prompt="" sqref="K165:K165">
      <x:formula1>0</x:formula1>
      <x:formula2/>
    </x:dataValidation>
    <x:dataValidation type="decimal" errorStyle="stop" operator="between" allowBlank="1" showDropDown="0" showInputMessage="1" showErrorMessage="1" errorTitle="" error="" promptTitle="" prompt="" sqref="N165:N165">
      <x:formula1>0</x:formula1>
      <x:formula2>100</x:formula2>
    </x:dataValidation>
    <x:dataValidation type="decimal" errorStyle="stop" operator="between" allowBlank="1" showDropDown="0" showInputMessage="1" showErrorMessage="1" errorTitle="" error="" promptTitle="" prompt="" sqref="O165:O165">
      <x:formula1>0</x:formula1>
      <x:formula2>100</x:formula2>
    </x:dataValidation>
    <x:dataValidation type="list" errorStyle="stop" operator="between" allowBlank="1" showDropDown="0" showInputMessage="1" showErrorMessage="1" errorTitle="" error="" promptTitle="" prompt="" sqref="H166:H166">
      <x:formula1>'MasterData'!$B$1:$B$14</x:formula1>
      <x:formula2/>
    </x:dataValidation>
    <x:dataValidation type="list" errorStyle="stop" operator="between" allowBlank="1" showDropDown="0" showInputMessage="1" showErrorMessage="1" errorTitle="" error="" promptTitle="" prompt="" sqref="I166:I166">
      <x:formula1>'MasterData'!$E$1451:$E$1460</x:formula1>
      <x:formula2/>
    </x:dataValidation>
    <x:dataValidation type="decimal" errorStyle="stop" operator="greaterThanOrEqual" allowBlank="1" showDropDown="0" showInputMessage="1" showErrorMessage="1" errorTitle="" error="" promptTitle="" prompt="" sqref="K166:K166">
      <x:formula1>0</x:formula1>
      <x:formula2/>
    </x:dataValidation>
    <x:dataValidation type="decimal" errorStyle="stop" operator="between" allowBlank="1" showDropDown="0" showInputMessage="1" showErrorMessage="1" errorTitle="" error="" promptTitle="" prompt="" sqref="N166:N166">
      <x:formula1>0</x:formula1>
      <x:formula2>100</x:formula2>
    </x:dataValidation>
    <x:dataValidation type="decimal" errorStyle="stop" operator="between" allowBlank="1" showDropDown="0" showInputMessage="1" showErrorMessage="1" errorTitle="" error="" promptTitle="" prompt="" sqref="O166:O166">
      <x:formula1>0</x:formula1>
      <x:formula2>100</x:formula2>
    </x:dataValidation>
    <x:dataValidation type="list" errorStyle="stop" operator="between" allowBlank="1" showDropDown="0" showInputMessage="1" showErrorMessage="1" errorTitle="" error="" promptTitle="" prompt="" sqref="H167:H167">
      <x:formula1>'MasterData'!$B$1:$B$14</x:formula1>
      <x:formula2/>
    </x:dataValidation>
    <x:dataValidation type="list" errorStyle="stop" operator="between" allowBlank="1" showDropDown="0" showInputMessage="1" showErrorMessage="1" errorTitle="" error="" promptTitle="" prompt="" sqref="I167:I167">
      <x:formula1>'MasterData'!$E$1461:$E$1470</x:formula1>
      <x:formula2/>
    </x:dataValidation>
    <x:dataValidation type="decimal" errorStyle="stop" operator="greaterThanOrEqual" allowBlank="1" showDropDown="0" showInputMessage="1" showErrorMessage="1" errorTitle="" error="" promptTitle="" prompt="" sqref="K167:K167">
      <x:formula1>0</x:formula1>
      <x:formula2/>
    </x:dataValidation>
    <x:dataValidation type="decimal" errorStyle="stop" operator="between" allowBlank="1" showDropDown="0" showInputMessage="1" showErrorMessage="1" errorTitle="" error="" promptTitle="" prompt="" sqref="N167:N167">
      <x:formula1>0</x:formula1>
      <x:formula2>100</x:formula2>
    </x:dataValidation>
    <x:dataValidation type="decimal" errorStyle="stop" operator="between" allowBlank="1" showDropDown="0" showInputMessage="1" showErrorMessage="1" errorTitle="" error="" promptTitle="" prompt="" sqref="O167:O167">
      <x:formula1>0</x:formula1>
      <x:formula2>100</x:formula2>
    </x:dataValidation>
    <x:dataValidation type="list" errorStyle="stop" operator="between" allowBlank="1" showDropDown="0" showInputMessage="1" showErrorMessage="1" errorTitle="" error="" promptTitle="" prompt="" sqref="H168:H168">
      <x:formula1>'MasterData'!$B$1:$B$14</x:formula1>
      <x:formula2/>
    </x:dataValidation>
    <x:dataValidation type="list" errorStyle="stop" operator="between" allowBlank="1" showDropDown="0" showInputMessage="1" showErrorMessage="1" errorTitle="" error="" promptTitle="" prompt="" sqref="I168:I168">
      <x:formula1>'MasterData'!$E$1471:$E$1480</x:formula1>
      <x:formula2/>
    </x:dataValidation>
    <x:dataValidation type="decimal" errorStyle="stop" operator="greaterThanOrEqual" allowBlank="1" showDropDown="0" showInputMessage="1" showErrorMessage="1" errorTitle="" error="" promptTitle="" prompt="" sqref="K168:K168">
      <x:formula1>0</x:formula1>
      <x:formula2/>
    </x:dataValidation>
    <x:dataValidation type="decimal" errorStyle="stop" operator="between" allowBlank="1" showDropDown="0" showInputMessage="1" showErrorMessage="1" errorTitle="" error="" promptTitle="" prompt="" sqref="N168:N168">
      <x:formula1>0</x:formula1>
      <x:formula2>100</x:formula2>
    </x:dataValidation>
    <x:dataValidation type="decimal" errorStyle="stop" operator="between" allowBlank="1" showDropDown="0" showInputMessage="1" showErrorMessage="1" errorTitle="" error="" promptTitle="" prompt="" sqref="O168:O168">
      <x:formula1>0</x:formula1>
      <x:formula2>100</x:formula2>
    </x:dataValidation>
    <x:dataValidation type="list" errorStyle="stop" operator="between" allowBlank="1" showDropDown="0" showInputMessage="1" showErrorMessage="1" errorTitle="" error="" promptTitle="" prompt="" sqref="H169:H169">
      <x:formula1>'MasterData'!$B$1:$B$14</x:formula1>
      <x:formula2/>
    </x:dataValidation>
    <x:dataValidation type="list" errorStyle="stop" operator="between" allowBlank="1" showDropDown="0" showInputMessage="1" showErrorMessage="1" errorTitle="" error="" promptTitle="" prompt="" sqref="I169:I169">
      <x:formula1>'MasterData'!$E$1481:$E$1490</x:formula1>
      <x:formula2/>
    </x:dataValidation>
    <x:dataValidation type="decimal" errorStyle="stop" operator="greaterThanOrEqual" allowBlank="1" showDropDown="0" showInputMessage="1" showErrorMessage="1" errorTitle="" error="" promptTitle="" prompt="" sqref="K169:K169">
      <x:formula1>0</x:formula1>
      <x:formula2/>
    </x:dataValidation>
    <x:dataValidation type="decimal" errorStyle="stop" operator="between" allowBlank="1" showDropDown="0" showInputMessage="1" showErrorMessage="1" errorTitle="" error="" promptTitle="" prompt="" sqref="N169:N169">
      <x:formula1>0</x:formula1>
      <x:formula2>100</x:formula2>
    </x:dataValidation>
    <x:dataValidation type="decimal" errorStyle="stop" operator="between" allowBlank="1" showDropDown="0" showInputMessage="1" showErrorMessage="1" errorTitle="" error="" promptTitle="" prompt="" sqref="O169:O169">
      <x:formula1>0</x:formula1>
      <x:formula2>100</x:formula2>
    </x:dataValidation>
    <x:dataValidation type="list" errorStyle="stop" operator="between" allowBlank="1" showDropDown="0" showInputMessage="1" showErrorMessage="1" errorTitle="" error="" promptTitle="" prompt="" sqref="H170:H170">
      <x:formula1>'MasterData'!$B$1:$B$14</x:formula1>
      <x:formula2/>
    </x:dataValidation>
    <x:dataValidation type="list" errorStyle="stop" operator="between" allowBlank="1" showDropDown="0" showInputMessage="1" showErrorMessage="1" errorTitle="" error="" promptTitle="" prompt="" sqref="I170:I170">
      <x:formula1>'MasterData'!$E$1491:$E$1500</x:formula1>
      <x:formula2/>
    </x:dataValidation>
    <x:dataValidation type="decimal" errorStyle="stop" operator="greaterThanOrEqual" allowBlank="1" showDropDown="0" showInputMessage="1" showErrorMessage="1" errorTitle="" error="" promptTitle="" prompt="" sqref="K170:K170">
      <x:formula1>0</x:formula1>
      <x:formula2/>
    </x:dataValidation>
    <x:dataValidation type="decimal" errorStyle="stop" operator="between" allowBlank="1" showDropDown="0" showInputMessage="1" showErrorMessage="1" errorTitle="" error="" promptTitle="" prompt="" sqref="N170:N170">
      <x:formula1>0</x:formula1>
      <x:formula2>100</x:formula2>
    </x:dataValidation>
    <x:dataValidation type="decimal" errorStyle="stop" operator="between" allowBlank="1" showDropDown="0" showInputMessage="1" showErrorMessage="1" errorTitle="" error="" promptTitle="" prompt="" sqref="O170:O170">
      <x:formula1>0</x:formula1>
      <x:formula2>100</x:formula2>
    </x:dataValidation>
    <x:dataValidation type="list" errorStyle="stop" operator="between" allowBlank="1" showDropDown="0" showInputMessage="1" showErrorMessage="1" errorTitle="" error="" promptTitle="" prompt="" sqref="H171:H171">
      <x:formula1>'MasterData'!$B$1:$B$14</x:formula1>
      <x:formula2/>
    </x:dataValidation>
    <x:dataValidation type="list" errorStyle="stop" operator="between" allowBlank="1" showDropDown="0" showInputMessage="1" showErrorMessage="1" errorTitle="" error="" promptTitle="" prompt="" sqref="I171:I171">
      <x:formula1>'MasterData'!$E$1501:$E$1510</x:formula1>
      <x:formula2/>
    </x:dataValidation>
    <x:dataValidation type="decimal" errorStyle="stop" operator="greaterThanOrEqual" allowBlank="1" showDropDown="0" showInputMessage="1" showErrorMessage="1" errorTitle="" error="" promptTitle="" prompt="" sqref="K171:K171">
      <x:formula1>0</x:formula1>
      <x:formula2/>
    </x:dataValidation>
    <x:dataValidation type="decimal" errorStyle="stop" operator="between" allowBlank="1" showDropDown="0" showInputMessage="1" showErrorMessage="1" errorTitle="" error="" promptTitle="" prompt="" sqref="N171:N171">
      <x:formula1>0</x:formula1>
      <x:formula2>100</x:formula2>
    </x:dataValidation>
    <x:dataValidation type="decimal" errorStyle="stop" operator="between" allowBlank="1" showDropDown="0" showInputMessage="1" showErrorMessage="1" errorTitle="" error="" promptTitle="" prompt="" sqref="O171:O171">
      <x:formula1>0</x:formula1>
      <x:formula2>100</x:formula2>
    </x:dataValidation>
    <x:dataValidation type="list" errorStyle="stop" operator="between" allowBlank="1" showDropDown="0" showInputMessage="1" showErrorMessage="1" errorTitle="" error="" promptTitle="" prompt="" sqref="H172:H172">
      <x:formula1>'MasterData'!$B$1:$B$14</x:formula1>
      <x:formula2/>
    </x:dataValidation>
    <x:dataValidation type="list" errorStyle="stop" operator="between" allowBlank="1" showDropDown="0" showInputMessage="1" showErrorMessage="1" errorTitle="" error="" promptTitle="" prompt="" sqref="I172:I172">
      <x:formula1>'MasterData'!$E$1511:$E$1520</x:formula1>
      <x:formula2/>
    </x:dataValidation>
    <x:dataValidation type="decimal" errorStyle="stop" operator="greaterThanOrEqual" allowBlank="1" showDropDown="0" showInputMessage="1" showErrorMessage="1" errorTitle="" error="" promptTitle="" prompt="" sqref="K172:K172">
      <x:formula1>0</x:formula1>
      <x:formula2/>
    </x:dataValidation>
    <x:dataValidation type="decimal" errorStyle="stop" operator="between" allowBlank="1" showDropDown="0" showInputMessage="1" showErrorMessage="1" errorTitle="" error="" promptTitle="" prompt="" sqref="N172:N172">
      <x:formula1>0</x:formula1>
      <x:formula2>100</x:formula2>
    </x:dataValidation>
    <x:dataValidation type="decimal" errorStyle="stop" operator="between" allowBlank="1" showDropDown="0" showInputMessage="1" showErrorMessage="1" errorTitle="" error="" promptTitle="" prompt="" sqref="O172:O172">
      <x:formula1>0</x:formula1>
      <x:formula2>100</x:formula2>
    </x:dataValidation>
    <x:dataValidation type="list" errorStyle="stop" operator="between" allowBlank="1" showDropDown="0" showInputMessage="1" showErrorMessage="1" errorTitle="" error="" promptTitle="" prompt="" sqref="H173:H173">
      <x:formula1>'MasterData'!$B$1:$B$14</x:formula1>
      <x:formula2/>
    </x:dataValidation>
    <x:dataValidation type="list" errorStyle="stop" operator="between" allowBlank="1" showDropDown="0" showInputMessage="1" showErrorMessage="1" errorTitle="" error="" promptTitle="" prompt="" sqref="I173:I173">
      <x:formula1>'MasterData'!$E$1521:$E$1530</x:formula1>
      <x:formula2/>
    </x:dataValidation>
    <x:dataValidation type="decimal" errorStyle="stop" operator="greaterThanOrEqual" allowBlank="1" showDropDown="0" showInputMessage="1" showErrorMessage="1" errorTitle="" error="" promptTitle="" prompt="" sqref="K173:K173">
      <x:formula1>0</x:formula1>
      <x:formula2/>
    </x:dataValidation>
    <x:dataValidation type="decimal" errorStyle="stop" operator="between" allowBlank="1" showDropDown="0" showInputMessage="1" showErrorMessage="1" errorTitle="" error="" promptTitle="" prompt="" sqref="N173:N173">
      <x:formula1>0</x:formula1>
      <x:formula2>100</x:formula2>
    </x:dataValidation>
    <x:dataValidation type="decimal" errorStyle="stop" operator="between" allowBlank="1" showDropDown="0" showInputMessage="1" showErrorMessage="1" errorTitle="" error="" promptTitle="" prompt="" sqref="O173:O173">
      <x:formula1>0</x:formula1>
      <x:formula2>100</x:formula2>
    </x:dataValidation>
    <x:dataValidation type="list" errorStyle="stop" operator="between" allowBlank="1" showDropDown="0" showInputMessage="1" showErrorMessage="1" errorTitle="" error="" promptTitle="" prompt="" sqref="H174:H174">
      <x:formula1>'MasterData'!$B$1:$B$14</x:formula1>
      <x:formula2/>
    </x:dataValidation>
    <x:dataValidation type="list" errorStyle="stop" operator="between" allowBlank="1" showDropDown="0" showInputMessage="1" showErrorMessage="1" errorTitle="" error="" promptTitle="" prompt="" sqref="I174:I174">
      <x:formula1>'MasterData'!$E$1531:$E$1540</x:formula1>
      <x:formula2/>
    </x:dataValidation>
    <x:dataValidation type="decimal" errorStyle="stop" operator="greaterThanOrEqual" allowBlank="1" showDropDown="0" showInputMessage="1" showErrorMessage="1" errorTitle="" error="" promptTitle="" prompt="" sqref="K174:K174">
      <x:formula1>0</x:formula1>
      <x:formula2/>
    </x:dataValidation>
    <x:dataValidation type="decimal" errorStyle="stop" operator="between" allowBlank="1" showDropDown="0" showInputMessage="1" showErrorMessage="1" errorTitle="" error="" promptTitle="" prompt="" sqref="N174:N174">
      <x:formula1>0</x:formula1>
      <x:formula2>100</x:formula2>
    </x:dataValidation>
    <x:dataValidation type="decimal" errorStyle="stop" operator="between" allowBlank="1" showDropDown="0" showInputMessage="1" showErrorMessage="1" errorTitle="" error="" promptTitle="" prompt="" sqref="O174:O174">
      <x:formula1>0</x:formula1>
      <x:formula2>100</x:formula2>
    </x:dataValidation>
    <x:dataValidation type="list" errorStyle="stop" operator="between" allowBlank="1" showDropDown="0" showInputMessage="1" showErrorMessage="1" errorTitle="" error="" promptTitle="" prompt="" sqref="H175:H175">
      <x:formula1>'MasterData'!$B$1:$B$14</x:formula1>
      <x:formula2/>
    </x:dataValidation>
    <x:dataValidation type="list" errorStyle="stop" operator="between" allowBlank="1" showDropDown="0" showInputMessage="1" showErrorMessage="1" errorTitle="" error="" promptTitle="" prompt="" sqref="I175:I175">
      <x:formula1>'MasterData'!$E$1541:$E$1550</x:formula1>
      <x:formula2/>
    </x:dataValidation>
    <x:dataValidation type="decimal" errorStyle="stop" operator="greaterThanOrEqual" allowBlank="1" showDropDown="0" showInputMessage="1" showErrorMessage="1" errorTitle="" error="" promptTitle="" prompt="" sqref="K175:K175">
      <x:formula1>0</x:formula1>
      <x:formula2/>
    </x:dataValidation>
    <x:dataValidation type="decimal" errorStyle="stop" operator="between" allowBlank="1" showDropDown="0" showInputMessage="1" showErrorMessage="1" errorTitle="" error="" promptTitle="" prompt="" sqref="N175:N175">
      <x:formula1>0</x:formula1>
      <x:formula2>100</x:formula2>
    </x:dataValidation>
    <x:dataValidation type="decimal" errorStyle="stop" operator="between" allowBlank="1" showDropDown="0" showInputMessage="1" showErrorMessage="1" errorTitle="" error="" promptTitle="" prompt="" sqref="O175:O175">
      <x:formula1>0</x:formula1>
      <x:formula2>100</x:formula2>
    </x:dataValidation>
    <x:dataValidation type="list" errorStyle="stop" operator="between" allowBlank="1" showDropDown="0" showInputMessage="1" showErrorMessage="1" errorTitle="" error="" promptTitle="" prompt="" sqref="H176:H176">
      <x:formula1>'MasterData'!$B$1:$B$14</x:formula1>
      <x:formula2/>
    </x:dataValidation>
    <x:dataValidation type="list" errorStyle="stop" operator="between" allowBlank="1" showDropDown="0" showInputMessage="1" showErrorMessage="1" errorTitle="" error="" promptTitle="" prompt="" sqref="I176:I176">
      <x:formula1>'MasterData'!$E$1551:$E$1560</x:formula1>
      <x:formula2/>
    </x:dataValidation>
    <x:dataValidation type="decimal" errorStyle="stop" operator="greaterThanOrEqual" allowBlank="1" showDropDown="0" showInputMessage="1" showErrorMessage="1" errorTitle="" error="" promptTitle="" prompt="" sqref="K176:K176">
      <x:formula1>0</x:formula1>
      <x:formula2/>
    </x:dataValidation>
    <x:dataValidation type="decimal" errorStyle="stop" operator="between" allowBlank="1" showDropDown="0" showInputMessage="1" showErrorMessage="1" errorTitle="" error="" promptTitle="" prompt="" sqref="N176:N176">
      <x:formula1>0</x:formula1>
      <x:formula2>100</x:formula2>
    </x:dataValidation>
    <x:dataValidation type="decimal" errorStyle="stop" operator="between" allowBlank="1" showDropDown="0" showInputMessage="1" showErrorMessage="1" errorTitle="" error="" promptTitle="" prompt="" sqref="O176:O176">
      <x:formula1>0</x:formula1>
      <x:formula2>100</x:formula2>
    </x:dataValidation>
    <x:dataValidation type="list" errorStyle="stop" operator="between" allowBlank="1" showDropDown="0" showInputMessage="1" showErrorMessage="1" errorTitle="" error="" promptTitle="" prompt="" sqref="H177:H177">
      <x:formula1>'MasterData'!$B$1:$B$14</x:formula1>
      <x:formula2/>
    </x:dataValidation>
    <x:dataValidation type="list" errorStyle="stop" operator="between" allowBlank="1" showDropDown="0" showInputMessage="1" showErrorMessage="1" errorTitle="" error="" promptTitle="" prompt="" sqref="I177:I177">
      <x:formula1>'MasterData'!$E$1561:$E$1570</x:formula1>
      <x:formula2/>
    </x:dataValidation>
    <x:dataValidation type="decimal" errorStyle="stop" operator="greaterThanOrEqual" allowBlank="1" showDropDown="0" showInputMessage="1" showErrorMessage="1" errorTitle="" error="" promptTitle="" prompt="" sqref="K177:K177">
      <x:formula1>0</x:formula1>
      <x:formula2/>
    </x:dataValidation>
    <x:dataValidation type="decimal" errorStyle="stop" operator="between" allowBlank="1" showDropDown="0" showInputMessage="1" showErrorMessage="1" errorTitle="" error="" promptTitle="" prompt="" sqref="N177:N177">
      <x:formula1>0</x:formula1>
      <x:formula2>100</x:formula2>
    </x:dataValidation>
    <x:dataValidation type="decimal" errorStyle="stop" operator="between" allowBlank="1" showDropDown="0" showInputMessage="1" showErrorMessage="1" errorTitle="" error="" promptTitle="" prompt="" sqref="O177:O177">
      <x:formula1>0</x:formula1>
      <x:formula2>100</x:formula2>
    </x:dataValidation>
    <x:dataValidation type="list" errorStyle="stop" operator="between" allowBlank="1" showDropDown="0" showInputMessage="1" showErrorMessage="1" errorTitle="" error="" promptTitle="" prompt="" sqref="H178:H178">
      <x:formula1>'MasterData'!$B$1:$B$14</x:formula1>
      <x:formula2/>
    </x:dataValidation>
    <x:dataValidation type="list" errorStyle="stop" operator="between" allowBlank="1" showDropDown="0" showInputMessage="1" showErrorMessage="1" errorTitle="" error="" promptTitle="" prompt="" sqref="I178:I178">
      <x:formula1>'MasterData'!$E$1571:$E$1580</x:formula1>
      <x:formula2/>
    </x:dataValidation>
    <x:dataValidation type="decimal" errorStyle="stop" operator="greaterThanOrEqual" allowBlank="1" showDropDown="0" showInputMessage="1" showErrorMessage="1" errorTitle="" error="" promptTitle="" prompt="" sqref="K178:K178">
      <x:formula1>0</x:formula1>
      <x:formula2/>
    </x:dataValidation>
    <x:dataValidation type="decimal" errorStyle="stop" operator="between" allowBlank="1" showDropDown="0" showInputMessage="1" showErrorMessage="1" errorTitle="" error="" promptTitle="" prompt="" sqref="N178:N178">
      <x:formula1>0</x:formula1>
      <x:formula2>100</x:formula2>
    </x:dataValidation>
    <x:dataValidation type="decimal" errorStyle="stop" operator="between" allowBlank="1" showDropDown="0" showInputMessage="1" showErrorMessage="1" errorTitle="" error="" promptTitle="" prompt="" sqref="O178:O178">
      <x:formula1>0</x:formula1>
      <x:formula2>100</x:formula2>
    </x:dataValidation>
    <x:dataValidation type="list" errorStyle="stop" operator="between" allowBlank="1" showDropDown="0" showInputMessage="1" showErrorMessage="1" errorTitle="" error="" promptTitle="" prompt="" sqref="H179:H179">
      <x:formula1>'MasterData'!$B$1:$B$14</x:formula1>
      <x:formula2/>
    </x:dataValidation>
    <x:dataValidation type="list" errorStyle="stop" operator="between" allowBlank="1" showDropDown="0" showInputMessage="1" showErrorMessage="1" errorTitle="" error="" promptTitle="" prompt="" sqref="I179:I179">
      <x:formula1>'MasterData'!$E$1581:$E$1590</x:formula1>
      <x:formula2/>
    </x:dataValidation>
    <x:dataValidation type="decimal" errorStyle="stop" operator="greaterThanOrEqual" allowBlank="1" showDropDown="0" showInputMessage="1" showErrorMessage="1" errorTitle="" error="" promptTitle="" prompt="" sqref="K179:K179">
      <x:formula1>0</x:formula1>
      <x:formula2/>
    </x:dataValidation>
    <x:dataValidation type="decimal" errorStyle="stop" operator="between" allowBlank="1" showDropDown="0" showInputMessage="1" showErrorMessage="1" errorTitle="" error="" promptTitle="" prompt="" sqref="N179:N179">
      <x:formula1>0</x:formula1>
      <x:formula2>100</x:formula2>
    </x:dataValidation>
    <x:dataValidation type="decimal" errorStyle="stop" operator="between" allowBlank="1" showDropDown="0" showInputMessage="1" showErrorMessage="1" errorTitle="" error="" promptTitle="" prompt="" sqref="O179:O179">
      <x:formula1>0</x:formula1>
      <x:formula2>100</x:formula2>
    </x:dataValidation>
    <x:dataValidation type="list" errorStyle="stop" operator="between" allowBlank="1" showDropDown="0" showInputMessage="1" showErrorMessage="1" errorTitle="" error="" promptTitle="" prompt="" sqref="H180:H180">
      <x:formula1>'MasterData'!$B$1:$B$14</x:formula1>
      <x:formula2/>
    </x:dataValidation>
    <x:dataValidation type="list" errorStyle="stop" operator="between" allowBlank="1" showDropDown="0" showInputMessage="1" showErrorMessage="1" errorTitle="" error="" promptTitle="" prompt="" sqref="I180:I180">
      <x:formula1>'MasterData'!$E$1591:$E$1600</x:formula1>
      <x:formula2/>
    </x:dataValidation>
    <x:dataValidation type="decimal" errorStyle="stop" operator="greaterThanOrEqual" allowBlank="1" showDropDown="0" showInputMessage="1" showErrorMessage="1" errorTitle="" error="" promptTitle="" prompt="" sqref="K180:K180">
      <x:formula1>0</x:formula1>
      <x:formula2/>
    </x:dataValidation>
    <x:dataValidation type="decimal" errorStyle="stop" operator="between" allowBlank="1" showDropDown="0" showInputMessage="1" showErrorMessage="1" errorTitle="" error="" promptTitle="" prompt="" sqref="N180:N180">
      <x:formula1>0</x:formula1>
      <x:formula2>100</x:formula2>
    </x:dataValidation>
    <x:dataValidation type="decimal" errorStyle="stop" operator="between" allowBlank="1" showDropDown="0" showInputMessage="1" showErrorMessage="1" errorTitle="" error="" promptTitle="" prompt="" sqref="O180:O180">
      <x:formula1>0</x:formula1>
      <x:formula2>100</x:formula2>
    </x:dataValidation>
    <x:dataValidation type="list" errorStyle="stop" operator="between" allowBlank="1" showDropDown="0" showInputMessage="1" showErrorMessage="1" errorTitle="" error="" promptTitle="" prompt="" sqref="H181:H181">
      <x:formula1>'MasterData'!$B$1:$B$14</x:formula1>
      <x:formula2/>
    </x:dataValidation>
    <x:dataValidation type="list" errorStyle="stop" operator="between" allowBlank="1" showDropDown="0" showInputMessage="1" showErrorMessage="1" errorTitle="" error="" promptTitle="" prompt="" sqref="I181:I181">
      <x:formula1>'MasterData'!$E$1601:$E$1610</x:formula1>
      <x:formula2/>
    </x:dataValidation>
    <x:dataValidation type="decimal" errorStyle="stop" operator="greaterThanOrEqual" allowBlank="1" showDropDown="0" showInputMessage="1" showErrorMessage="1" errorTitle="" error="" promptTitle="" prompt="" sqref="K181:K181">
      <x:formula1>0</x:formula1>
      <x:formula2/>
    </x:dataValidation>
    <x:dataValidation type="decimal" errorStyle="stop" operator="between" allowBlank="1" showDropDown="0" showInputMessage="1" showErrorMessage="1" errorTitle="" error="" promptTitle="" prompt="" sqref="N181:N181">
      <x:formula1>0</x:formula1>
      <x:formula2>100</x:formula2>
    </x:dataValidation>
    <x:dataValidation type="decimal" errorStyle="stop" operator="between" allowBlank="1" showDropDown="0" showInputMessage="1" showErrorMessage="1" errorTitle="" error="" promptTitle="" prompt="" sqref="O181:O181">
      <x:formula1>0</x:formula1>
      <x:formula2>100</x:formula2>
    </x:dataValidation>
    <x:dataValidation type="list" errorStyle="stop" operator="between" allowBlank="1" showDropDown="0" showInputMessage="1" showErrorMessage="1" errorTitle="" error="" promptTitle="" prompt="" sqref="H182:H182">
      <x:formula1>'MasterData'!$B$1:$B$14</x:formula1>
      <x:formula2/>
    </x:dataValidation>
    <x:dataValidation type="list" errorStyle="stop" operator="between" allowBlank="1" showDropDown="0" showInputMessage="1" showErrorMessage="1" errorTitle="" error="" promptTitle="" prompt="" sqref="I182:I182">
      <x:formula1>'MasterData'!$E$1611:$E$1620</x:formula1>
      <x:formula2/>
    </x:dataValidation>
    <x:dataValidation type="decimal" errorStyle="stop" operator="greaterThanOrEqual" allowBlank="1" showDropDown="0" showInputMessage="1" showErrorMessage="1" errorTitle="" error="" promptTitle="" prompt="" sqref="K182:K182">
      <x:formula1>0</x:formula1>
      <x:formula2/>
    </x:dataValidation>
    <x:dataValidation type="decimal" errorStyle="stop" operator="between" allowBlank="1" showDropDown="0" showInputMessage="1" showErrorMessage="1" errorTitle="" error="" promptTitle="" prompt="" sqref="N182:N182">
      <x:formula1>0</x:formula1>
      <x:formula2>100</x:formula2>
    </x:dataValidation>
    <x:dataValidation type="decimal" errorStyle="stop" operator="between" allowBlank="1" showDropDown="0" showInputMessage="1" showErrorMessage="1" errorTitle="" error="" promptTitle="" prompt="" sqref="O182:O182">
      <x:formula1>0</x:formula1>
      <x:formula2>100</x:formula2>
    </x:dataValidation>
    <x:dataValidation type="list" errorStyle="stop" operator="between" allowBlank="1" showDropDown="0" showInputMessage="1" showErrorMessage="1" errorTitle="" error="" promptTitle="" prompt="" sqref="H183:H183">
      <x:formula1>'MasterData'!$B$1:$B$14</x:formula1>
      <x:formula2/>
    </x:dataValidation>
    <x:dataValidation type="list" errorStyle="stop" operator="between" allowBlank="1" showDropDown="0" showInputMessage="1" showErrorMessage="1" errorTitle="" error="" promptTitle="" prompt="" sqref="I183:I183">
      <x:formula1>'MasterData'!$E$1621:$E$1630</x:formula1>
      <x:formula2/>
    </x:dataValidation>
    <x:dataValidation type="decimal" errorStyle="stop" operator="greaterThanOrEqual" allowBlank="1" showDropDown="0" showInputMessage="1" showErrorMessage="1" errorTitle="" error="" promptTitle="" prompt="" sqref="K183:K183">
      <x:formula1>0</x:formula1>
      <x:formula2/>
    </x:dataValidation>
    <x:dataValidation type="decimal" errorStyle="stop" operator="between" allowBlank="1" showDropDown="0" showInputMessage="1" showErrorMessage="1" errorTitle="" error="" promptTitle="" prompt="" sqref="N183:N183">
      <x:formula1>0</x:formula1>
      <x:formula2>100</x:formula2>
    </x:dataValidation>
    <x:dataValidation type="decimal" errorStyle="stop" operator="between" allowBlank="1" showDropDown="0" showInputMessage="1" showErrorMessage="1" errorTitle="" error="" promptTitle="" prompt="" sqref="O183:O183">
      <x:formula1>0</x:formula1>
      <x:formula2>100</x:formula2>
    </x:dataValidation>
    <x:dataValidation type="list" errorStyle="stop" operator="between" allowBlank="1" showDropDown="0" showInputMessage="1" showErrorMessage="1" errorTitle="" error="" promptTitle="" prompt="" sqref="H184:H184">
      <x:formula1>'MasterData'!$B$1:$B$14</x:formula1>
      <x:formula2/>
    </x:dataValidation>
    <x:dataValidation type="list" errorStyle="stop" operator="between" allowBlank="1" showDropDown="0" showInputMessage="1" showErrorMessage="1" errorTitle="" error="" promptTitle="" prompt="" sqref="I184:I184">
      <x:formula1>'MasterData'!$E$1631:$E$1640</x:formula1>
      <x:formula2/>
    </x:dataValidation>
    <x:dataValidation type="decimal" errorStyle="stop" operator="greaterThanOrEqual" allowBlank="1" showDropDown="0" showInputMessage="1" showErrorMessage="1" errorTitle="" error="" promptTitle="" prompt="" sqref="K184:K184">
      <x:formula1>0</x:formula1>
      <x:formula2/>
    </x:dataValidation>
    <x:dataValidation type="decimal" errorStyle="stop" operator="between" allowBlank="1" showDropDown="0" showInputMessage="1" showErrorMessage="1" errorTitle="" error="" promptTitle="" prompt="" sqref="N184:N184">
      <x:formula1>0</x:formula1>
      <x:formula2>100</x:formula2>
    </x:dataValidation>
    <x:dataValidation type="decimal" errorStyle="stop" operator="between" allowBlank="1" showDropDown="0" showInputMessage="1" showErrorMessage="1" errorTitle="" error="" promptTitle="" prompt="" sqref="O184:O184">
      <x:formula1>0</x:formula1>
      <x:formula2>100</x:formula2>
    </x:dataValidation>
    <x:dataValidation type="list" errorStyle="stop" operator="between" allowBlank="1" showDropDown="0" showInputMessage="1" showErrorMessage="1" errorTitle="" error="" promptTitle="" prompt="" sqref="H185:H185">
      <x:formula1>'MasterData'!$B$1:$B$14</x:formula1>
      <x:formula2/>
    </x:dataValidation>
    <x:dataValidation type="list" errorStyle="stop" operator="between" allowBlank="1" showDropDown="0" showInputMessage="1" showErrorMessage="1" errorTitle="" error="" promptTitle="" prompt="" sqref="I185:I185">
      <x:formula1>'MasterData'!$E$1641:$E$1650</x:formula1>
      <x:formula2/>
    </x:dataValidation>
    <x:dataValidation type="decimal" errorStyle="stop" operator="greaterThanOrEqual" allowBlank="1" showDropDown="0" showInputMessage="1" showErrorMessage="1" errorTitle="" error="" promptTitle="" prompt="" sqref="K185:K185">
      <x:formula1>0</x:formula1>
      <x:formula2/>
    </x:dataValidation>
    <x:dataValidation type="decimal" errorStyle="stop" operator="between" allowBlank="1" showDropDown="0" showInputMessage="1" showErrorMessage="1" errorTitle="" error="" promptTitle="" prompt="" sqref="N185:N185">
      <x:formula1>0</x:formula1>
      <x:formula2>100</x:formula2>
    </x:dataValidation>
    <x:dataValidation type="decimal" errorStyle="stop" operator="between" allowBlank="1" showDropDown="0" showInputMessage="1" showErrorMessage="1" errorTitle="" error="" promptTitle="" prompt="" sqref="O185:O185">
      <x:formula1>0</x:formula1>
      <x:formula2>100</x:formula2>
    </x:dataValidation>
    <x:dataValidation type="list" errorStyle="stop" operator="between" allowBlank="1" showDropDown="0" showInputMessage="1" showErrorMessage="1" errorTitle="" error="" promptTitle="" prompt="" sqref="H186:H186">
      <x:formula1>'MasterData'!$B$1:$B$14</x:formula1>
      <x:formula2/>
    </x:dataValidation>
    <x:dataValidation type="list" errorStyle="stop" operator="between" allowBlank="1" showDropDown="0" showInputMessage="1" showErrorMessage="1" errorTitle="" error="" promptTitle="" prompt="" sqref="I186:I186">
      <x:formula1>'MasterData'!$E$1651:$E$1660</x:formula1>
      <x:formula2/>
    </x:dataValidation>
    <x:dataValidation type="decimal" errorStyle="stop" operator="greaterThanOrEqual" allowBlank="1" showDropDown="0" showInputMessage="1" showErrorMessage="1" errorTitle="" error="" promptTitle="" prompt="" sqref="K186:K186">
      <x:formula1>0</x:formula1>
      <x:formula2/>
    </x:dataValidation>
    <x:dataValidation type="decimal" errorStyle="stop" operator="between" allowBlank="1" showDropDown="0" showInputMessage="1" showErrorMessage="1" errorTitle="" error="" promptTitle="" prompt="" sqref="N186:N186">
      <x:formula1>0</x:formula1>
      <x:formula2>100</x:formula2>
    </x:dataValidation>
    <x:dataValidation type="decimal" errorStyle="stop" operator="between" allowBlank="1" showDropDown="0" showInputMessage="1" showErrorMessage="1" errorTitle="" error="" promptTitle="" prompt="" sqref="O186:O186">
      <x:formula1>0</x:formula1>
      <x:formula2>100</x:formula2>
    </x:dataValidation>
    <x:dataValidation type="list" errorStyle="stop" operator="between" allowBlank="1" showDropDown="0" showInputMessage="1" showErrorMessage="1" errorTitle="" error="" promptTitle="" prompt="" sqref="H187:H187">
      <x:formula1>'MasterData'!$B$1:$B$14</x:formula1>
      <x:formula2/>
    </x:dataValidation>
    <x:dataValidation type="list" errorStyle="stop" operator="between" allowBlank="1" showDropDown="0" showInputMessage="1" showErrorMessage="1" errorTitle="" error="" promptTitle="" prompt="" sqref="I187:I187">
      <x:formula1>'MasterData'!$E$1661:$E$1670</x:formula1>
      <x:formula2/>
    </x:dataValidation>
    <x:dataValidation type="decimal" errorStyle="stop" operator="greaterThanOrEqual" allowBlank="1" showDropDown="0" showInputMessage="1" showErrorMessage="1" errorTitle="" error="" promptTitle="" prompt="" sqref="K187:K187">
      <x:formula1>0</x:formula1>
      <x:formula2/>
    </x:dataValidation>
    <x:dataValidation type="decimal" errorStyle="stop" operator="between" allowBlank="1" showDropDown="0" showInputMessage="1" showErrorMessage="1" errorTitle="" error="" promptTitle="" prompt="" sqref="N187:N187">
      <x:formula1>0</x:formula1>
      <x:formula2>100</x:formula2>
    </x:dataValidation>
    <x:dataValidation type="decimal" errorStyle="stop" operator="between" allowBlank="1" showDropDown="0" showInputMessage="1" showErrorMessage="1" errorTitle="" error="" promptTitle="" prompt="" sqref="O187:O187">
      <x:formula1>0</x:formula1>
      <x:formula2>100</x:formula2>
    </x:dataValidation>
    <x:dataValidation type="list" errorStyle="stop" operator="between" allowBlank="1" showDropDown="0" showInputMessage="1" showErrorMessage="1" errorTitle="" error="" promptTitle="" prompt="" sqref="H188:H188">
      <x:formula1>'MasterData'!$B$1:$B$14</x:formula1>
      <x:formula2/>
    </x:dataValidation>
    <x:dataValidation type="list" errorStyle="stop" operator="between" allowBlank="1" showDropDown="0" showInputMessage="1" showErrorMessage="1" errorTitle="" error="" promptTitle="" prompt="" sqref="I188:I188">
      <x:formula1>'MasterData'!$E$1671:$E$1680</x:formula1>
      <x:formula2/>
    </x:dataValidation>
    <x:dataValidation type="decimal" errorStyle="stop" operator="greaterThanOrEqual" allowBlank="1" showDropDown="0" showInputMessage="1" showErrorMessage="1" errorTitle="" error="" promptTitle="" prompt="" sqref="K188:K188">
      <x:formula1>0</x:formula1>
      <x:formula2/>
    </x:dataValidation>
    <x:dataValidation type="decimal" errorStyle="stop" operator="between" allowBlank="1" showDropDown="0" showInputMessage="1" showErrorMessage="1" errorTitle="" error="" promptTitle="" prompt="" sqref="N188:N188">
      <x:formula1>0</x:formula1>
      <x:formula2>100</x:formula2>
    </x:dataValidation>
    <x:dataValidation type="decimal" errorStyle="stop" operator="between" allowBlank="1" showDropDown="0" showInputMessage="1" showErrorMessage="1" errorTitle="" error="" promptTitle="" prompt="" sqref="O188:O188">
      <x:formula1>0</x:formula1>
      <x:formula2>100</x:formula2>
    </x:dataValidation>
    <x:dataValidation type="list" errorStyle="stop" operator="between" allowBlank="1" showDropDown="0" showInputMessage="1" showErrorMessage="1" errorTitle="" error="" promptTitle="" prompt="" sqref="H189:H189">
      <x:formula1>'MasterData'!$B$1:$B$14</x:formula1>
      <x:formula2/>
    </x:dataValidation>
    <x:dataValidation type="list" errorStyle="stop" operator="between" allowBlank="1" showDropDown="0" showInputMessage="1" showErrorMessage="1" errorTitle="" error="" promptTitle="" prompt="" sqref="I189:I189">
      <x:formula1>'MasterData'!$E$1681:$E$1690</x:formula1>
      <x:formula2/>
    </x:dataValidation>
    <x:dataValidation type="decimal" errorStyle="stop" operator="greaterThanOrEqual" allowBlank="1" showDropDown="0" showInputMessage="1" showErrorMessage="1" errorTitle="" error="" promptTitle="" prompt="" sqref="K189:K189">
      <x:formula1>0</x:formula1>
      <x:formula2/>
    </x:dataValidation>
    <x:dataValidation type="decimal" errorStyle="stop" operator="between" allowBlank="1" showDropDown="0" showInputMessage="1" showErrorMessage="1" errorTitle="" error="" promptTitle="" prompt="" sqref="N189:N189">
      <x:formula1>0</x:formula1>
      <x:formula2>100</x:formula2>
    </x:dataValidation>
    <x:dataValidation type="decimal" errorStyle="stop" operator="between" allowBlank="1" showDropDown="0" showInputMessage="1" showErrorMessage="1" errorTitle="" error="" promptTitle="" prompt="" sqref="O189:O189">
      <x:formula1>0</x:formula1>
      <x:formula2>100</x:formula2>
    </x:dataValidation>
    <x:dataValidation type="list" errorStyle="stop" operator="between" allowBlank="1" showDropDown="0" showInputMessage="1" showErrorMessage="1" errorTitle="" error="" promptTitle="" prompt="" sqref="H190:H190">
      <x:formula1>'MasterData'!$B$1:$B$14</x:formula1>
      <x:formula2/>
    </x:dataValidation>
    <x:dataValidation type="list" errorStyle="stop" operator="between" allowBlank="1" showDropDown="0" showInputMessage="1" showErrorMessage="1" errorTitle="" error="" promptTitle="" prompt="" sqref="I190:I190">
      <x:formula1>'MasterData'!$E$1691:$E$1700</x:formula1>
      <x:formula2/>
    </x:dataValidation>
    <x:dataValidation type="decimal" errorStyle="stop" operator="greaterThanOrEqual" allowBlank="1" showDropDown="0" showInputMessage="1" showErrorMessage="1" errorTitle="" error="" promptTitle="" prompt="" sqref="K190:K190">
      <x:formula1>0</x:formula1>
      <x:formula2/>
    </x:dataValidation>
    <x:dataValidation type="decimal" errorStyle="stop" operator="between" allowBlank="1" showDropDown="0" showInputMessage="1" showErrorMessage="1" errorTitle="" error="" promptTitle="" prompt="" sqref="N190:N190">
      <x:formula1>0</x:formula1>
      <x:formula2>100</x:formula2>
    </x:dataValidation>
    <x:dataValidation type="decimal" errorStyle="stop" operator="between" allowBlank="1" showDropDown="0" showInputMessage="1" showErrorMessage="1" errorTitle="" error="" promptTitle="" prompt="" sqref="O190:O190">
      <x:formula1>0</x:formula1>
      <x:formula2>100</x:formula2>
    </x:dataValidation>
    <x:dataValidation type="list" errorStyle="stop" operator="between" allowBlank="1" showDropDown="0" showInputMessage="1" showErrorMessage="1" errorTitle="" error="" promptTitle="" prompt="" sqref="H191:H191">
      <x:formula1>'MasterData'!$B$1:$B$14</x:formula1>
      <x:formula2/>
    </x:dataValidation>
    <x:dataValidation type="list" errorStyle="stop" operator="between" allowBlank="1" showDropDown="0" showInputMessage="1" showErrorMessage="1" errorTitle="" error="" promptTitle="" prompt="" sqref="I191:I191">
      <x:formula1>'MasterData'!$E$1701:$E$1710</x:formula1>
      <x:formula2/>
    </x:dataValidation>
    <x:dataValidation type="decimal" errorStyle="stop" operator="greaterThanOrEqual" allowBlank="1" showDropDown="0" showInputMessage="1" showErrorMessage="1" errorTitle="" error="" promptTitle="" prompt="" sqref="K191:K191">
      <x:formula1>0</x:formula1>
      <x:formula2/>
    </x:dataValidation>
    <x:dataValidation type="decimal" errorStyle="stop" operator="between" allowBlank="1" showDropDown="0" showInputMessage="1" showErrorMessage="1" errorTitle="" error="" promptTitle="" prompt="" sqref="N191:N191">
      <x:formula1>0</x:formula1>
      <x:formula2>100</x:formula2>
    </x:dataValidation>
    <x:dataValidation type="decimal" errorStyle="stop" operator="between" allowBlank="1" showDropDown="0" showInputMessage="1" showErrorMessage="1" errorTitle="" error="" promptTitle="" prompt="" sqref="O191:O191">
      <x:formula1>0</x:formula1>
      <x:formula2>100</x:formula2>
    </x:dataValidation>
    <x:dataValidation type="list" errorStyle="stop" operator="between" allowBlank="1" showDropDown="0" showInputMessage="1" showErrorMessage="1" errorTitle="" error="" promptTitle="" prompt="" sqref="H192:H192">
      <x:formula1>'MasterData'!$B$1:$B$14</x:formula1>
      <x:formula2/>
    </x:dataValidation>
    <x:dataValidation type="list" errorStyle="stop" operator="between" allowBlank="1" showDropDown="0" showInputMessage="1" showErrorMessage="1" errorTitle="" error="" promptTitle="" prompt="" sqref="I192:I192">
      <x:formula1>'MasterData'!$E$1711:$E$1720</x:formula1>
      <x:formula2/>
    </x:dataValidation>
    <x:dataValidation type="decimal" errorStyle="stop" operator="greaterThanOrEqual" allowBlank="1" showDropDown="0" showInputMessage="1" showErrorMessage="1" errorTitle="" error="" promptTitle="" prompt="" sqref="K192:K192">
      <x:formula1>0</x:formula1>
      <x:formula2/>
    </x:dataValidation>
    <x:dataValidation type="decimal" errorStyle="stop" operator="between" allowBlank="1" showDropDown="0" showInputMessage="1" showErrorMessage="1" errorTitle="" error="" promptTitle="" prompt="" sqref="N192:N192">
      <x:formula1>0</x:formula1>
      <x:formula2>100</x:formula2>
    </x:dataValidation>
    <x:dataValidation type="decimal" errorStyle="stop" operator="between" allowBlank="1" showDropDown="0" showInputMessage="1" showErrorMessage="1" errorTitle="" error="" promptTitle="" prompt="" sqref="O192:O192">
      <x:formula1>0</x:formula1>
      <x:formula2>100</x:formula2>
    </x:dataValidation>
    <x:dataValidation type="list" errorStyle="stop" operator="between" allowBlank="1" showDropDown="0" showInputMessage="1" showErrorMessage="1" errorTitle="" error="" promptTitle="" prompt="" sqref="H193:H193">
      <x:formula1>'MasterData'!$B$1:$B$14</x:formula1>
      <x:formula2/>
    </x:dataValidation>
    <x:dataValidation type="list" errorStyle="stop" operator="between" allowBlank="1" showDropDown="0" showInputMessage="1" showErrorMessage="1" errorTitle="" error="" promptTitle="" prompt="" sqref="I193:I193">
      <x:formula1>'MasterData'!$E$1721:$E$1730</x:formula1>
      <x:formula2/>
    </x:dataValidation>
    <x:dataValidation type="decimal" errorStyle="stop" operator="greaterThanOrEqual" allowBlank="1" showDropDown="0" showInputMessage="1" showErrorMessage="1" errorTitle="" error="" promptTitle="" prompt="" sqref="K193:K193">
      <x:formula1>0</x:formula1>
      <x:formula2/>
    </x:dataValidation>
    <x:dataValidation type="decimal" errorStyle="stop" operator="between" allowBlank="1" showDropDown="0" showInputMessage="1" showErrorMessage="1" errorTitle="" error="" promptTitle="" prompt="" sqref="N193:N193">
      <x:formula1>0</x:formula1>
      <x:formula2>100</x:formula2>
    </x:dataValidation>
    <x:dataValidation type="decimal" errorStyle="stop" operator="between" allowBlank="1" showDropDown="0" showInputMessage="1" showErrorMessage="1" errorTitle="" error="" promptTitle="" prompt="" sqref="O193:O193">
      <x:formula1>0</x:formula1>
      <x:formula2>100</x:formula2>
    </x:dataValidation>
    <x:dataValidation type="list" errorStyle="stop" operator="between" allowBlank="1" showDropDown="0" showInputMessage="1" showErrorMessage="1" errorTitle="" error="" promptTitle="" prompt="" sqref="H194:H194">
      <x:formula1>'MasterData'!$B$1:$B$14</x:formula1>
      <x:formula2/>
    </x:dataValidation>
    <x:dataValidation type="list" errorStyle="stop" operator="between" allowBlank="1" showDropDown="0" showInputMessage="1" showErrorMessage="1" errorTitle="" error="" promptTitle="" prompt="" sqref="I194:I194">
      <x:formula1>'MasterData'!$E$1731:$E$1740</x:formula1>
      <x:formula2/>
    </x:dataValidation>
    <x:dataValidation type="decimal" errorStyle="stop" operator="greaterThanOrEqual" allowBlank="1" showDropDown="0" showInputMessage="1" showErrorMessage="1" errorTitle="" error="" promptTitle="" prompt="" sqref="K194:K194">
      <x:formula1>0</x:formula1>
      <x:formula2/>
    </x:dataValidation>
    <x:dataValidation type="decimal" errorStyle="stop" operator="between" allowBlank="1" showDropDown="0" showInputMessage="1" showErrorMessage="1" errorTitle="" error="" promptTitle="" prompt="" sqref="N194:N194">
      <x:formula1>0</x:formula1>
      <x:formula2>100</x:formula2>
    </x:dataValidation>
    <x:dataValidation type="decimal" errorStyle="stop" operator="between" allowBlank="1" showDropDown="0" showInputMessage="1" showErrorMessage="1" errorTitle="" error="" promptTitle="" prompt="" sqref="O194:O194">
      <x:formula1>0</x:formula1>
      <x:formula2>100</x:formula2>
    </x:dataValidation>
    <x:dataValidation type="list" errorStyle="stop" operator="between" allowBlank="1" showDropDown="0" showInputMessage="1" showErrorMessage="1" errorTitle="" error="" promptTitle="" prompt="" sqref="H195:H195">
      <x:formula1>'MasterData'!$B$1:$B$14</x:formula1>
      <x:formula2/>
    </x:dataValidation>
    <x:dataValidation type="list" errorStyle="stop" operator="between" allowBlank="1" showDropDown="0" showInputMessage="1" showErrorMessage="1" errorTitle="" error="" promptTitle="" prompt="" sqref="I195:I195">
      <x:formula1>'MasterData'!$E$1741:$E$1750</x:formula1>
      <x:formula2/>
    </x:dataValidation>
    <x:dataValidation type="decimal" errorStyle="stop" operator="greaterThanOrEqual" allowBlank="1" showDropDown="0" showInputMessage="1" showErrorMessage="1" errorTitle="" error="" promptTitle="" prompt="" sqref="K195:K195">
      <x:formula1>0</x:formula1>
      <x:formula2/>
    </x:dataValidation>
    <x:dataValidation type="decimal" errorStyle="stop" operator="between" allowBlank="1" showDropDown="0" showInputMessage="1" showErrorMessage="1" errorTitle="" error="" promptTitle="" prompt="" sqref="N195:N195">
      <x:formula1>0</x:formula1>
      <x:formula2>100</x:formula2>
    </x:dataValidation>
    <x:dataValidation type="decimal" errorStyle="stop" operator="between" allowBlank="1" showDropDown="0" showInputMessage="1" showErrorMessage="1" errorTitle="" error="" promptTitle="" prompt="" sqref="O195:O195">
      <x:formula1>0</x:formula1>
      <x:formula2>100</x:formula2>
    </x:dataValidation>
    <x:dataValidation type="list" errorStyle="stop" operator="between" allowBlank="1" showDropDown="0" showInputMessage="1" showErrorMessage="1" errorTitle="" error="" promptTitle="" prompt="" sqref="H196:H196">
      <x:formula1>'MasterData'!$B$1:$B$14</x:formula1>
      <x:formula2/>
    </x:dataValidation>
    <x:dataValidation type="list" errorStyle="stop" operator="between" allowBlank="1" showDropDown="0" showInputMessage="1" showErrorMessage="1" errorTitle="" error="" promptTitle="" prompt="" sqref="I196:I196">
      <x:formula1>'MasterData'!$E$1751:$E$1760</x:formula1>
      <x:formula2/>
    </x:dataValidation>
    <x:dataValidation type="decimal" errorStyle="stop" operator="greaterThanOrEqual" allowBlank="1" showDropDown="0" showInputMessage="1" showErrorMessage="1" errorTitle="" error="" promptTitle="" prompt="" sqref="K196:K196">
      <x:formula1>0</x:formula1>
      <x:formula2/>
    </x:dataValidation>
    <x:dataValidation type="decimal" errorStyle="stop" operator="between" allowBlank="1" showDropDown="0" showInputMessage="1" showErrorMessage="1" errorTitle="" error="" promptTitle="" prompt="" sqref="N196:N196">
      <x:formula1>0</x:formula1>
      <x:formula2>100</x:formula2>
    </x:dataValidation>
    <x:dataValidation type="decimal" errorStyle="stop" operator="between" allowBlank="1" showDropDown="0" showInputMessage="1" showErrorMessage="1" errorTitle="" error="" promptTitle="" prompt="" sqref="O196:O196">
      <x:formula1>0</x:formula1>
      <x:formula2>100</x:formula2>
    </x:dataValidation>
    <x:dataValidation type="list" errorStyle="stop" operator="between" allowBlank="1" showDropDown="0" showInputMessage="1" showErrorMessage="1" errorTitle="" error="" promptTitle="" prompt="" sqref="H197:H197">
      <x:formula1>'MasterData'!$B$1:$B$14</x:formula1>
      <x:formula2/>
    </x:dataValidation>
    <x:dataValidation type="list" errorStyle="stop" operator="between" allowBlank="1" showDropDown="0" showInputMessage="1" showErrorMessage="1" errorTitle="" error="" promptTitle="" prompt="" sqref="I197:I197">
      <x:formula1>'MasterData'!$E$1761:$E$1770</x:formula1>
      <x:formula2/>
    </x:dataValidation>
    <x:dataValidation type="decimal" errorStyle="stop" operator="greaterThanOrEqual" allowBlank="1" showDropDown="0" showInputMessage="1" showErrorMessage="1" errorTitle="" error="" promptTitle="" prompt="" sqref="K197:K197">
      <x:formula1>0</x:formula1>
      <x:formula2/>
    </x:dataValidation>
    <x:dataValidation type="decimal" errorStyle="stop" operator="between" allowBlank="1" showDropDown="0" showInputMessage="1" showErrorMessage="1" errorTitle="" error="" promptTitle="" prompt="" sqref="N197:N197">
      <x:formula1>0</x:formula1>
      <x:formula2>100</x:formula2>
    </x:dataValidation>
    <x:dataValidation type="decimal" errorStyle="stop" operator="between" allowBlank="1" showDropDown="0" showInputMessage="1" showErrorMessage="1" errorTitle="" error="" promptTitle="" prompt="" sqref="O197:O197">
      <x:formula1>0</x:formula1>
      <x:formula2>100</x:formula2>
    </x:dataValidation>
    <x:dataValidation type="list" errorStyle="stop" operator="between" allowBlank="1" showDropDown="0" showInputMessage="1" showErrorMessage="1" errorTitle="" error="" promptTitle="" prompt="" sqref="H198:H198">
      <x:formula1>'MasterData'!$B$1:$B$14</x:formula1>
      <x:formula2/>
    </x:dataValidation>
    <x:dataValidation type="list" errorStyle="stop" operator="between" allowBlank="1" showDropDown="0" showInputMessage="1" showErrorMessage="1" errorTitle="" error="" promptTitle="" prompt="" sqref="I198:I198">
      <x:formula1>'MasterData'!$E$1771:$E$1780</x:formula1>
      <x:formula2/>
    </x:dataValidation>
    <x:dataValidation type="decimal" errorStyle="stop" operator="greaterThanOrEqual" allowBlank="1" showDropDown="0" showInputMessage="1" showErrorMessage="1" errorTitle="" error="" promptTitle="" prompt="" sqref="K198:K198">
      <x:formula1>0</x:formula1>
      <x:formula2/>
    </x:dataValidation>
    <x:dataValidation type="decimal" errorStyle="stop" operator="between" allowBlank="1" showDropDown="0" showInputMessage="1" showErrorMessage="1" errorTitle="" error="" promptTitle="" prompt="" sqref="N198:N198">
      <x:formula1>0</x:formula1>
      <x:formula2>100</x:formula2>
    </x:dataValidation>
    <x:dataValidation type="decimal" errorStyle="stop" operator="between" allowBlank="1" showDropDown="0" showInputMessage="1" showErrorMessage="1" errorTitle="" error="" promptTitle="" prompt="" sqref="O198:O198">
      <x:formula1>0</x:formula1>
      <x:formula2>100</x:formula2>
    </x:dataValidation>
    <x:dataValidation type="list" errorStyle="stop" operator="between" allowBlank="1" showDropDown="0" showInputMessage="1" showErrorMessage="1" errorTitle="" error="" promptTitle="" prompt="" sqref="H199:H199">
      <x:formula1>'MasterData'!$B$1:$B$14</x:formula1>
      <x:formula2/>
    </x:dataValidation>
    <x:dataValidation type="list" errorStyle="stop" operator="between" allowBlank="1" showDropDown="0" showInputMessage="1" showErrorMessage="1" errorTitle="" error="" promptTitle="" prompt="" sqref="I199:I199">
      <x:formula1>'MasterData'!$E$1781:$E$1790</x:formula1>
      <x:formula2/>
    </x:dataValidation>
    <x:dataValidation type="decimal" errorStyle="stop" operator="greaterThanOrEqual" allowBlank="1" showDropDown="0" showInputMessage="1" showErrorMessage="1" errorTitle="" error="" promptTitle="" prompt="" sqref="K199:K199">
      <x:formula1>0</x:formula1>
      <x:formula2/>
    </x:dataValidation>
    <x:dataValidation type="decimal" errorStyle="stop" operator="between" allowBlank="1" showDropDown="0" showInputMessage="1" showErrorMessage="1" errorTitle="" error="" promptTitle="" prompt="" sqref="N199:N199">
      <x:formula1>0</x:formula1>
      <x:formula2>100</x:formula2>
    </x:dataValidation>
    <x:dataValidation type="decimal" errorStyle="stop" operator="between" allowBlank="1" showDropDown="0" showInputMessage="1" showErrorMessage="1" errorTitle="" error="" promptTitle="" prompt="" sqref="O199:O199">
      <x:formula1>0</x:formula1>
      <x:formula2>100</x:formula2>
    </x:dataValidation>
    <x:dataValidation type="list" errorStyle="stop" operator="between" allowBlank="1" showDropDown="0" showInputMessage="1" showErrorMessage="1" errorTitle="" error="" promptTitle="" prompt="" sqref="H200:H200">
      <x:formula1>'MasterData'!$B$1:$B$14</x:formula1>
      <x:formula2/>
    </x:dataValidation>
    <x:dataValidation type="list" errorStyle="stop" operator="between" allowBlank="1" showDropDown="0" showInputMessage="1" showErrorMessage="1" errorTitle="" error="" promptTitle="" prompt="" sqref="I200:I200">
      <x:formula1>'MasterData'!$E$1791:$E$1800</x:formula1>
      <x:formula2/>
    </x:dataValidation>
    <x:dataValidation type="decimal" errorStyle="stop" operator="greaterThanOrEqual" allowBlank="1" showDropDown="0" showInputMessage="1" showErrorMessage="1" errorTitle="" error="" promptTitle="" prompt="" sqref="K200:K200">
      <x:formula1>0</x:formula1>
      <x:formula2/>
    </x:dataValidation>
    <x:dataValidation type="decimal" errorStyle="stop" operator="between" allowBlank="1" showDropDown="0" showInputMessage="1" showErrorMessage="1" errorTitle="" error="" promptTitle="" prompt="" sqref="N200:N200">
      <x:formula1>0</x:formula1>
      <x:formula2>100</x:formula2>
    </x:dataValidation>
    <x:dataValidation type="decimal" errorStyle="stop" operator="between" allowBlank="1" showDropDown="0" showInputMessage="1" showErrorMessage="1" errorTitle="" error="" promptTitle="" prompt="" sqref="O200:O200">
      <x:formula1>0</x:formula1>
      <x:formula2>100</x:formula2>
    </x:dataValidation>
    <x:dataValidation type="list" errorStyle="stop" operator="between" allowBlank="1" showDropDown="0" showInputMessage="1" showErrorMessage="1" errorTitle="" error="" promptTitle="" prompt="" sqref="H201:H201">
      <x:formula1>'MasterData'!$B$1:$B$14</x:formula1>
      <x:formula2/>
    </x:dataValidation>
    <x:dataValidation type="list" errorStyle="stop" operator="between" allowBlank="1" showDropDown="0" showInputMessage="1" showErrorMessage="1" errorTitle="" error="" promptTitle="" prompt="" sqref="I201:I201">
      <x:formula1>'MasterData'!$E$1801:$E$1810</x:formula1>
      <x:formula2/>
    </x:dataValidation>
    <x:dataValidation type="decimal" errorStyle="stop" operator="greaterThanOrEqual" allowBlank="1" showDropDown="0" showInputMessage="1" showErrorMessage="1" errorTitle="" error="" promptTitle="" prompt="" sqref="K201:K201">
      <x:formula1>0</x:formula1>
      <x:formula2/>
    </x:dataValidation>
    <x:dataValidation type="decimal" errorStyle="stop" operator="between" allowBlank="1" showDropDown="0" showInputMessage="1" showErrorMessage="1" errorTitle="" error="" promptTitle="" prompt="" sqref="N201:N201">
      <x:formula1>0</x:formula1>
      <x:formula2>100</x:formula2>
    </x:dataValidation>
    <x:dataValidation type="decimal" errorStyle="stop" operator="between" allowBlank="1" showDropDown="0" showInputMessage="1" showErrorMessage="1" errorTitle="" error="" promptTitle="" prompt="" sqref="O201:O201">
      <x:formula1>0</x:formula1>
      <x:formula2>100</x:formula2>
    </x:dataValidation>
    <x:dataValidation type="list" errorStyle="stop" operator="between" allowBlank="1" showDropDown="0" showInputMessage="1" showErrorMessage="1" errorTitle="" error="" promptTitle="" prompt="" sqref="H202:H202">
      <x:formula1>'MasterData'!$B$1:$B$14</x:formula1>
      <x:formula2/>
    </x:dataValidation>
    <x:dataValidation type="list" errorStyle="stop" operator="between" allowBlank="1" showDropDown="0" showInputMessage="1" showErrorMessage="1" errorTitle="" error="" promptTitle="" prompt="" sqref="I202:I202">
      <x:formula1>'MasterData'!$E$1811:$E$1820</x:formula1>
      <x:formula2/>
    </x:dataValidation>
    <x:dataValidation type="decimal" errorStyle="stop" operator="greaterThanOrEqual" allowBlank="1" showDropDown="0" showInputMessage="1" showErrorMessage="1" errorTitle="" error="" promptTitle="" prompt="" sqref="K202:K202">
      <x:formula1>0</x:formula1>
      <x:formula2/>
    </x:dataValidation>
    <x:dataValidation type="decimal" errorStyle="stop" operator="between" allowBlank="1" showDropDown="0" showInputMessage="1" showErrorMessage="1" errorTitle="" error="" promptTitle="" prompt="" sqref="N202:N202">
      <x:formula1>0</x:formula1>
      <x:formula2>100</x:formula2>
    </x:dataValidation>
    <x:dataValidation type="decimal" errorStyle="stop" operator="between" allowBlank="1" showDropDown="0" showInputMessage="1" showErrorMessage="1" errorTitle="" error="" promptTitle="" prompt="" sqref="O202:O202">
      <x:formula1>0</x:formula1>
      <x:formula2>100</x:formula2>
    </x:dataValidation>
    <x:dataValidation type="list" errorStyle="stop" operator="between" allowBlank="1" showDropDown="0" showInputMessage="1" showErrorMessage="1" errorTitle="" error="" promptTitle="" prompt="" sqref="H203:H203">
      <x:formula1>'MasterData'!$B$1:$B$14</x:formula1>
      <x:formula2/>
    </x:dataValidation>
    <x:dataValidation type="list" errorStyle="stop" operator="between" allowBlank="1" showDropDown="0" showInputMessage="1" showErrorMessage="1" errorTitle="" error="" promptTitle="" prompt="" sqref="I203:I203">
      <x:formula1>'MasterData'!$E$1821:$E$1830</x:formula1>
      <x:formula2/>
    </x:dataValidation>
    <x:dataValidation type="decimal" errorStyle="stop" operator="greaterThanOrEqual" allowBlank="1" showDropDown="0" showInputMessage="1" showErrorMessage="1" errorTitle="" error="" promptTitle="" prompt="" sqref="K203:K203">
      <x:formula1>0</x:formula1>
      <x:formula2/>
    </x:dataValidation>
    <x:dataValidation type="decimal" errorStyle="stop" operator="between" allowBlank="1" showDropDown="0" showInputMessage="1" showErrorMessage="1" errorTitle="" error="" promptTitle="" prompt="" sqref="N203:N203">
      <x:formula1>0</x:formula1>
      <x:formula2>100</x:formula2>
    </x:dataValidation>
    <x:dataValidation type="decimal" errorStyle="stop" operator="between" allowBlank="1" showDropDown="0" showInputMessage="1" showErrorMessage="1" errorTitle="" error="" promptTitle="" prompt="" sqref="O203:O203">
      <x:formula1>0</x:formula1>
      <x:formula2>100</x:formula2>
    </x:dataValidation>
    <x:dataValidation type="list" errorStyle="stop" operator="between" allowBlank="1" showDropDown="0" showInputMessage="1" showErrorMessage="1" errorTitle="" error="" promptTitle="" prompt="" sqref="H204:H204">
      <x:formula1>'MasterData'!$B$1:$B$14</x:formula1>
      <x:formula2/>
    </x:dataValidation>
    <x:dataValidation type="list" errorStyle="stop" operator="between" allowBlank="1" showDropDown="0" showInputMessage="1" showErrorMessage="1" errorTitle="" error="" promptTitle="" prompt="" sqref="I204:I204">
      <x:formula1>'MasterData'!$E$1831:$E$1840</x:formula1>
      <x:formula2/>
    </x:dataValidation>
    <x:dataValidation type="decimal" errorStyle="stop" operator="greaterThanOrEqual" allowBlank="1" showDropDown="0" showInputMessage="1" showErrorMessage="1" errorTitle="" error="" promptTitle="" prompt="" sqref="K204:K204">
      <x:formula1>0</x:formula1>
      <x:formula2/>
    </x:dataValidation>
    <x:dataValidation type="decimal" errorStyle="stop" operator="between" allowBlank="1" showDropDown="0" showInputMessage="1" showErrorMessage="1" errorTitle="" error="" promptTitle="" prompt="" sqref="N204:N204">
      <x:formula1>0</x:formula1>
      <x:formula2>100</x:formula2>
    </x:dataValidation>
    <x:dataValidation type="decimal" errorStyle="stop" operator="between" allowBlank="1" showDropDown="0" showInputMessage="1" showErrorMessage="1" errorTitle="" error="" promptTitle="" prompt="" sqref="O204:O204">
      <x:formula1>0</x:formula1>
      <x:formula2>100</x:formula2>
    </x:dataValidation>
    <x:dataValidation type="list" errorStyle="stop" operator="between" allowBlank="1" showDropDown="0" showInputMessage="1" showErrorMessage="1" errorTitle="" error="" promptTitle="" prompt="" sqref="H205:H205">
      <x:formula1>'MasterData'!$B$1:$B$14</x:formula1>
      <x:formula2/>
    </x:dataValidation>
    <x:dataValidation type="list" errorStyle="stop" operator="between" allowBlank="1" showDropDown="0" showInputMessage="1" showErrorMessage="1" errorTitle="" error="" promptTitle="" prompt="" sqref="I205:I205">
      <x:formula1>'MasterData'!$E$1841:$E$1850</x:formula1>
      <x:formula2/>
    </x:dataValidation>
    <x:dataValidation type="decimal" errorStyle="stop" operator="greaterThanOrEqual" allowBlank="1" showDropDown="0" showInputMessage="1" showErrorMessage="1" errorTitle="" error="" promptTitle="" prompt="" sqref="K205:K205">
      <x:formula1>0</x:formula1>
      <x:formula2/>
    </x:dataValidation>
    <x:dataValidation type="decimal" errorStyle="stop" operator="between" allowBlank="1" showDropDown="0" showInputMessage="1" showErrorMessage="1" errorTitle="" error="" promptTitle="" prompt="" sqref="N205:N205">
      <x:formula1>0</x:formula1>
      <x:formula2>100</x:formula2>
    </x:dataValidation>
    <x:dataValidation type="decimal" errorStyle="stop" operator="between" allowBlank="1" showDropDown="0" showInputMessage="1" showErrorMessage="1" errorTitle="" error="" promptTitle="" prompt="" sqref="O205:O205">
      <x:formula1>0</x:formula1>
      <x:formula2>100</x:formula2>
    </x:dataValidation>
    <x:dataValidation type="list" errorStyle="stop" operator="between" allowBlank="1" showDropDown="0" showInputMessage="1" showErrorMessage="1" errorTitle="" error="" promptTitle="" prompt="" sqref="H206:H206">
      <x:formula1>'MasterData'!$B$1:$B$14</x:formula1>
      <x:formula2/>
    </x:dataValidation>
    <x:dataValidation type="list" errorStyle="stop" operator="between" allowBlank="1" showDropDown="0" showInputMessage="1" showErrorMessage="1" errorTitle="" error="" promptTitle="" prompt="" sqref="I206:I206">
      <x:formula1>'MasterData'!$E$1851:$E$1860</x:formula1>
      <x:formula2/>
    </x:dataValidation>
    <x:dataValidation type="decimal" errorStyle="stop" operator="greaterThanOrEqual" allowBlank="1" showDropDown="0" showInputMessage="1" showErrorMessage="1" errorTitle="" error="" promptTitle="" prompt="" sqref="K206:K206">
      <x:formula1>0</x:formula1>
      <x:formula2/>
    </x:dataValidation>
    <x:dataValidation type="decimal" errorStyle="stop" operator="between" allowBlank="1" showDropDown="0" showInputMessage="1" showErrorMessage="1" errorTitle="" error="" promptTitle="" prompt="" sqref="N206:N206">
      <x:formula1>0</x:formula1>
      <x:formula2>100</x:formula2>
    </x:dataValidation>
    <x:dataValidation type="decimal" errorStyle="stop" operator="between" allowBlank="1" showDropDown="0" showInputMessage="1" showErrorMessage="1" errorTitle="" error="" promptTitle="" prompt="" sqref="O206:O206">
      <x:formula1>0</x:formula1>
      <x:formula2>100</x:formula2>
    </x:dataValidation>
    <x:dataValidation type="list" errorStyle="stop" operator="between" allowBlank="1" showDropDown="0" showInputMessage="1" showErrorMessage="1" errorTitle="" error="" promptTitle="" prompt="" sqref="H207:H207">
      <x:formula1>'MasterData'!$B$1:$B$14</x:formula1>
      <x:formula2/>
    </x:dataValidation>
    <x:dataValidation type="list" errorStyle="stop" operator="between" allowBlank="1" showDropDown="0" showInputMessage="1" showErrorMessage="1" errorTitle="" error="" promptTitle="" prompt="" sqref="I207:I207">
      <x:formula1>'MasterData'!$E$1861:$E$1870</x:formula1>
      <x:formula2/>
    </x:dataValidation>
    <x:dataValidation type="decimal" errorStyle="stop" operator="greaterThanOrEqual" allowBlank="1" showDropDown="0" showInputMessage="1" showErrorMessage="1" errorTitle="" error="" promptTitle="" prompt="" sqref="K207:K207">
      <x:formula1>0</x:formula1>
      <x:formula2/>
    </x:dataValidation>
    <x:dataValidation type="decimal" errorStyle="stop" operator="between" allowBlank="1" showDropDown="0" showInputMessage="1" showErrorMessage="1" errorTitle="" error="" promptTitle="" prompt="" sqref="N207:N207">
      <x:formula1>0</x:formula1>
      <x:formula2>100</x:formula2>
    </x:dataValidation>
    <x:dataValidation type="decimal" errorStyle="stop" operator="between" allowBlank="1" showDropDown="0" showInputMessage="1" showErrorMessage="1" errorTitle="" error="" promptTitle="" prompt="" sqref="O207:O207">
      <x:formula1>0</x:formula1>
      <x:formula2>100</x:formula2>
    </x:dataValidation>
    <x:dataValidation type="list" errorStyle="stop" operator="between" allowBlank="1" showDropDown="0" showInputMessage="1" showErrorMessage="1" errorTitle="" error="" promptTitle="" prompt="" sqref="H208:H208">
      <x:formula1>'MasterData'!$B$1:$B$14</x:formula1>
      <x:formula2/>
    </x:dataValidation>
    <x:dataValidation type="list" errorStyle="stop" operator="between" allowBlank="1" showDropDown="0" showInputMessage="1" showErrorMessage="1" errorTitle="" error="" promptTitle="" prompt="" sqref="I208:I208">
      <x:formula1>'MasterData'!$E$1871:$E$1880</x:formula1>
      <x:formula2/>
    </x:dataValidation>
    <x:dataValidation type="decimal" errorStyle="stop" operator="greaterThanOrEqual" allowBlank="1" showDropDown="0" showInputMessage="1" showErrorMessage="1" errorTitle="" error="" promptTitle="" prompt="" sqref="K208:K208">
      <x:formula1>0</x:formula1>
      <x:formula2/>
    </x:dataValidation>
    <x:dataValidation type="decimal" errorStyle="stop" operator="between" allowBlank="1" showDropDown="0" showInputMessage="1" showErrorMessage="1" errorTitle="" error="" promptTitle="" prompt="" sqref="N208:N208">
      <x:formula1>0</x:formula1>
      <x:formula2>100</x:formula2>
    </x:dataValidation>
    <x:dataValidation type="decimal" errorStyle="stop" operator="between" allowBlank="1" showDropDown="0" showInputMessage="1" showErrorMessage="1" errorTitle="" error="" promptTitle="" prompt="" sqref="O208:O208">
      <x:formula1>0</x:formula1>
      <x:formula2>100</x:formula2>
    </x:dataValidation>
    <x:dataValidation type="list" errorStyle="stop" operator="between" allowBlank="1" showDropDown="0" showInputMessage="1" showErrorMessage="1" errorTitle="" error="" promptTitle="" prompt="" sqref="H209:H209">
      <x:formula1>'MasterData'!$B$1:$B$14</x:formula1>
      <x:formula2/>
    </x:dataValidation>
    <x:dataValidation type="list" errorStyle="stop" operator="between" allowBlank="1" showDropDown="0" showInputMessage="1" showErrorMessage="1" errorTitle="" error="" promptTitle="" prompt="" sqref="I209:I209">
      <x:formula1>'MasterData'!$E$1881:$E$1890</x:formula1>
      <x:formula2/>
    </x:dataValidation>
    <x:dataValidation type="decimal" errorStyle="stop" operator="greaterThanOrEqual" allowBlank="1" showDropDown="0" showInputMessage="1" showErrorMessage="1" errorTitle="" error="" promptTitle="" prompt="" sqref="K209:K209">
      <x:formula1>0</x:formula1>
      <x:formula2/>
    </x:dataValidation>
    <x:dataValidation type="decimal" errorStyle="stop" operator="between" allowBlank="1" showDropDown="0" showInputMessage="1" showErrorMessage="1" errorTitle="" error="" promptTitle="" prompt="" sqref="N209:N209">
      <x:formula1>0</x:formula1>
      <x:formula2>100</x:formula2>
    </x:dataValidation>
    <x:dataValidation type="decimal" errorStyle="stop" operator="between" allowBlank="1" showDropDown="0" showInputMessage="1" showErrorMessage="1" errorTitle="" error="" promptTitle="" prompt="" sqref="O209:O209">
      <x:formula1>0</x:formula1>
      <x:formula2>100</x:formula2>
    </x:dataValidation>
    <x:dataValidation type="list" errorStyle="stop" operator="between" allowBlank="1" showDropDown="0" showInputMessage="1" showErrorMessage="1" errorTitle="" error="" promptTitle="" prompt="" sqref="H210:H210">
      <x:formula1>'MasterData'!$B$1:$B$14</x:formula1>
      <x:formula2/>
    </x:dataValidation>
    <x:dataValidation type="list" errorStyle="stop" operator="between" allowBlank="1" showDropDown="0" showInputMessage="1" showErrorMessage="1" errorTitle="" error="" promptTitle="" prompt="" sqref="I210:I210">
      <x:formula1>'MasterData'!$E$1891:$E$1900</x:formula1>
      <x:formula2/>
    </x:dataValidation>
    <x:dataValidation type="decimal" errorStyle="stop" operator="greaterThanOrEqual" allowBlank="1" showDropDown="0" showInputMessage="1" showErrorMessage="1" errorTitle="" error="" promptTitle="" prompt="" sqref="K210:K210">
      <x:formula1>0</x:formula1>
      <x:formula2/>
    </x:dataValidation>
    <x:dataValidation type="decimal" errorStyle="stop" operator="between" allowBlank="1" showDropDown="0" showInputMessage="1" showErrorMessage="1" errorTitle="" error="" promptTitle="" prompt="" sqref="N210:N210">
      <x:formula1>0</x:formula1>
      <x:formula2>100</x:formula2>
    </x:dataValidation>
    <x:dataValidation type="decimal" errorStyle="stop" operator="between" allowBlank="1" showDropDown="0" showInputMessage="1" showErrorMessage="1" errorTitle="" error="" promptTitle="" prompt="" sqref="O210:O210">
      <x:formula1>0</x:formula1>
      <x:formula2>100</x:formula2>
    </x:dataValidation>
    <x:dataValidation type="list" errorStyle="stop" operator="between" allowBlank="1" showDropDown="0" showInputMessage="1" showErrorMessage="1" errorTitle="" error="" promptTitle="" prompt="" sqref="H211:H211">
      <x:formula1>'MasterData'!$B$1:$B$14</x:formula1>
      <x:formula2/>
    </x:dataValidation>
    <x:dataValidation type="list" errorStyle="stop" operator="between" allowBlank="1" showDropDown="0" showInputMessage="1" showErrorMessage="1" errorTitle="" error="" promptTitle="" prompt="" sqref="I211:I211">
      <x:formula1>'MasterData'!$E$1901:$E$1910</x:formula1>
      <x:formula2/>
    </x:dataValidation>
    <x:dataValidation type="decimal" errorStyle="stop" operator="greaterThanOrEqual" allowBlank="1" showDropDown="0" showInputMessage="1" showErrorMessage="1" errorTitle="" error="" promptTitle="" prompt="" sqref="K211:K211">
      <x:formula1>0</x:formula1>
      <x:formula2/>
    </x:dataValidation>
    <x:dataValidation type="decimal" errorStyle="stop" operator="between" allowBlank="1" showDropDown="0" showInputMessage="1" showErrorMessage="1" errorTitle="" error="" promptTitle="" prompt="" sqref="N211:N211">
      <x:formula1>0</x:formula1>
      <x:formula2>100</x:formula2>
    </x:dataValidation>
    <x:dataValidation type="decimal" errorStyle="stop" operator="between" allowBlank="1" showDropDown="0" showInputMessage="1" showErrorMessage="1" errorTitle="" error="" promptTitle="" prompt="" sqref="O211:O211">
      <x:formula1>0</x:formula1>
      <x:formula2>100</x:formula2>
    </x:dataValidation>
    <x:dataValidation type="list" errorStyle="stop" operator="between" allowBlank="1" showDropDown="0" showInputMessage="1" showErrorMessage="1" errorTitle="" error="" promptTitle="" prompt="" sqref="H212:H212">
      <x:formula1>'MasterData'!$B$1:$B$14</x:formula1>
      <x:formula2/>
    </x:dataValidation>
    <x:dataValidation type="list" errorStyle="stop" operator="between" allowBlank="1" showDropDown="0" showInputMessage="1" showErrorMessage="1" errorTitle="" error="" promptTitle="" prompt="" sqref="I212:I212">
      <x:formula1>'MasterData'!$E$1911:$E$1920</x:formula1>
      <x:formula2/>
    </x:dataValidation>
    <x:dataValidation type="decimal" errorStyle="stop" operator="greaterThanOrEqual" allowBlank="1" showDropDown="0" showInputMessage="1" showErrorMessage="1" errorTitle="" error="" promptTitle="" prompt="" sqref="K212:K212">
      <x:formula1>0</x:formula1>
      <x:formula2/>
    </x:dataValidation>
    <x:dataValidation type="decimal" errorStyle="stop" operator="between" allowBlank="1" showDropDown="0" showInputMessage="1" showErrorMessage="1" errorTitle="" error="" promptTitle="" prompt="" sqref="N212:N212">
      <x:formula1>0</x:formula1>
      <x:formula2>100</x:formula2>
    </x:dataValidation>
    <x:dataValidation type="decimal" errorStyle="stop" operator="between" allowBlank="1" showDropDown="0" showInputMessage="1" showErrorMessage="1" errorTitle="" error="" promptTitle="" prompt="" sqref="O212:O212">
      <x:formula1>0</x:formula1>
      <x:formula2>100</x:formula2>
    </x:dataValidation>
    <x:dataValidation type="list" errorStyle="stop" operator="between" allowBlank="1" showDropDown="0" showInputMessage="1" showErrorMessage="1" errorTitle="" error="" promptTitle="" prompt="" sqref="H213:H213">
      <x:formula1>'MasterData'!$B$1:$B$14</x:formula1>
      <x:formula2/>
    </x:dataValidation>
    <x:dataValidation type="list" errorStyle="stop" operator="between" allowBlank="1" showDropDown="0" showInputMessage="1" showErrorMessage="1" errorTitle="" error="" promptTitle="" prompt="" sqref="I213:I213">
      <x:formula1>'MasterData'!$E$1921:$E$1930</x:formula1>
      <x:formula2/>
    </x:dataValidation>
    <x:dataValidation type="decimal" errorStyle="stop" operator="greaterThanOrEqual" allowBlank="1" showDropDown="0" showInputMessage="1" showErrorMessage="1" errorTitle="" error="" promptTitle="" prompt="" sqref="K213:K213">
      <x:formula1>0</x:formula1>
      <x:formula2/>
    </x:dataValidation>
    <x:dataValidation type="decimal" errorStyle="stop" operator="between" allowBlank="1" showDropDown="0" showInputMessage="1" showErrorMessage="1" errorTitle="" error="" promptTitle="" prompt="" sqref="N213:N213">
      <x:formula1>0</x:formula1>
      <x:formula2>100</x:formula2>
    </x:dataValidation>
    <x:dataValidation type="decimal" errorStyle="stop" operator="between" allowBlank="1" showDropDown="0" showInputMessage="1" showErrorMessage="1" errorTitle="" error="" promptTitle="" prompt="" sqref="O213:O213">
      <x:formula1>0</x:formula1>
      <x:formula2>100</x:formula2>
    </x:dataValidation>
    <x:dataValidation type="list" errorStyle="stop" operator="between" allowBlank="1" showDropDown="0" showInputMessage="1" showErrorMessage="1" errorTitle="" error="" promptTitle="" prompt="" sqref="H214:H214">
      <x:formula1>'MasterData'!$B$1:$B$14</x:formula1>
      <x:formula2/>
    </x:dataValidation>
    <x:dataValidation type="list" errorStyle="stop" operator="between" allowBlank="1" showDropDown="0" showInputMessage="1" showErrorMessage="1" errorTitle="" error="" promptTitle="" prompt="" sqref="I214:I214">
      <x:formula1>'MasterData'!$E$1931:$E$1940</x:formula1>
      <x:formula2/>
    </x:dataValidation>
    <x:dataValidation type="decimal" errorStyle="stop" operator="greaterThanOrEqual" allowBlank="1" showDropDown="0" showInputMessage="1" showErrorMessage="1" errorTitle="" error="" promptTitle="" prompt="" sqref="K214:K214">
      <x:formula1>0</x:formula1>
      <x:formula2/>
    </x:dataValidation>
    <x:dataValidation type="decimal" errorStyle="stop" operator="between" allowBlank="1" showDropDown="0" showInputMessage="1" showErrorMessage="1" errorTitle="" error="" promptTitle="" prompt="" sqref="N214:N214">
      <x:formula1>0</x:formula1>
      <x:formula2>100</x:formula2>
    </x:dataValidation>
    <x:dataValidation type="decimal" errorStyle="stop" operator="between" allowBlank="1" showDropDown="0" showInputMessage="1" showErrorMessage="1" errorTitle="" error="" promptTitle="" prompt="" sqref="O214:O214">
      <x:formula1>0</x:formula1>
      <x:formula2>100</x:formula2>
    </x:dataValidation>
    <x:dataValidation type="list" errorStyle="stop" operator="between" allowBlank="1" showDropDown="0" showInputMessage="1" showErrorMessage="1" errorTitle="" error="" promptTitle="" prompt="" sqref="H215:H215">
      <x:formula1>'MasterData'!$B$1:$B$14</x:formula1>
      <x:formula2/>
    </x:dataValidation>
    <x:dataValidation type="list" errorStyle="stop" operator="between" allowBlank="1" showDropDown="0" showInputMessage="1" showErrorMessage="1" errorTitle="" error="" promptTitle="" prompt="" sqref="I215:I215">
      <x:formula1>'MasterData'!$E$1941:$E$1950</x:formula1>
      <x:formula2/>
    </x:dataValidation>
    <x:dataValidation type="decimal" errorStyle="stop" operator="greaterThanOrEqual" allowBlank="1" showDropDown="0" showInputMessage="1" showErrorMessage="1" errorTitle="" error="" promptTitle="" prompt="" sqref="K215:K215">
      <x:formula1>0</x:formula1>
      <x:formula2/>
    </x:dataValidation>
    <x:dataValidation type="decimal" errorStyle="stop" operator="between" allowBlank="1" showDropDown="0" showInputMessage="1" showErrorMessage="1" errorTitle="" error="" promptTitle="" prompt="" sqref="N215:N215">
      <x:formula1>0</x:formula1>
      <x:formula2>100</x:formula2>
    </x:dataValidation>
    <x:dataValidation type="decimal" errorStyle="stop" operator="between" allowBlank="1" showDropDown="0" showInputMessage="1" showErrorMessage="1" errorTitle="" error="" promptTitle="" prompt="" sqref="O215:O215">
      <x:formula1>0</x:formula1>
      <x:formula2>100</x:formula2>
    </x:dataValidation>
    <x:dataValidation type="list" errorStyle="stop" operator="between" allowBlank="1" showDropDown="0" showInputMessage="1" showErrorMessage="1" errorTitle="" error="" promptTitle="" prompt="" sqref="H216:H216">
      <x:formula1>'MasterData'!$B$1:$B$14</x:formula1>
      <x:formula2/>
    </x:dataValidation>
    <x:dataValidation type="list" errorStyle="stop" operator="between" allowBlank="1" showDropDown="0" showInputMessage="1" showErrorMessage="1" errorTitle="" error="" promptTitle="" prompt="" sqref="I216:I216">
      <x:formula1>'MasterData'!$E$1951:$E$1960</x:formula1>
      <x:formula2/>
    </x:dataValidation>
    <x:dataValidation type="decimal" errorStyle="stop" operator="greaterThanOrEqual" allowBlank="1" showDropDown="0" showInputMessage="1" showErrorMessage="1" errorTitle="" error="" promptTitle="" prompt="" sqref="K216:K216">
      <x:formula1>0</x:formula1>
      <x:formula2/>
    </x:dataValidation>
    <x:dataValidation type="decimal" errorStyle="stop" operator="between" allowBlank="1" showDropDown="0" showInputMessage="1" showErrorMessage="1" errorTitle="" error="" promptTitle="" prompt="" sqref="N216:N216">
      <x:formula1>0</x:formula1>
      <x:formula2>100</x:formula2>
    </x:dataValidation>
    <x:dataValidation type="decimal" errorStyle="stop" operator="between" allowBlank="1" showDropDown="0" showInputMessage="1" showErrorMessage="1" errorTitle="" error="" promptTitle="" prompt="" sqref="O216:O216">
      <x:formula1>0</x:formula1>
      <x:formula2>100</x:formula2>
    </x:dataValidation>
    <x:dataValidation type="list" errorStyle="stop" operator="between" allowBlank="1" showDropDown="0" showInputMessage="1" showErrorMessage="1" errorTitle="" error="" promptTitle="" prompt="" sqref="H217:H217">
      <x:formula1>'MasterData'!$B$1:$B$14</x:formula1>
      <x:formula2/>
    </x:dataValidation>
    <x:dataValidation type="list" errorStyle="stop" operator="between" allowBlank="1" showDropDown="0" showInputMessage="1" showErrorMessage="1" errorTitle="" error="" promptTitle="" prompt="" sqref="I217:I217">
      <x:formula1>'MasterData'!$E$1961:$E$1970</x:formula1>
      <x:formula2/>
    </x:dataValidation>
    <x:dataValidation type="decimal" errorStyle="stop" operator="greaterThanOrEqual" allowBlank="1" showDropDown="0" showInputMessage="1" showErrorMessage="1" errorTitle="" error="" promptTitle="" prompt="" sqref="K217:K217">
      <x:formula1>0</x:formula1>
      <x:formula2/>
    </x:dataValidation>
    <x:dataValidation type="decimal" errorStyle="stop" operator="between" allowBlank="1" showDropDown="0" showInputMessage="1" showErrorMessage="1" errorTitle="" error="" promptTitle="" prompt="" sqref="N217:N217">
      <x:formula1>0</x:formula1>
      <x:formula2>100</x:formula2>
    </x:dataValidation>
    <x:dataValidation type="decimal" errorStyle="stop" operator="between" allowBlank="1" showDropDown="0" showInputMessage="1" showErrorMessage="1" errorTitle="" error="" promptTitle="" prompt="" sqref="O217:O217">
      <x:formula1>0</x:formula1>
      <x:formula2>100</x:formula2>
    </x:dataValidation>
    <x:dataValidation type="list" errorStyle="stop" operator="between" allowBlank="1" showDropDown="0" showInputMessage="1" showErrorMessage="1" errorTitle="" error="" promptTitle="" prompt="" sqref="H218:H218">
      <x:formula1>'MasterData'!$B$1:$B$14</x:formula1>
      <x:formula2/>
    </x:dataValidation>
    <x:dataValidation type="list" errorStyle="stop" operator="between" allowBlank="1" showDropDown="0" showInputMessage="1" showErrorMessage="1" errorTitle="" error="" promptTitle="" prompt="" sqref="I218:I218">
      <x:formula1>'MasterData'!$E$1971:$E$1980</x:formula1>
      <x:formula2/>
    </x:dataValidation>
    <x:dataValidation type="decimal" errorStyle="stop" operator="greaterThanOrEqual" allowBlank="1" showDropDown="0" showInputMessage="1" showErrorMessage="1" errorTitle="" error="" promptTitle="" prompt="" sqref="K218:K218">
      <x:formula1>0</x:formula1>
      <x:formula2/>
    </x:dataValidation>
    <x:dataValidation type="decimal" errorStyle="stop" operator="between" allowBlank="1" showDropDown="0" showInputMessage="1" showErrorMessage="1" errorTitle="" error="" promptTitle="" prompt="" sqref="N218:N218">
      <x:formula1>0</x:formula1>
      <x:formula2>100</x:formula2>
    </x:dataValidation>
    <x:dataValidation type="decimal" errorStyle="stop" operator="between" allowBlank="1" showDropDown="0" showInputMessage="1" showErrorMessage="1" errorTitle="" error="" promptTitle="" prompt="" sqref="O218:O218">
      <x:formula1>0</x:formula1>
      <x:formula2>100</x:formula2>
    </x:dataValidation>
    <x:dataValidation type="list" errorStyle="stop" operator="between" allowBlank="1" showDropDown="0" showInputMessage="1" showErrorMessage="1" errorTitle="" error="" promptTitle="" prompt="" sqref="H219:H219">
      <x:formula1>'MasterData'!$B$1:$B$14</x:formula1>
      <x:formula2/>
    </x:dataValidation>
    <x:dataValidation type="list" errorStyle="stop" operator="between" allowBlank="1" showDropDown="0" showInputMessage="1" showErrorMessage="1" errorTitle="" error="" promptTitle="" prompt="" sqref="I219:I219">
      <x:formula1>'MasterData'!$E$1981:$E$1990</x:formula1>
      <x:formula2/>
    </x:dataValidation>
    <x:dataValidation type="decimal" errorStyle="stop" operator="greaterThanOrEqual" allowBlank="1" showDropDown="0" showInputMessage="1" showErrorMessage="1" errorTitle="" error="" promptTitle="" prompt="" sqref="K219:K219">
      <x:formula1>0</x:formula1>
      <x:formula2/>
    </x:dataValidation>
    <x:dataValidation type="decimal" errorStyle="stop" operator="between" allowBlank="1" showDropDown="0" showInputMessage="1" showErrorMessage="1" errorTitle="" error="" promptTitle="" prompt="" sqref="N219:N219">
      <x:formula1>0</x:formula1>
      <x:formula2>100</x:formula2>
    </x:dataValidation>
    <x:dataValidation type="decimal" errorStyle="stop" operator="between" allowBlank="1" showDropDown="0" showInputMessage="1" showErrorMessage="1" errorTitle="" error="" promptTitle="" prompt="" sqref="O219:O219">
      <x:formula1>0</x:formula1>
      <x:formula2>100</x:formula2>
    </x:dataValidation>
    <x:dataValidation type="list" errorStyle="stop" operator="between" allowBlank="1" showDropDown="0" showInputMessage="1" showErrorMessage="1" errorTitle="" error="" promptTitle="" prompt="" sqref="H220:H220">
      <x:formula1>'MasterData'!$B$1:$B$14</x:formula1>
      <x:formula2/>
    </x:dataValidation>
    <x:dataValidation type="list" errorStyle="stop" operator="between" allowBlank="1" showDropDown="0" showInputMessage="1" showErrorMessage="1" errorTitle="" error="" promptTitle="" prompt="" sqref="I220:I220">
      <x:formula1>'MasterData'!$E$1991:$E$2000</x:formula1>
      <x:formula2/>
    </x:dataValidation>
    <x:dataValidation type="decimal" errorStyle="stop" operator="greaterThanOrEqual" allowBlank="1" showDropDown="0" showInputMessage="1" showErrorMessage="1" errorTitle="" error="" promptTitle="" prompt="" sqref="K220:K220">
      <x:formula1>0</x:formula1>
      <x:formula2/>
    </x:dataValidation>
    <x:dataValidation type="decimal" errorStyle="stop" operator="between" allowBlank="1" showDropDown="0" showInputMessage="1" showErrorMessage="1" errorTitle="" error="" promptTitle="" prompt="" sqref="N220:N220">
      <x:formula1>0</x:formula1>
      <x:formula2>100</x:formula2>
    </x:dataValidation>
    <x:dataValidation type="decimal" errorStyle="stop" operator="between" allowBlank="1" showDropDown="0" showInputMessage="1" showErrorMessage="1" errorTitle="" error="" promptTitle="" prompt="" sqref="O220:O220">
      <x:formula1>0</x:formula1>
      <x:formula2>100</x:formula2>
    </x:dataValidation>
    <x:dataValidation type="list" errorStyle="stop" operator="between" allowBlank="1" showDropDown="0" showInputMessage="1" showErrorMessage="1" errorTitle="" error="" promptTitle="" prompt="" sqref="H221:H221">
      <x:formula1>'MasterData'!$B$1:$B$14</x:formula1>
      <x:formula2/>
    </x:dataValidation>
    <x:dataValidation type="list" errorStyle="stop" operator="between" allowBlank="1" showDropDown="0" showInputMessage="1" showErrorMessage="1" errorTitle="" error="" promptTitle="" prompt="" sqref="I221:I221">
      <x:formula1>'MasterData'!$E$2001:$E$2010</x:formula1>
      <x:formula2/>
    </x:dataValidation>
    <x:dataValidation type="decimal" errorStyle="stop" operator="greaterThanOrEqual" allowBlank="1" showDropDown="0" showInputMessage="1" showErrorMessage="1" errorTitle="" error="" promptTitle="" prompt="" sqref="K221:K221">
      <x:formula1>0</x:formula1>
      <x:formula2/>
    </x:dataValidation>
    <x:dataValidation type="decimal" errorStyle="stop" operator="between" allowBlank="1" showDropDown="0" showInputMessage="1" showErrorMessage="1" errorTitle="" error="" promptTitle="" prompt="" sqref="N221:N221">
      <x:formula1>0</x:formula1>
      <x:formula2>100</x:formula2>
    </x:dataValidation>
    <x:dataValidation type="decimal" errorStyle="stop" operator="between" allowBlank="1" showDropDown="0" showInputMessage="1" showErrorMessage="1" errorTitle="" error="" promptTitle="" prompt="" sqref="O221:O221">
      <x:formula1>0</x:formula1>
      <x:formula2>100</x:formula2>
    </x:dataValidation>
    <x:dataValidation type="list" errorStyle="stop" operator="between" allowBlank="1" showDropDown="0" showInputMessage="1" showErrorMessage="1" errorTitle="" error="" promptTitle="" prompt="" sqref="H222:H222">
      <x:formula1>'MasterData'!$B$1:$B$14</x:formula1>
      <x:formula2/>
    </x:dataValidation>
    <x:dataValidation type="list" errorStyle="stop" operator="between" allowBlank="1" showDropDown="0" showInputMessage="1" showErrorMessage="1" errorTitle="" error="" promptTitle="" prompt="" sqref="I222:I222">
      <x:formula1>'MasterData'!$E$2011:$E$2020</x:formula1>
      <x:formula2/>
    </x:dataValidation>
    <x:dataValidation type="decimal" errorStyle="stop" operator="greaterThanOrEqual" allowBlank="1" showDropDown="0" showInputMessage="1" showErrorMessage="1" errorTitle="" error="" promptTitle="" prompt="" sqref="K222:K222">
      <x:formula1>0</x:formula1>
      <x:formula2/>
    </x:dataValidation>
    <x:dataValidation type="decimal" errorStyle="stop" operator="between" allowBlank="1" showDropDown="0" showInputMessage="1" showErrorMessage="1" errorTitle="" error="" promptTitle="" prompt="" sqref="N222:N222">
      <x:formula1>0</x:formula1>
      <x:formula2>100</x:formula2>
    </x:dataValidation>
    <x:dataValidation type="decimal" errorStyle="stop" operator="between" allowBlank="1" showDropDown="0" showInputMessage="1" showErrorMessage="1" errorTitle="" error="" promptTitle="" prompt="" sqref="O222:O222">
      <x:formula1>0</x:formula1>
      <x:formula2>100</x:formula2>
    </x:dataValidation>
    <x:dataValidation type="list" errorStyle="stop" operator="between" allowBlank="1" showDropDown="0" showInputMessage="1" showErrorMessage="1" errorTitle="" error="" promptTitle="" prompt="" sqref="H223:H223">
      <x:formula1>'MasterData'!$B$1:$B$14</x:formula1>
      <x:formula2/>
    </x:dataValidation>
    <x:dataValidation type="list" errorStyle="stop" operator="between" allowBlank="1" showDropDown="0" showInputMessage="1" showErrorMessage="1" errorTitle="" error="" promptTitle="" prompt="" sqref="I223:I223">
      <x:formula1>'MasterData'!$E$2021:$E$2030</x:formula1>
      <x:formula2/>
    </x:dataValidation>
    <x:dataValidation type="decimal" errorStyle="stop" operator="greaterThanOrEqual" allowBlank="1" showDropDown="0" showInputMessage="1" showErrorMessage="1" errorTitle="" error="" promptTitle="" prompt="" sqref="K223:K223">
      <x:formula1>0</x:formula1>
      <x:formula2/>
    </x:dataValidation>
    <x:dataValidation type="decimal" errorStyle="stop" operator="between" allowBlank="1" showDropDown="0" showInputMessage="1" showErrorMessage="1" errorTitle="" error="" promptTitle="" prompt="" sqref="N223:N223">
      <x:formula1>0</x:formula1>
      <x:formula2>100</x:formula2>
    </x:dataValidation>
    <x:dataValidation type="decimal" errorStyle="stop" operator="between" allowBlank="1" showDropDown="0" showInputMessage="1" showErrorMessage="1" errorTitle="" error="" promptTitle="" prompt="" sqref="O223:O223">
      <x:formula1>0</x:formula1>
      <x:formula2>100</x:formula2>
    </x:dataValidation>
    <x:dataValidation type="list" errorStyle="stop" operator="between" allowBlank="1" showDropDown="0" showInputMessage="1" showErrorMessage="1" errorTitle="" error="" promptTitle="" prompt="" sqref="H224:H224">
      <x:formula1>'MasterData'!$B$1:$B$14</x:formula1>
      <x:formula2/>
    </x:dataValidation>
    <x:dataValidation type="list" errorStyle="stop" operator="between" allowBlank="1" showDropDown="0" showInputMessage="1" showErrorMessage="1" errorTitle="" error="" promptTitle="" prompt="" sqref="I224:I224">
      <x:formula1>'MasterData'!$E$2031:$E$2040</x:formula1>
      <x:formula2/>
    </x:dataValidation>
    <x:dataValidation type="decimal" errorStyle="stop" operator="greaterThanOrEqual" allowBlank="1" showDropDown="0" showInputMessage="1" showErrorMessage="1" errorTitle="" error="" promptTitle="" prompt="" sqref="K224:K224">
      <x:formula1>0</x:formula1>
      <x:formula2/>
    </x:dataValidation>
    <x:dataValidation type="decimal" errorStyle="stop" operator="between" allowBlank="1" showDropDown="0" showInputMessage="1" showErrorMessage="1" errorTitle="" error="" promptTitle="" prompt="" sqref="N224:N224">
      <x:formula1>0</x:formula1>
      <x:formula2>100</x:formula2>
    </x:dataValidation>
    <x:dataValidation type="decimal" errorStyle="stop" operator="between" allowBlank="1" showDropDown="0" showInputMessage="1" showErrorMessage="1" errorTitle="" error="" promptTitle="" prompt="" sqref="O224:O224">
      <x:formula1>0</x:formula1>
      <x:formula2>100</x:formula2>
    </x:dataValidation>
    <x:dataValidation type="list" errorStyle="stop" operator="between" allowBlank="1" showDropDown="0" showInputMessage="1" showErrorMessage="1" errorTitle="" error="" promptTitle="" prompt="" sqref="H225:H225">
      <x:formula1>'MasterData'!$B$1:$B$14</x:formula1>
      <x:formula2/>
    </x:dataValidation>
    <x:dataValidation type="list" errorStyle="stop" operator="between" allowBlank="1" showDropDown="0" showInputMessage="1" showErrorMessage="1" errorTitle="" error="" promptTitle="" prompt="" sqref="I225:I225">
      <x:formula1>'MasterData'!$E$2041:$E$2050</x:formula1>
      <x:formula2/>
    </x:dataValidation>
    <x:dataValidation type="decimal" errorStyle="stop" operator="greaterThanOrEqual" allowBlank="1" showDropDown="0" showInputMessage="1" showErrorMessage="1" errorTitle="" error="" promptTitle="" prompt="" sqref="K225:K225">
      <x:formula1>0</x:formula1>
      <x:formula2/>
    </x:dataValidation>
    <x:dataValidation type="decimal" errorStyle="stop" operator="between" allowBlank="1" showDropDown="0" showInputMessage="1" showErrorMessage="1" errorTitle="" error="" promptTitle="" prompt="" sqref="N225:N225">
      <x:formula1>0</x:formula1>
      <x:formula2>100</x:formula2>
    </x:dataValidation>
    <x:dataValidation type="decimal" errorStyle="stop" operator="between" allowBlank="1" showDropDown="0" showInputMessage="1" showErrorMessage="1" errorTitle="" error="" promptTitle="" prompt="" sqref="O225:O225">
      <x:formula1>0</x:formula1>
      <x:formula2>100</x:formula2>
    </x:dataValidation>
    <x:dataValidation type="list" errorStyle="stop" operator="between" allowBlank="1" showDropDown="0" showInputMessage="1" showErrorMessage="1" errorTitle="" error="" promptTitle="" prompt="" sqref="H226:H226">
      <x:formula1>'MasterData'!$B$1:$B$14</x:formula1>
      <x:formula2/>
    </x:dataValidation>
    <x:dataValidation type="list" errorStyle="stop" operator="between" allowBlank="1" showDropDown="0" showInputMessage="1" showErrorMessage="1" errorTitle="" error="" promptTitle="" prompt="" sqref="I226:I226">
      <x:formula1>'MasterData'!$E$2051:$E$2060</x:formula1>
      <x:formula2/>
    </x:dataValidation>
    <x:dataValidation type="decimal" errorStyle="stop" operator="greaterThanOrEqual" allowBlank="1" showDropDown="0" showInputMessage="1" showErrorMessage="1" errorTitle="" error="" promptTitle="" prompt="" sqref="K226:K226">
      <x:formula1>0</x:formula1>
      <x:formula2/>
    </x:dataValidation>
    <x:dataValidation type="decimal" errorStyle="stop" operator="between" allowBlank="1" showDropDown="0" showInputMessage="1" showErrorMessage="1" errorTitle="" error="" promptTitle="" prompt="" sqref="N226:N226">
      <x:formula1>0</x:formula1>
      <x:formula2>100</x:formula2>
    </x:dataValidation>
    <x:dataValidation type="decimal" errorStyle="stop" operator="between" allowBlank="1" showDropDown="0" showInputMessage="1" showErrorMessage="1" errorTitle="" error="" promptTitle="" prompt="" sqref="O226:O226">
      <x:formula1>0</x:formula1>
      <x:formula2>100</x:formula2>
    </x:dataValidation>
    <x:dataValidation type="list" errorStyle="stop" operator="between" allowBlank="1" showDropDown="0" showInputMessage="1" showErrorMessage="1" errorTitle="" error="" promptTitle="" prompt="" sqref="H227:H227">
      <x:formula1>'MasterData'!$B$1:$B$14</x:formula1>
      <x:formula2/>
    </x:dataValidation>
    <x:dataValidation type="list" errorStyle="stop" operator="between" allowBlank="1" showDropDown="0" showInputMessage="1" showErrorMessage="1" errorTitle="" error="" promptTitle="" prompt="" sqref="I227:I227">
      <x:formula1>'MasterData'!$E$2061:$E$2070</x:formula1>
      <x:formula2/>
    </x:dataValidation>
    <x:dataValidation type="decimal" errorStyle="stop" operator="greaterThanOrEqual" allowBlank="1" showDropDown="0" showInputMessage="1" showErrorMessage="1" errorTitle="" error="" promptTitle="" prompt="" sqref="K227:K227">
      <x:formula1>0</x:formula1>
      <x:formula2/>
    </x:dataValidation>
    <x:dataValidation type="decimal" errorStyle="stop" operator="between" allowBlank="1" showDropDown="0" showInputMessage="1" showErrorMessage="1" errorTitle="" error="" promptTitle="" prompt="" sqref="N227:N227">
      <x:formula1>0</x:formula1>
      <x:formula2>100</x:formula2>
    </x:dataValidation>
    <x:dataValidation type="decimal" errorStyle="stop" operator="between" allowBlank="1" showDropDown="0" showInputMessage="1" showErrorMessage="1" errorTitle="" error="" promptTitle="" prompt="" sqref="O227:O227">
      <x:formula1>0</x:formula1>
      <x:formula2>100</x:formula2>
    </x:dataValidation>
    <x:dataValidation type="list" errorStyle="stop" operator="between" allowBlank="1" showDropDown="0" showInputMessage="1" showErrorMessage="1" errorTitle="" error="" promptTitle="" prompt="" sqref="H228:H228">
      <x:formula1>'MasterData'!$B$1:$B$14</x:formula1>
      <x:formula2/>
    </x:dataValidation>
    <x:dataValidation type="list" errorStyle="stop" operator="between" allowBlank="1" showDropDown="0" showInputMessage="1" showErrorMessage="1" errorTitle="" error="" promptTitle="" prompt="" sqref="I228:I228">
      <x:formula1>'MasterData'!$E$2071:$E$2080</x:formula1>
      <x:formula2/>
    </x:dataValidation>
    <x:dataValidation type="decimal" errorStyle="stop" operator="greaterThanOrEqual" allowBlank="1" showDropDown="0" showInputMessage="1" showErrorMessage="1" errorTitle="" error="" promptTitle="" prompt="" sqref="K228:K228">
      <x:formula1>0</x:formula1>
      <x:formula2/>
    </x:dataValidation>
    <x:dataValidation type="decimal" errorStyle="stop" operator="between" allowBlank="1" showDropDown="0" showInputMessage="1" showErrorMessage="1" errorTitle="" error="" promptTitle="" prompt="" sqref="N228:N228">
      <x:formula1>0</x:formula1>
      <x:formula2>100</x:formula2>
    </x:dataValidation>
    <x:dataValidation type="decimal" errorStyle="stop" operator="between" allowBlank="1" showDropDown="0" showInputMessage="1" showErrorMessage="1" errorTitle="" error="" promptTitle="" prompt="" sqref="O228:O228">
      <x:formula1>0</x:formula1>
      <x:formula2>100</x:formula2>
    </x:dataValidation>
    <x:dataValidation type="list" errorStyle="stop" operator="between" allowBlank="1" showDropDown="0" showInputMessage="1" showErrorMessage="1" errorTitle="" error="" promptTitle="" prompt="" sqref="H229:H229">
      <x:formula1>'MasterData'!$B$1:$B$14</x:formula1>
      <x:formula2/>
    </x:dataValidation>
    <x:dataValidation type="list" errorStyle="stop" operator="between" allowBlank="1" showDropDown="0" showInputMessage="1" showErrorMessage="1" errorTitle="" error="" promptTitle="" prompt="" sqref="I229:I229">
      <x:formula1>'MasterData'!$E$2081:$E$2090</x:formula1>
      <x:formula2/>
    </x:dataValidation>
    <x:dataValidation type="decimal" errorStyle="stop" operator="greaterThanOrEqual" allowBlank="1" showDropDown="0" showInputMessage="1" showErrorMessage="1" errorTitle="" error="" promptTitle="" prompt="" sqref="K229:K229">
      <x:formula1>0</x:formula1>
      <x:formula2/>
    </x:dataValidation>
    <x:dataValidation type="decimal" errorStyle="stop" operator="between" allowBlank="1" showDropDown="0" showInputMessage="1" showErrorMessage="1" errorTitle="" error="" promptTitle="" prompt="" sqref="N229:N229">
      <x:formula1>0</x:formula1>
      <x:formula2>100</x:formula2>
    </x:dataValidation>
    <x:dataValidation type="decimal" errorStyle="stop" operator="between" allowBlank="1" showDropDown="0" showInputMessage="1" showErrorMessage="1" errorTitle="" error="" promptTitle="" prompt="" sqref="O229:O229">
      <x:formula1>0</x:formula1>
      <x:formula2>100</x:formula2>
    </x:dataValidation>
    <x:dataValidation type="list" errorStyle="stop" operator="between" allowBlank="1" showDropDown="0" showInputMessage="1" showErrorMessage="1" errorTitle="" error="" promptTitle="" prompt="" sqref="H230:H230">
      <x:formula1>'MasterData'!$B$1:$B$14</x:formula1>
      <x:formula2/>
    </x:dataValidation>
    <x:dataValidation type="list" errorStyle="stop" operator="between" allowBlank="1" showDropDown="0" showInputMessage="1" showErrorMessage="1" errorTitle="" error="" promptTitle="" prompt="" sqref="I230:I230">
      <x:formula1>'MasterData'!$E$2091:$E$2100</x:formula1>
      <x:formula2/>
    </x:dataValidation>
    <x:dataValidation type="decimal" errorStyle="stop" operator="greaterThanOrEqual" allowBlank="1" showDropDown="0" showInputMessage="1" showErrorMessage="1" errorTitle="" error="" promptTitle="" prompt="" sqref="K230:K230">
      <x:formula1>0</x:formula1>
      <x:formula2/>
    </x:dataValidation>
    <x:dataValidation type="decimal" errorStyle="stop" operator="between" allowBlank="1" showDropDown="0" showInputMessage="1" showErrorMessage="1" errorTitle="" error="" promptTitle="" prompt="" sqref="N230:N230">
      <x:formula1>0</x:formula1>
      <x:formula2>100</x:formula2>
    </x:dataValidation>
    <x:dataValidation type="decimal" errorStyle="stop" operator="between" allowBlank="1" showDropDown="0" showInputMessage="1" showErrorMessage="1" errorTitle="" error="" promptTitle="" prompt="" sqref="O230:O230">
      <x:formula1>0</x:formula1>
      <x:formula2>100</x:formula2>
    </x:dataValidation>
    <x:dataValidation type="list" errorStyle="stop" operator="between" allowBlank="1" showDropDown="0" showInputMessage="1" showErrorMessage="1" errorTitle="" error="" promptTitle="" prompt="" sqref="H231:H231">
      <x:formula1>'MasterData'!$B$1:$B$14</x:formula1>
      <x:formula2/>
    </x:dataValidation>
    <x:dataValidation type="list" errorStyle="stop" operator="between" allowBlank="1" showDropDown="0" showInputMessage="1" showErrorMessage="1" errorTitle="" error="" promptTitle="" prompt="" sqref="I231:I231">
      <x:formula1>'MasterData'!$E$2101:$E$2110</x:formula1>
      <x:formula2/>
    </x:dataValidation>
    <x:dataValidation type="decimal" errorStyle="stop" operator="greaterThanOrEqual" allowBlank="1" showDropDown="0" showInputMessage="1" showErrorMessage="1" errorTitle="" error="" promptTitle="" prompt="" sqref="K231:K231">
      <x:formula1>0</x:formula1>
      <x:formula2/>
    </x:dataValidation>
    <x:dataValidation type="decimal" errorStyle="stop" operator="between" allowBlank="1" showDropDown="0" showInputMessage="1" showErrorMessage="1" errorTitle="" error="" promptTitle="" prompt="" sqref="N231:N231">
      <x:formula1>0</x:formula1>
      <x:formula2>100</x:formula2>
    </x:dataValidation>
    <x:dataValidation type="decimal" errorStyle="stop" operator="between" allowBlank="1" showDropDown="0" showInputMessage="1" showErrorMessage="1" errorTitle="" error="" promptTitle="" prompt="" sqref="O231:O231">
      <x:formula1>0</x:formula1>
      <x:formula2>100</x:formula2>
    </x:dataValidation>
    <x:dataValidation type="list" errorStyle="stop" operator="between" allowBlank="1" showDropDown="0" showInputMessage="1" showErrorMessage="1" errorTitle="" error="" promptTitle="" prompt="" sqref="H232:H232">
      <x:formula1>'MasterData'!$B$1:$B$14</x:formula1>
      <x:formula2/>
    </x:dataValidation>
    <x:dataValidation type="list" errorStyle="stop" operator="between" allowBlank="1" showDropDown="0" showInputMessage="1" showErrorMessage="1" errorTitle="" error="" promptTitle="" prompt="" sqref="I232:I232">
      <x:formula1>'MasterData'!$E$2111:$E$2120</x:formula1>
      <x:formula2/>
    </x:dataValidation>
    <x:dataValidation type="decimal" errorStyle="stop" operator="greaterThanOrEqual" allowBlank="1" showDropDown="0" showInputMessage="1" showErrorMessage="1" errorTitle="" error="" promptTitle="" prompt="" sqref="K232:K232">
      <x:formula1>0</x:formula1>
      <x:formula2/>
    </x:dataValidation>
    <x:dataValidation type="decimal" errorStyle="stop" operator="between" allowBlank="1" showDropDown="0" showInputMessage="1" showErrorMessage="1" errorTitle="" error="" promptTitle="" prompt="" sqref="N232:N232">
      <x:formula1>0</x:formula1>
      <x:formula2>100</x:formula2>
    </x:dataValidation>
    <x:dataValidation type="decimal" errorStyle="stop" operator="between" allowBlank="1" showDropDown="0" showInputMessage="1" showErrorMessage="1" errorTitle="" error="" promptTitle="" prompt="" sqref="O232:O232">
      <x:formula1>0</x:formula1>
      <x:formula2>100</x:formula2>
    </x:dataValidation>
    <x:dataValidation type="list" errorStyle="stop" operator="between" allowBlank="1" showDropDown="0" showInputMessage="1" showErrorMessage="1" errorTitle="" error="" promptTitle="" prompt="" sqref="H233:H233">
      <x:formula1>'MasterData'!$B$1:$B$14</x:formula1>
      <x:formula2/>
    </x:dataValidation>
    <x:dataValidation type="list" errorStyle="stop" operator="between" allowBlank="1" showDropDown="0" showInputMessage="1" showErrorMessage="1" errorTitle="" error="" promptTitle="" prompt="" sqref="I233:I233">
      <x:formula1>'MasterData'!$E$2121:$E$2130</x:formula1>
      <x:formula2/>
    </x:dataValidation>
    <x:dataValidation type="decimal" errorStyle="stop" operator="greaterThanOrEqual" allowBlank="1" showDropDown="0" showInputMessage="1" showErrorMessage="1" errorTitle="" error="" promptTitle="" prompt="" sqref="K233:K233">
      <x:formula1>0</x:formula1>
      <x:formula2/>
    </x:dataValidation>
    <x:dataValidation type="decimal" errorStyle="stop" operator="between" allowBlank="1" showDropDown="0" showInputMessage="1" showErrorMessage="1" errorTitle="" error="" promptTitle="" prompt="" sqref="N233:N233">
      <x:formula1>0</x:formula1>
      <x:formula2>100</x:formula2>
    </x:dataValidation>
    <x:dataValidation type="decimal" errorStyle="stop" operator="between" allowBlank="1" showDropDown="0" showInputMessage="1" showErrorMessage="1" errorTitle="" error="" promptTitle="" prompt="" sqref="O233:O233">
      <x:formula1>0</x:formula1>
      <x:formula2>100</x:formula2>
    </x:dataValidation>
    <x:dataValidation type="list" errorStyle="stop" operator="between" allowBlank="1" showDropDown="0" showInputMessage="1" showErrorMessage="1" errorTitle="" error="" promptTitle="" prompt="" sqref="H234:H234">
      <x:formula1>'MasterData'!$B$1:$B$14</x:formula1>
      <x:formula2/>
    </x:dataValidation>
    <x:dataValidation type="list" errorStyle="stop" operator="between" allowBlank="1" showDropDown="0" showInputMessage="1" showErrorMessage="1" errorTitle="" error="" promptTitle="" prompt="" sqref="I234:I234">
      <x:formula1>'MasterData'!$E$2131:$E$2140</x:formula1>
      <x:formula2/>
    </x:dataValidation>
    <x:dataValidation type="decimal" errorStyle="stop" operator="greaterThanOrEqual" allowBlank="1" showDropDown="0" showInputMessage="1" showErrorMessage="1" errorTitle="" error="" promptTitle="" prompt="" sqref="K234:K234">
      <x:formula1>0</x:formula1>
      <x:formula2/>
    </x:dataValidation>
    <x:dataValidation type="decimal" errorStyle="stop" operator="between" allowBlank="1" showDropDown="0" showInputMessage="1" showErrorMessage="1" errorTitle="" error="" promptTitle="" prompt="" sqref="N234:N234">
      <x:formula1>0</x:formula1>
      <x:formula2>100</x:formula2>
    </x:dataValidation>
    <x:dataValidation type="decimal" errorStyle="stop" operator="between" allowBlank="1" showDropDown="0" showInputMessage="1" showErrorMessage="1" errorTitle="" error="" promptTitle="" prompt="" sqref="O234:O234">
      <x:formula1>0</x:formula1>
      <x:formula2>100</x:formula2>
    </x:dataValidation>
    <x:dataValidation type="list" errorStyle="stop" operator="between" allowBlank="1" showDropDown="0" showInputMessage="1" showErrorMessage="1" errorTitle="" error="" promptTitle="" prompt="" sqref="H235:H235">
      <x:formula1>'MasterData'!$B$1:$B$14</x:formula1>
      <x:formula2/>
    </x:dataValidation>
    <x:dataValidation type="list" errorStyle="stop" operator="between" allowBlank="1" showDropDown="0" showInputMessage="1" showErrorMessage="1" errorTitle="" error="" promptTitle="" prompt="" sqref="I235:I235">
      <x:formula1>'MasterData'!$E$2141:$E$2150</x:formula1>
      <x:formula2/>
    </x:dataValidation>
    <x:dataValidation type="decimal" errorStyle="stop" operator="greaterThanOrEqual" allowBlank="1" showDropDown="0" showInputMessage="1" showErrorMessage="1" errorTitle="" error="" promptTitle="" prompt="" sqref="K235:K235">
      <x:formula1>0</x:formula1>
      <x:formula2/>
    </x:dataValidation>
    <x:dataValidation type="decimal" errorStyle="stop" operator="between" allowBlank="1" showDropDown="0" showInputMessage="1" showErrorMessage="1" errorTitle="" error="" promptTitle="" prompt="" sqref="N235:N235">
      <x:formula1>0</x:formula1>
      <x:formula2>100</x:formula2>
    </x:dataValidation>
    <x:dataValidation type="decimal" errorStyle="stop" operator="between" allowBlank="1" showDropDown="0" showInputMessage="1" showErrorMessage="1" errorTitle="" error="" promptTitle="" prompt="" sqref="O235:O235">
      <x:formula1>0</x:formula1>
      <x:formula2>100</x:formula2>
    </x:dataValidation>
    <x:dataValidation type="list" errorStyle="stop" operator="between" allowBlank="1" showDropDown="0" showInputMessage="1" showErrorMessage="1" errorTitle="" error="" promptTitle="" prompt="" sqref="H236:H236">
      <x:formula1>'MasterData'!$B$1:$B$14</x:formula1>
      <x:formula2/>
    </x:dataValidation>
    <x:dataValidation type="list" errorStyle="stop" operator="between" allowBlank="1" showDropDown="0" showInputMessage="1" showErrorMessage="1" errorTitle="" error="" promptTitle="" prompt="" sqref="I236:I236">
      <x:formula1>'MasterData'!$E$2151:$E$2160</x:formula1>
      <x:formula2/>
    </x:dataValidation>
    <x:dataValidation type="decimal" errorStyle="stop" operator="greaterThanOrEqual" allowBlank="1" showDropDown="0" showInputMessage="1" showErrorMessage="1" errorTitle="" error="" promptTitle="" prompt="" sqref="K236:K236">
      <x:formula1>0</x:formula1>
      <x:formula2/>
    </x:dataValidation>
    <x:dataValidation type="decimal" errorStyle="stop" operator="between" allowBlank="1" showDropDown="0" showInputMessage="1" showErrorMessage="1" errorTitle="" error="" promptTitle="" prompt="" sqref="N236:N236">
      <x:formula1>0</x:formula1>
      <x:formula2>100</x:formula2>
    </x:dataValidation>
    <x:dataValidation type="decimal" errorStyle="stop" operator="between" allowBlank="1" showDropDown="0" showInputMessage="1" showErrorMessage="1" errorTitle="" error="" promptTitle="" prompt="" sqref="O236:O236">
      <x:formula1>0</x:formula1>
      <x:formula2>100</x:formula2>
    </x:dataValidation>
    <x:dataValidation type="list" errorStyle="stop" operator="between" allowBlank="1" showDropDown="0" showInputMessage="1" showErrorMessage="1" errorTitle="" error="" promptTitle="" prompt="" sqref="H237:H237">
      <x:formula1>'MasterData'!$B$1:$B$14</x:formula1>
      <x:formula2/>
    </x:dataValidation>
    <x:dataValidation type="list" errorStyle="stop" operator="between" allowBlank="1" showDropDown="0" showInputMessage="1" showErrorMessage="1" errorTitle="" error="" promptTitle="" prompt="" sqref="I237:I237">
      <x:formula1>'MasterData'!$E$2161:$E$2170</x:formula1>
      <x:formula2/>
    </x:dataValidation>
    <x:dataValidation type="decimal" errorStyle="stop" operator="greaterThanOrEqual" allowBlank="1" showDropDown="0" showInputMessage="1" showErrorMessage="1" errorTitle="" error="" promptTitle="" prompt="" sqref="K237:K237">
      <x:formula1>0</x:formula1>
      <x:formula2/>
    </x:dataValidation>
    <x:dataValidation type="decimal" errorStyle="stop" operator="between" allowBlank="1" showDropDown="0" showInputMessage="1" showErrorMessage="1" errorTitle="" error="" promptTitle="" prompt="" sqref="N237:N237">
      <x:formula1>0</x:formula1>
      <x:formula2>100</x:formula2>
    </x:dataValidation>
    <x:dataValidation type="decimal" errorStyle="stop" operator="between" allowBlank="1" showDropDown="0" showInputMessage="1" showErrorMessage="1" errorTitle="" error="" promptTitle="" prompt="" sqref="O237:O237">
      <x:formula1>0</x:formula1>
      <x:formula2>100</x:formula2>
    </x:dataValidation>
    <x:dataValidation type="list" errorStyle="stop" operator="between" allowBlank="1" showDropDown="0" showInputMessage="1" showErrorMessage="1" errorTitle="" error="" promptTitle="" prompt="" sqref="H238:H238">
      <x:formula1>'MasterData'!$B$1:$B$14</x:formula1>
      <x:formula2/>
    </x:dataValidation>
    <x:dataValidation type="list" errorStyle="stop" operator="between" allowBlank="1" showDropDown="0" showInputMessage="1" showErrorMessage="1" errorTitle="" error="" promptTitle="" prompt="" sqref="I238:I238">
      <x:formula1>'MasterData'!$E$2171:$E$2180</x:formula1>
      <x:formula2/>
    </x:dataValidation>
    <x:dataValidation type="decimal" errorStyle="stop" operator="greaterThanOrEqual" allowBlank="1" showDropDown="0" showInputMessage="1" showErrorMessage="1" errorTitle="" error="" promptTitle="" prompt="" sqref="K238:K238">
      <x:formula1>0</x:formula1>
      <x:formula2/>
    </x:dataValidation>
    <x:dataValidation type="decimal" errorStyle="stop" operator="between" allowBlank="1" showDropDown="0" showInputMessage="1" showErrorMessage="1" errorTitle="" error="" promptTitle="" prompt="" sqref="N238:N238">
      <x:formula1>0</x:formula1>
      <x:formula2>100</x:formula2>
    </x:dataValidation>
    <x:dataValidation type="decimal" errorStyle="stop" operator="between" allowBlank="1" showDropDown="0" showInputMessage="1" showErrorMessage="1" errorTitle="" error="" promptTitle="" prompt="" sqref="O238:O238">
      <x:formula1>0</x:formula1>
      <x:formula2>100</x:formula2>
    </x:dataValidation>
    <x:dataValidation type="list" errorStyle="stop" operator="between" allowBlank="1" showDropDown="0" showInputMessage="1" showErrorMessage="1" errorTitle="" error="" promptTitle="" prompt="" sqref="H239:H239">
      <x:formula1>'MasterData'!$B$1:$B$14</x:formula1>
      <x:formula2/>
    </x:dataValidation>
    <x:dataValidation type="list" errorStyle="stop" operator="between" allowBlank="1" showDropDown="0" showInputMessage="1" showErrorMessage="1" errorTitle="" error="" promptTitle="" prompt="" sqref="I239:I239">
      <x:formula1>'MasterData'!$E$2181:$E$2190</x:formula1>
      <x:formula2/>
    </x:dataValidation>
    <x:dataValidation type="decimal" errorStyle="stop" operator="greaterThanOrEqual" allowBlank="1" showDropDown="0" showInputMessage="1" showErrorMessage="1" errorTitle="" error="" promptTitle="" prompt="" sqref="K239:K239">
      <x:formula1>0</x:formula1>
      <x:formula2/>
    </x:dataValidation>
    <x:dataValidation type="decimal" errorStyle="stop" operator="between" allowBlank="1" showDropDown="0" showInputMessage="1" showErrorMessage="1" errorTitle="" error="" promptTitle="" prompt="" sqref="N239:N239">
      <x:formula1>0</x:formula1>
      <x:formula2>100</x:formula2>
    </x:dataValidation>
    <x:dataValidation type="decimal" errorStyle="stop" operator="between" allowBlank="1" showDropDown="0" showInputMessage="1" showErrorMessage="1" errorTitle="" error="" promptTitle="" prompt="" sqref="O239:O239">
      <x:formula1>0</x:formula1>
      <x:formula2>100</x:formula2>
    </x:dataValidation>
    <x:dataValidation type="list" errorStyle="stop" operator="between" allowBlank="1" showDropDown="0" showInputMessage="1" showErrorMessage="1" errorTitle="" error="" promptTitle="" prompt="" sqref="H240:H240">
      <x:formula1>'MasterData'!$B$1:$B$14</x:formula1>
      <x:formula2/>
    </x:dataValidation>
    <x:dataValidation type="list" errorStyle="stop" operator="between" allowBlank="1" showDropDown="0" showInputMessage="1" showErrorMessage="1" errorTitle="" error="" promptTitle="" prompt="" sqref="I240:I240">
      <x:formula1>'MasterData'!$E$2191:$E$2200</x:formula1>
      <x:formula2/>
    </x:dataValidation>
    <x:dataValidation type="decimal" errorStyle="stop" operator="greaterThanOrEqual" allowBlank="1" showDropDown="0" showInputMessage="1" showErrorMessage="1" errorTitle="" error="" promptTitle="" prompt="" sqref="K240:K240">
      <x:formula1>0</x:formula1>
      <x:formula2/>
    </x:dataValidation>
    <x:dataValidation type="decimal" errorStyle="stop" operator="between" allowBlank="1" showDropDown="0" showInputMessage="1" showErrorMessage="1" errorTitle="" error="" promptTitle="" prompt="" sqref="N240:N240">
      <x:formula1>0</x:formula1>
      <x:formula2>100</x:formula2>
    </x:dataValidation>
    <x:dataValidation type="decimal" errorStyle="stop" operator="between" allowBlank="1" showDropDown="0" showInputMessage="1" showErrorMessage="1" errorTitle="" error="" promptTitle="" prompt="" sqref="O240:O240">
      <x:formula1>0</x:formula1>
      <x:formula2>100</x:formula2>
    </x:dataValidation>
    <x:dataValidation type="list" errorStyle="stop" operator="between" allowBlank="1" showDropDown="0" showInputMessage="1" showErrorMessage="1" errorTitle="" error="" promptTitle="" prompt="" sqref="H241:H241">
      <x:formula1>'MasterData'!$B$1:$B$14</x:formula1>
      <x:formula2/>
    </x:dataValidation>
    <x:dataValidation type="list" errorStyle="stop" operator="between" allowBlank="1" showDropDown="0" showInputMessage="1" showErrorMessage="1" errorTitle="" error="" promptTitle="" prompt="" sqref="I241:I241">
      <x:formula1>'MasterData'!$E$2201:$E$2210</x:formula1>
      <x:formula2/>
    </x:dataValidation>
    <x:dataValidation type="decimal" errorStyle="stop" operator="greaterThanOrEqual" allowBlank="1" showDropDown="0" showInputMessage="1" showErrorMessage="1" errorTitle="" error="" promptTitle="" prompt="" sqref="K241:K241">
      <x:formula1>0</x:formula1>
      <x:formula2/>
    </x:dataValidation>
    <x:dataValidation type="decimal" errorStyle="stop" operator="between" allowBlank="1" showDropDown="0" showInputMessage="1" showErrorMessage="1" errorTitle="" error="" promptTitle="" prompt="" sqref="N241:N241">
      <x:formula1>0</x:formula1>
      <x:formula2>100</x:formula2>
    </x:dataValidation>
    <x:dataValidation type="decimal" errorStyle="stop" operator="between" allowBlank="1" showDropDown="0" showInputMessage="1" showErrorMessage="1" errorTitle="" error="" promptTitle="" prompt="" sqref="O241:O241">
      <x:formula1>0</x:formula1>
      <x:formula2>100</x:formula2>
    </x:dataValidation>
    <x:dataValidation type="list" errorStyle="stop" operator="between" allowBlank="1" showDropDown="0" showInputMessage="1" showErrorMessage="1" errorTitle="" error="" promptTitle="" prompt="" sqref="H242:H242">
      <x:formula1>'MasterData'!$B$1:$B$14</x:formula1>
      <x:formula2/>
    </x:dataValidation>
    <x:dataValidation type="list" errorStyle="stop" operator="between" allowBlank="1" showDropDown="0" showInputMessage="1" showErrorMessage="1" errorTitle="" error="" promptTitle="" prompt="" sqref="I242:I242">
      <x:formula1>'MasterData'!$E$2211:$E$2220</x:formula1>
      <x:formula2/>
    </x:dataValidation>
    <x:dataValidation type="decimal" errorStyle="stop" operator="greaterThanOrEqual" allowBlank="1" showDropDown="0" showInputMessage="1" showErrorMessage="1" errorTitle="" error="" promptTitle="" prompt="" sqref="K242:K242">
      <x:formula1>0</x:formula1>
      <x:formula2/>
    </x:dataValidation>
    <x:dataValidation type="decimal" errorStyle="stop" operator="between" allowBlank="1" showDropDown="0" showInputMessage="1" showErrorMessage="1" errorTitle="" error="" promptTitle="" prompt="" sqref="N242:N242">
      <x:formula1>0</x:formula1>
      <x:formula2>100</x:formula2>
    </x:dataValidation>
    <x:dataValidation type="decimal" errorStyle="stop" operator="between" allowBlank="1" showDropDown="0" showInputMessage="1" showErrorMessage="1" errorTitle="" error="" promptTitle="" prompt="" sqref="O242:O242">
      <x:formula1>0</x:formula1>
      <x:formula2>100</x:formula2>
    </x:dataValidation>
    <x:dataValidation type="list" errorStyle="stop" operator="between" allowBlank="1" showDropDown="0" showInputMessage="1" showErrorMessage="1" errorTitle="" error="" promptTitle="" prompt="" sqref="H243:H243">
      <x:formula1>'MasterData'!$B$1:$B$14</x:formula1>
      <x:formula2/>
    </x:dataValidation>
    <x:dataValidation type="list" errorStyle="stop" operator="between" allowBlank="1" showDropDown="0" showInputMessage="1" showErrorMessage="1" errorTitle="" error="" promptTitle="" prompt="" sqref="I243:I243">
      <x:formula1>'MasterData'!$E$2221:$E$2230</x:formula1>
      <x:formula2/>
    </x:dataValidation>
    <x:dataValidation type="decimal" errorStyle="stop" operator="greaterThanOrEqual" allowBlank="1" showDropDown="0" showInputMessage="1" showErrorMessage="1" errorTitle="" error="" promptTitle="" prompt="" sqref="K243:K243">
      <x:formula1>0</x:formula1>
      <x:formula2/>
    </x:dataValidation>
    <x:dataValidation type="decimal" errorStyle="stop" operator="between" allowBlank="1" showDropDown="0" showInputMessage="1" showErrorMessage="1" errorTitle="" error="" promptTitle="" prompt="" sqref="N243:N243">
      <x:formula1>0</x:formula1>
      <x:formula2>100</x:formula2>
    </x:dataValidation>
    <x:dataValidation type="decimal" errorStyle="stop" operator="between" allowBlank="1" showDropDown="0" showInputMessage="1" showErrorMessage="1" errorTitle="" error="" promptTitle="" prompt="" sqref="O243:O243">
      <x:formula1>0</x:formula1>
      <x:formula2>100</x:formula2>
    </x:dataValidation>
    <x:dataValidation type="list" errorStyle="stop" operator="between" allowBlank="1" showDropDown="0" showInputMessage="1" showErrorMessage="1" errorTitle="" error="" promptTitle="" prompt="" sqref="H244:H244">
      <x:formula1>'MasterData'!$B$1:$B$14</x:formula1>
      <x:formula2/>
    </x:dataValidation>
    <x:dataValidation type="list" errorStyle="stop" operator="between" allowBlank="1" showDropDown="0" showInputMessage="1" showErrorMessage="1" errorTitle="" error="" promptTitle="" prompt="" sqref="I244:I244">
      <x:formula1>'MasterData'!$E$2231:$E$2240</x:formula1>
      <x:formula2/>
    </x:dataValidation>
    <x:dataValidation type="decimal" errorStyle="stop" operator="greaterThanOrEqual" allowBlank="1" showDropDown="0" showInputMessage="1" showErrorMessage="1" errorTitle="" error="" promptTitle="" prompt="" sqref="K244:K244">
      <x:formula1>0</x:formula1>
      <x:formula2/>
    </x:dataValidation>
    <x:dataValidation type="decimal" errorStyle="stop" operator="between" allowBlank="1" showDropDown="0" showInputMessage="1" showErrorMessage="1" errorTitle="" error="" promptTitle="" prompt="" sqref="N244:N244">
      <x:formula1>0</x:formula1>
      <x:formula2>100</x:formula2>
    </x:dataValidation>
    <x:dataValidation type="decimal" errorStyle="stop" operator="between" allowBlank="1" showDropDown="0" showInputMessage="1" showErrorMessage="1" errorTitle="" error="" promptTitle="" prompt="" sqref="O244:O244">
      <x:formula1>0</x:formula1>
      <x:formula2>100</x:formula2>
    </x:dataValidation>
    <x:dataValidation type="list" errorStyle="stop" operator="between" allowBlank="1" showDropDown="0" showInputMessage="1" showErrorMessage="1" errorTitle="" error="" promptTitle="" prompt="" sqref="H245:H245">
      <x:formula1>'MasterData'!$B$1:$B$14</x:formula1>
      <x:formula2/>
    </x:dataValidation>
    <x:dataValidation type="list" errorStyle="stop" operator="between" allowBlank="1" showDropDown="0" showInputMessage="1" showErrorMessage="1" errorTitle="" error="" promptTitle="" prompt="" sqref="I245:I245">
      <x:formula1>'MasterData'!$E$2241:$E$2250</x:formula1>
      <x:formula2/>
    </x:dataValidation>
    <x:dataValidation type="decimal" errorStyle="stop" operator="greaterThanOrEqual" allowBlank="1" showDropDown="0" showInputMessage="1" showErrorMessage="1" errorTitle="" error="" promptTitle="" prompt="" sqref="K245:K245">
      <x:formula1>0</x:formula1>
      <x:formula2/>
    </x:dataValidation>
    <x:dataValidation type="decimal" errorStyle="stop" operator="between" allowBlank="1" showDropDown="0" showInputMessage="1" showErrorMessage="1" errorTitle="" error="" promptTitle="" prompt="" sqref="N245:N245">
      <x:formula1>0</x:formula1>
      <x:formula2>100</x:formula2>
    </x:dataValidation>
    <x:dataValidation type="decimal" errorStyle="stop" operator="between" allowBlank="1" showDropDown="0" showInputMessage="1" showErrorMessage="1" errorTitle="" error="" promptTitle="" prompt="" sqref="O245:O245">
      <x:formula1>0</x:formula1>
      <x:formula2>100</x:formula2>
    </x:dataValidation>
    <x:dataValidation type="list" errorStyle="stop" operator="between" allowBlank="1" showDropDown="0" showInputMessage="1" showErrorMessage="1" errorTitle="" error="" promptTitle="" prompt="" sqref="H246:H246">
      <x:formula1>'MasterData'!$B$1:$B$14</x:formula1>
      <x:formula2/>
    </x:dataValidation>
    <x:dataValidation type="list" errorStyle="stop" operator="between" allowBlank="1" showDropDown="0" showInputMessage="1" showErrorMessage="1" errorTitle="" error="" promptTitle="" prompt="" sqref="I246:I246">
      <x:formula1>'MasterData'!$E$2251:$E$2260</x:formula1>
      <x:formula2/>
    </x:dataValidation>
    <x:dataValidation type="decimal" errorStyle="stop" operator="greaterThanOrEqual" allowBlank="1" showDropDown="0" showInputMessage="1" showErrorMessage="1" errorTitle="" error="" promptTitle="" prompt="" sqref="K246:K246">
      <x:formula1>0</x:formula1>
      <x:formula2/>
    </x:dataValidation>
    <x:dataValidation type="decimal" errorStyle="stop" operator="between" allowBlank="1" showDropDown="0" showInputMessage="1" showErrorMessage="1" errorTitle="" error="" promptTitle="" prompt="" sqref="N246:N246">
      <x:formula1>0</x:formula1>
      <x:formula2>100</x:formula2>
    </x:dataValidation>
    <x:dataValidation type="decimal" errorStyle="stop" operator="between" allowBlank="1" showDropDown="0" showInputMessage="1" showErrorMessage="1" errorTitle="" error="" promptTitle="" prompt="" sqref="O246:O246">
      <x:formula1>0</x:formula1>
      <x:formula2>100</x:formula2>
    </x:dataValidation>
    <x:dataValidation type="list" errorStyle="stop" operator="between" allowBlank="1" showDropDown="0" showInputMessage="1" showErrorMessage="1" errorTitle="" error="" promptTitle="" prompt="" sqref="H247:H247">
      <x:formula1>'MasterData'!$B$1:$B$14</x:formula1>
      <x:formula2/>
    </x:dataValidation>
    <x:dataValidation type="list" errorStyle="stop" operator="between" allowBlank="1" showDropDown="0" showInputMessage="1" showErrorMessage="1" errorTitle="" error="" promptTitle="" prompt="" sqref="I247:I247">
      <x:formula1>'MasterData'!$E$2261:$E$2270</x:formula1>
      <x:formula2/>
    </x:dataValidation>
    <x:dataValidation type="decimal" errorStyle="stop" operator="greaterThanOrEqual" allowBlank="1" showDropDown="0" showInputMessage="1" showErrorMessage="1" errorTitle="" error="" promptTitle="" prompt="" sqref="K247:K247">
      <x:formula1>0</x:formula1>
      <x:formula2/>
    </x:dataValidation>
    <x:dataValidation type="decimal" errorStyle="stop" operator="between" allowBlank="1" showDropDown="0" showInputMessage="1" showErrorMessage="1" errorTitle="" error="" promptTitle="" prompt="" sqref="N247:N247">
      <x:formula1>0</x:formula1>
      <x:formula2>100</x:formula2>
    </x:dataValidation>
    <x:dataValidation type="decimal" errorStyle="stop" operator="between" allowBlank="1" showDropDown="0" showInputMessage="1" showErrorMessage="1" errorTitle="" error="" promptTitle="" prompt="" sqref="O247:O247">
      <x:formula1>0</x:formula1>
      <x:formula2>100</x:formula2>
    </x:dataValidation>
    <x:dataValidation type="list" errorStyle="stop" operator="between" allowBlank="1" showDropDown="0" showInputMessage="1" showErrorMessage="1" errorTitle="" error="" promptTitle="" prompt="" sqref="H248:H248">
      <x:formula1>'MasterData'!$B$1:$B$14</x:formula1>
      <x:formula2/>
    </x:dataValidation>
    <x:dataValidation type="list" errorStyle="stop" operator="between" allowBlank="1" showDropDown="0" showInputMessage="1" showErrorMessage="1" errorTitle="" error="" promptTitle="" prompt="" sqref="I248:I248">
      <x:formula1>'MasterData'!$E$2271:$E$2280</x:formula1>
      <x:formula2/>
    </x:dataValidation>
    <x:dataValidation type="decimal" errorStyle="stop" operator="greaterThanOrEqual" allowBlank="1" showDropDown="0" showInputMessage="1" showErrorMessage="1" errorTitle="" error="" promptTitle="" prompt="" sqref="K248:K248">
      <x:formula1>0</x:formula1>
      <x:formula2/>
    </x:dataValidation>
    <x:dataValidation type="decimal" errorStyle="stop" operator="between" allowBlank="1" showDropDown="0" showInputMessage="1" showErrorMessage="1" errorTitle="" error="" promptTitle="" prompt="" sqref="N248:N248">
      <x:formula1>0</x:formula1>
      <x:formula2>100</x:formula2>
    </x:dataValidation>
    <x:dataValidation type="decimal" errorStyle="stop" operator="between" allowBlank="1" showDropDown="0" showInputMessage="1" showErrorMessage="1" errorTitle="" error="" promptTitle="" prompt="" sqref="O248:O248">
      <x:formula1>0</x:formula1>
      <x:formula2>100</x:formula2>
    </x:dataValidation>
    <x:dataValidation type="list" errorStyle="stop" operator="between" allowBlank="1" showDropDown="0" showInputMessage="1" showErrorMessage="1" errorTitle="" error="" promptTitle="" prompt="" sqref="H249:H249">
      <x:formula1>'MasterData'!$B$1:$B$14</x:formula1>
      <x:formula2/>
    </x:dataValidation>
    <x:dataValidation type="list" errorStyle="stop" operator="between" allowBlank="1" showDropDown="0" showInputMessage="1" showErrorMessage="1" errorTitle="" error="" promptTitle="" prompt="" sqref="I249:I249">
      <x:formula1>'MasterData'!$E$2281:$E$2290</x:formula1>
      <x:formula2/>
    </x:dataValidation>
    <x:dataValidation type="decimal" errorStyle="stop" operator="greaterThanOrEqual" allowBlank="1" showDropDown="0" showInputMessage="1" showErrorMessage="1" errorTitle="" error="" promptTitle="" prompt="" sqref="K249:K249">
      <x:formula1>0</x:formula1>
      <x:formula2/>
    </x:dataValidation>
    <x:dataValidation type="decimal" errorStyle="stop" operator="between" allowBlank="1" showDropDown="0" showInputMessage="1" showErrorMessage="1" errorTitle="" error="" promptTitle="" prompt="" sqref="N249:N249">
      <x:formula1>0</x:formula1>
      <x:formula2>100</x:formula2>
    </x:dataValidation>
    <x:dataValidation type="decimal" errorStyle="stop" operator="between" allowBlank="1" showDropDown="0" showInputMessage="1" showErrorMessage="1" errorTitle="" error="" promptTitle="" prompt="" sqref="O249:O249">
      <x:formula1>0</x:formula1>
      <x:formula2>100</x:formula2>
    </x:dataValidation>
    <x:dataValidation type="list" errorStyle="stop" operator="between" allowBlank="1" showDropDown="0" showInputMessage="1" showErrorMessage="1" errorTitle="" error="" promptTitle="" prompt="" sqref="H250:H250">
      <x:formula1>'MasterData'!$B$1:$B$14</x:formula1>
      <x:formula2/>
    </x:dataValidation>
    <x:dataValidation type="list" errorStyle="stop" operator="between" allowBlank="1" showDropDown="0" showInputMessage="1" showErrorMessage="1" errorTitle="" error="" promptTitle="" prompt="" sqref="I250:I250">
      <x:formula1>'MasterData'!$E$2291:$E$2300</x:formula1>
      <x:formula2/>
    </x:dataValidation>
    <x:dataValidation type="decimal" errorStyle="stop" operator="greaterThanOrEqual" allowBlank="1" showDropDown="0" showInputMessage="1" showErrorMessage="1" errorTitle="" error="" promptTitle="" prompt="" sqref="K250:K250">
      <x:formula1>0</x:formula1>
      <x:formula2/>
    </x:dataValidation>
    <x:dataValidation type="decimal" errorStyle="stop" operator="between" allowBlank="1" showDropDown="0" showInputMessage="1" showErrorMessage="1" errorTitle="" error="" promptTitle="" prompt="" sqref="N250:N250">
      <x:formula1>0</x:formula1>
      <x:formula2>100</x:formula2>
    </x:dataValidation>
    <x:dataValidation type="decimal" errorStyle="stop" operator="between" allowBlank="1" showDropDown="0" showInputMessage="1" showErrorMessage="1" errorTitle="" error="" promptTitle="" prompt="" sqref="O250:O250">
      <x:formula1>0</x:formula1>
      <x:formula2>100</x:formula2>
    </x:dataValidation>
    <x:dataValidation type="list" errorStyle="stop" operator="between" allowBlank="1" showDropDown="0" showInputMessage="1" showErrorMessage="1" errorTitle="" error="" promptTitle="" prompt="" sqref="H251:H251">
      <x:formula1>'MasterData'!$B$1:$B$14</x:formula1>
      <x:formula2/>
    </x:dataValidation>
    <x:dataValidation type="list" errorStyle="stop" operator="between" allowBlank="1" showDropDown="0" showInputMessage="1" showErrorMessage="1" errorTitle="" error="" promptTitle="" prompt="" sqref="I251:I251">
      <x:formula1>'MasterData'!$E$2301:$E$2310</x:formula1>
      <x:formula2/>
    </x:dataValidation>
    <x:dataValidation type="decimal" errorStyle="stop" operator="greaterThanOrEqual" allowBlank="1" showDropDown="0" showInputMessage="1" showErrorMessage="1" errorTitle="" error="" promptTitle="" prompt="" sqref="K251:K251">
      <x:formula1>0</x:formula1>
      <x:formula2/>
    </x:dataValidation>
    <x:dataValidation type="decimal" errorStyle="stop" operator="between" allowBlank="1" showDropDown="0" showInputMessage="1" showErrorMessage="1" errorTitle="" error="" promptTitle="" prompt="" sqref="N251:N251">
      <x:formula1>0</x:formula1>
      <x:formula2>100</x:formula2>
    </x:dataValidation>
    <x:dataValidation type="decimal" errorStyle="stop" operator="between" allowBlank="1" showDropDown="0" showInputMessage="1" showErrorMessage="1" errorTitle="" error="" promptTitle="" prompt="" sqref="O251:O251">
      <x:formula1>0</x:formula1>
      <x:formula2>100</x:formula2>
    </x:dataValidation>
    <x:dataValidation type="list" errorStyle="stop" operator="between" allowBlank="1" showDropDown="0" showInputMessage="1" showErrorMessage="1" errorTitle="" error="" promptTitle="" prompt="" sqref="H252:H252">
      <x:formula1>'MasterData'!$B$1:$B$14</x:formula1>
      <x:formula2/>
    </x:dataValidation>
    <x:dataValidation type="list" errorStyle="stop" operator="between" allowBlank="1" showDropDown="0" showInputMessage="1" showErrorMessage="1" errorTitle="" error="" promptTitle="" prompt="" sqref="I252:I252">
      <x:formula1>'MasterData'!$E$2311:$E$2320</x:formula1>
      <x:formula2/>
    </x:dataValidation>
    <x:dataValidation type="decimal" errorStyle="stop" operator="greaterThanOrEqual" allowBlank="1" showDropDown="0" showInputMessage="1" showErrorMessage="1" errorTitle="" error="" promptTitle="" prompt="" sqref="K252:K252">
      <x:formula1>0</x:formula1>
      <x:formula2/>
    </x:dataValidation>
    <x:dataValidation type="decimal" errorStyle="stop" operator="between" allowBlank="1" showDropDown="0" showInputMessage="1" showErrorMessage="1" errorTitle="" error="" promptTitle="" prompt="" sqref="N252:N252">
      <x:formula1>0</x:formula1>
      <x:formula2>100</x:formula2>
    </x:dataValidation>
    <x:dataValidation type="decimal" errorStyle="stop" operator="between" allowBlank="1" showDropDown="0" showInputMessage="1" showErrorMessage="1" errorTitle="" error="" promptTitle="" prompt="" sqref="O252:O252">
      <x:formula1>0</x:formula1>
      <x:formula2>100</x:formula2>
    </x:dataValidation>
    <x:dataValidation type="list" errorStyle="stop" operator="between" allowBlank="1" showDropDown="0" showInputMessage="1" showErrorMessage="1" errorTitle="" error="" promptTitle="" prompt="" sqref="H253:H253">
      <x:formula1>'MasterData'!$B$1:$B$14</x:formula1>
      <x:formula2/>
    </x:dataValidation>
    <x:dataValidation type="list" errorStyle="stop" operator="between" allowBlank="1" showDropDown="0" showInputMessage="1" showErrorMessage="1" errorTitle="" error="" promptTitle="" prompt="" sqref="I253:I253">
      <x:formula1>'MasterData'!$E$2321:$E$2330</x:formula1>
      <x:formula2/>
    </x:dataValidation>
    <x:dataValidation type="decimal" errorStyle="stop" operator="greaterThanOrEqual" allowBlank="1" showDropDown="0" showInputMessage="1" showErrorMessage="1" errorTitle="" error="" promptTitle="" prompt="" sqref="K253:K253">
      <x:formula1>0</x:formula1>
      <x:formula2/>
    </x:dataValidation>
    <x:dataValidation type="decimal" errorStyle="stop" operator="between" allowBlank="1" showDropDown="0" showInputMessage="1" showErrorMessage="1" errorTitle="" error="" promptTitle="" prompt="" sqref="N253:N253">
      <x:formula1>0</x:formula1>
      <x:formula2>100</x:formula2>
    </x:dataValidation>
    <x:dataValidation type="decimal" errorStyle="stop" operator="between" allowBlank="1" showDropDown="0" showInputMessage="1" showErrorMessage="1" errorTitle="" error="" promptTitle="" prompt="" sqref="O253:O253">
      <x:formula1>0</x:formula1>
      <x:formula2>100</x:formula2>
    </x:dataValidation>
    <x:dataValidation type="list" errorStyle="stop" operator="between" allowBlank="1" showDropDown="0" showInputMessage="1" showErrorMessage="1" errorTitle="" error="" promptTitle="" prompt="" sqref="H254:H254">
      <x:formula1>'MasterData'!$B$1:$B$14</x:formula1>
      <x:formula2/>
    </x:dataValidation>
    <x:dataValidation type="list" errorStyle="stop" operator="between" allowBlank="1" showDropDown="0" showInputMessage="1" showErrorMessage="1" errorTitle="" error="" promptTitle="" prompt="" sqref="I254:I254">
      <x:formula1>'MasterData'!$E$2331:$E$2340</x:formula1>
      <x:formula2/>
    </x:dataValidation>
    <x:dataValidation type="decimal" errorStyle="stop" operator="greaterThanOrEqual" allowBlank="1" showDropDown="0" showInputMessage="1" showErrorMessage="1" errorTitle="" error="" promptTitle="" prompt="" sqref="K254:K254">
      <x:formula1>0</x:formula1>
      <x:formula2/>
    </x:dataValidation>
    <x:dataValidation type="decimal" errorStyle="stop" operator="between" allowBlank="1" showDropDown="0" showInputMessage="1" showErrorMessage="1" errorTitle="" error="" promptTitle="" prompt="" sqref="N254:N254">
      <x:formula1>0</x:formula1>
      <x:formula2>100</x:formula2>
    </x:dataValidation>
    <x:dataValidation type="decimal" errorStyle="stop" operator="between" allowBlank="1" showDropDown="0" showInputMessage="1" showErrorMessage="1" errorTitle="" error="" promptTitle="" prompt="" sqref="O254:O254">
      <x:formula1>0</x:formula1>
      <x:formula2>100</x:formula2>
    </x:dataValidation>
    <x:dataValidation type="list" errorStyle="stop" operator="between" allowBlank="1" showDropDown="0" showInputMessage="1" showErrorMessage="1" errorTitle="" error="" promptTitle="" prompt="" sqref="H255:H255">
      <x:formula1>'MasterData'!$B$1:$B$14</x:formula1>
      <x:formula2/>
    </x:dataValidation>
    <x:dataValidation type="list" errorStyle="stop" operator="between" allowBlank="1" showDropDown="0" showInputMessage="1" showErrorMessage="1" errorTitle="" error="" promptTitle="" prompt="" sqref="I255:I255">
      <x:formula1>'MasterData'!$E$2341:$E$2350</x:formula1>
      <x:formula2/>
    </x:dataValidation>
    <x:dataValidation type="decimal" errorStyle="stop" operator="greaterThanOrEqual" allowBlank="1" showDropDown="0" showInputMessage="1" showErrorMessage="1" errorTitle="" error="" promptTitle="" prompt="" sqref="K255:K255">
      <x:formula1>0</x:formula1>
      <x:formula2/>
    </x:dataValidation>
    <x:dataValidation type="decimal" errorStyle="stop" operator="between" allowBlank="1" showDropDown="0" showInputMessage="1" showErrorMessage="1" errorTitle="" error="" promptTitle="" prompt="" sqref="N255:N255">
      <x:formula1>0</x:formula1>
      <x:formula2>100</x:formula2>
    </x:dataValidation>
    <x:dataValidation type="decimal" errorStyle="stop" operator="between" allowBlank="1" showDropDown="0" showInputMessage="1" showErrorMessage="1" errorTitle="" error="" promptTitle="" prompt="" sqref="O255:O255">
      <x:formula1>0</x:formula1>
      <x:formula2>100</x:formula2>
    </x:dataValidation>
    <x:dataValidation type="list" errorStyle="stop" operator="between" allowBlank="1" showDropDown="0" showInputMessage="1" showErrorMessage="1" errorTitle="" error="" promptTitle="" prompt="" sqref="H256:H256">
      <x:formula1>'MasterData'!$B$1:$B$14</x:formula1>
      <x:formula2/>
    </x:dataValidation>
    <x:dataValidation type="list" errorStyle="stop" operator="between" allowBlank="1" showDropDown="0" showInputMessage="1" showErrorMessage="1" errorTitle="" error="" promptTitle="" prompt="" sqref="I256:I256">
      <x:formula1>'MasterData'!$E$2351:$E$2360</x:formula1>
      <x:formula2/>
    </x:dataValidation>
    <x:dataValidation type="decimal" errorStyle="stop" operator="greaterThanOrEqual" allowBlank="1" showDropDown="0" showInputMessage="1" showErrorMessage="1" errorTitle="" error="" promptTitle="" prompt="" sqref="K256:K256">
      <x:formula1>0</x:formula1>
      <x:formula2/>
    </x:dataValidation>
    <x:dataValidation type="decimal" errorStyle="stop" operator="between" allowBlank="1" showDropDown="0" showInputMessage="1" showErrorMessage="1" errorTitle="" error="" promptTitle="" prompt="" sqref="N256:N256">
      <x:formula1>0</x:formula1>
      <x:formula2>100</x:formula2>
    </x:dataValidation>
    <x:dataValidation type="decimal" errorStyle="stop" operator="between" allowBlank="1" showDropDown="0" showInputMessage="1" showErrorMessage="1" errorTitle="" error="" promptTitle="" prompt="" sqref="O256:O256">
      <x:formula1>0</x:formula1>
      <x:formula2>100</x:formula2>
    </x:dataValidation>
    <x:dataValidation type="list" errorStyle="stop" operator="between" allowBlank="1" showDropDown="0" showInputMessage="1" showErrorMessage="1" errorTitle="" error="" promptTitle="" prompt="" sqref="H257:H257">
      <x:formula1>'MasterData'!$B$1:$B$14</x:formula1>
      <x:formula2/>
    </x:dataValidation>
    <x:dataValidation type="list" errorStyle="stop" operator="between" allowBlank="1" showDropDown="0" showInputMessage="1" showErrorMessage="1" errorTitle="" error="" promptTitle="" prompt="" sqref="I257:I257">
      <x:formula1>'MasterData'!$E$2361:$E$2370</x:formula1>
      <x:formula2/>
    </x:dataValidation>
    <x:dataValidation type="decimal" errorStyle="stop" operator="greaterThanOrEqual" allowBlank="1" showDropDown="0" showInputMessage="1" showErrorMessage="1" errorTitle="" error="" promptTitle="" prompt="" sqref="K257:K257">
      <x:formula1>0</x:formula1>
      <x:formula2/>
    </x:dataValidation>
    <x:dataValidation type="decimal" errorStyle="stop" operator="between" allowBlank="1" showDropDown="0" showInputMessage="1" showErrorMessage="1" errorTitle="" error="" promptTitle="" prompt="" sqref="N257:N257">
      <x:formula1>0</x:formula1>
      <x:formula2>100</x:formula2>
    </x:dataValidation>
    <x:dataValidation type="decimal" errorStyle="stop" operator="between" allowBlank="1" showDropDown="0" showInputMessage="1" showErrorMessage="1" errorTitle="" error="" promptTitle="" prompt="" sqref="O257:O257">
      <x:formula1>0</x:formula1>
      <x:formula2>100</x:formula2>
    </x:dataValidation>
    <x:dataValidation type="list" errorStyle="stop" operator="between" allowBlank="1" showDropDown="0" showInputMessage="1" showErrorMessage="1" errorTitle="" error="" promptTitle="" prompt="" sqref="H258:H258">
      <x:formula1>'MasterData'!$B$1:$B$14</x:formula1>
      <x:formula2/>
    </x:dataValidation>
    <x:dataValidation type="list" errorStyle="stop" operator="between" allowBlank="1" showDropDown="0" showInputMessage="1" showErrorMessage="1" errorTitle="" error="" promptTitle="" prompt="" sqref="I258:I258">
      <x:formula1>'MasterData'!$E$2371:$E$2380</x:formula1>
      <x:formula2/>
    </x:dataValidation>
    <x:dataValidation type="decimal" errorStyle="stop" operator="greaterThanOrEqual" allowBlank="1" showDropDown="0" showInputMessage="1" showErrorMessage="1" errorTitle="" error="" promptTitle="" prompt="" sqref="K258:K258">
      <x:formula1>0</x:formula1>
      <x:formula2/>
    </x:dataValidation>
    <x:dataValidation type="decimal" errorStyle="stop" operator="between" allowBlank="1" showDropDown="0" showInputMessage="1" showErrorMessage="1" errorTitle="" error="" promptTitle="" prompt="" sqref="N258:N258">
      <x:formula1>0</x:formula1>
      <x:formula2>100</x:formula2>
    </x:dataValidation>
    <x:dataValidation type="decimal" errorStyle="stop" operator="between" allowBlank="1" showDropDown="0" showInputMessage="1" showErrorMessage="1" errorTitle="" error="" promptTitle="" prompt="" sqref="O258:O258">
      <x:formula1>0</x:formula1>
      <x:formula2>100</x:formula2>
    </x:dataValidation>
    <x:dataValidation type="list" errorStyle="stop" operator="between" allowBlank="1" showDropDown="0" showInputMessage="1" showErrorMessage="1" errorTitle="" error="" promptTitle="" prompt="" sqref="H259:H259">
      <x:formula1>'MasterData'!$B$1:$B$14</x:formula1>
      <x:formula2/>
    </x:dataValidation>
    <x:dataValidation type="list" errorStyle="stop" operator="between" allowBlank="1" showDropDown="0" showInputMessage="1" showErrorMessage="1" errorTitle="" error="" promptTitle="" prompt="" sqref="I259:I259">
      <x:formula1>'MasterData'!$E$2381:$E$2390</x:formula1>
      <x:formula2/>
    </x:dataValidation>
    <x:dataValidation type="decimal" errorStyle="stop" operator="greaterThanOrEqual" allowBlank="1" showDropDown="0" showInputMessage="1" showErrorMessage="1" errorTitle="" error="" promptTitle="" prompt="" sqref="K259:K259">
      <x:formula1>0</x:formula1>
      <x:formula2/>
    </x:dataValidation>
    <x:dataValidation type="decimal" errorStyle="stop" operator="between" allowBlank="1" showDropDown="0" showInputMessage="1" showErrorMessage="1" errorTitle="" error="" promptTitle="" prompt="" sqref="N259:N259">
      <x:formula1>0</x:formula1>
      <x:formula2>100</x:formula2>
    </x:dataValidation>
    <x:dataValidation type="decimal" errorStyle="stop" operator="between" allowBlank="1" showDropDown="0" showInputMessage="1" showErrorMessage="1" errorTitle="" error="" promptTitle="" prompt="" sqref="O259:O259">
      <x:formula1>0</x:formula1>
      <x:formula2>100</x:formula2>
    </x:dataValidation>
    <x:dataValidation type="list" errorStyle="stop" operator="between" allowBlank="1" showDropDown="0" showInputMessage="1" showErrorMessage="1" errorTitle="" error="" promptTitle="" prompt="" sqref="H260:H260">
      <x:formula1>'MasterData'!$B$1:$B$14</x:formula1>
      <x:formula2/>
    </x:dataValidation>
    <x:dataValidation type="list" errorStyle="stop" operator="between" allowBlank="1" showDropDown="0" showInputMessage="1" showErrorMessage="1" errorTitle="" error="" promptTitle="" prompt="" sqref="I260:I260">
      <x:formula1>'MasterData'!$E$2391:$E$2400</x:formula1>
      <x:formula2/>
    </x:dataValidation>
    <x:dataValidation type="decimal" errorStyle="stop" operator="greaterThanOrEqual" allowBlank="1" showDropDown="0" showInputMessage="1" showErrorMessage="1" errorTitle="" error="" promptTitle="" prompt="" sqref="K260:K260">
      <x:formula1>0</x:formula1>
      <x:formula2/>
    </x:dataValidation>
    <x:dataValidation type="decimal" errorStyle="stop" operator="between" allowBlank="1" showDropDown="0" showInputMessage="1" showErrorMessage="1" errorTitle="" error="" promptTitle="" prompt="" sqref="N260:N260">
      <x:formula1>0</x:formula1>
      <x:formula2>100</x:formula2>
    </x:dataValidation>
    <x:dataValidation type="decimal" errorStyle="stop" operator="between" allowBlank="1" showDropDown="0" showInputMessage="1" showErrorMessage="1" errorTitle="" error="" promptTitle="" prompt="" sqref="O260:O260">
      <x:formula1>0</x:formula1>
      <x:formula2>100</x:formula2>
    </x:dataValidation>
    <x:dataValidation type="list" errorStyle="stop" operator="between" allowBlank="1" showDropDown="0" showInputMessage="1" showErrorMessage="1" errorTitle="" error="" promptTitle="" prompt="" sqref="H261:H261">
      <x:formula1>'MasterData'!$B$1:$B$14</x:formula1>
      <x:formula2/>
    </x:dataValidation>
    <x:dataValidation type="list" errorStyle="stop" operator="between" allowBlank="1" showDropDown="0" showInputMessage="1" showErrorMessage="1" errorTitle="" error="" promptTitle="" prompt="" sqref="I261:I261">
      <x:formula1>'MasterData'!$E$2401:$E$2410</x:formula1>
      <x:formula2/>
    </x:dataValidation>
    <x:dataValidation type="decimal" errorStyle="stop" operator="greaterThanOrEqual" allowBlank="1" showDropDown="0" showInputMessage="1" showErrorMessage="1" errorTitle="" error="" promptTitle="" prompt="" sqref="K261:K261">
      <x:formula1>0</x:formula1>
      <x:formula2/>
    </x:dataValidation>
    <x:dataValidation type="decimal" errorStyle="stop" operator="between" allowBlank="1" showDropDown="0" showInputMessage="1" showErrorMessage="1" errorTitle="" error="" promptTitle="" prompt="" sqref="N261:N261">
      <x:formula1>0</x:formula1>
      <x:formula2>100</x:formula2>
    </x:dataValidation>
    <x:dataValidation type="decimal" errorStyle="stop" operator="between" allowBlank="1" showDropDown="0" showInputMessage="1" showErrorMessage="1" errorTitle="" error="" promptTitle="" prompt="" sqref="O261:O261">
      <x:formula1>0</x:formula1>
      <x:formula2>100</x:formula2>
    </x:dataValidation>
    <x:dataValidation type="list" errorStyle="stop" operator="between" allowBlank="1" showDropDown="0" showInputMessage="1" showErrorMessage="1" errorTitle="" error="" promptTitle="" prompt="" sqref="H262:H262">
      <x:formula1>'MasterData'!$B$1:$B$14</x:formula1>
      <x:formula2/>
    </x:dataValidation>
    <x:dataValidation type="list" errorStyle="stop" operator="between" allowBlank="1" showDropDown="0" showInputMessage="1" showErrorMessage="1" errorTitle="" error="" promptTitle="" prompt="" sqref="I262:I262">
      <x:formula1>'MasterData'!$E$2411:$E$2420</x:formula1>
      <x:formula2/>
    </x:dataValidation>
    <x:dataValidation type="decimal" errorStyle="stop" operator="greaterThanOrEqual" allowBlank="1" showDropDown="0" showInputMessage="1" showErrorMessage="1" errorTitle="" error="" promptTitle="" prompt="" sqref="K262:K262">
      <x:formula1>0</x:formula1>
      <x:formula2/>
    </x:dataValidation>
    <x:dataValidation type="decimal" errorStyle="stop" operator="between" allowBlank="1" showDropDown="0" showInputMessage="1" showErrorMessage="1" errorTitle="" error="" promptTitle="" prompt="" sqref="N262:N262">
      <x:formula1>0</x:formula1>
      <x:formula2>100</x:formula2>
    </x:dataValidation>
    <x:dataValidation type="decimal" errorStyle="stop" operator="between" allowBlank="1" showDropDown="0" showInputMessage="1" showErrorMessage="1" errorTitle="" error="" promptTitle="" prompt="" sqref="O262:O262">
      <x:formula1>0</x:formula1>
      <x:formula2>100</x:formula2>
    </x:dataValidation>
    <x:dataValidation type="list" errorStyle="stop" operator="between" allowBlank="1" showDropDown="0" showInputMessage="1" showErrorMessage="1" errorTitle="" error="" promptTitle="" prompt="" sqref="H263:H263">
      <x:formula1>'MasterData'!$B$1:$B$14</x:formula1>
      <x:formula2/>
    </x:dataValidation>
    <x:dataValidation type="list" errorStyle="stop" operator="between" allowBlank="1" showDropDown="0" showInputMessage="1" showErrorMessage="1" errorTitle="" error="" promptTitle="" prompt="" sqref="I263:I263">
      <x:formula1>'MasterData'!$E$2421:$E$2430</x:formula1>
      <x:formula2/>
    </x:dataValidation>
    <x:dataValidation type="decimal" errorStyle="stop" operator="greaterThanOrEqual" allowBlank="1" showDropDown="0" showInputMessage="1" showErrorMessage="1" errorTitle="" error="" promptTitle="" prompt="" sqref="K263:K263">
      <x:formula1>0</x:formula1>
      <x:formula2/>
    </x:dataValidation>
    <x:dataValidation type="decimal" errorStyle="stop" operator="between" allowBlank="1" showDropDown="0" showInputMessage="1" showErrorMessage="1" errorTitle="" error="" promptTitle="" prompt="" sqref="N263:N263">
      <x:formula1>0</x:formula1>
      <x:formula2>100</x:formula2>
    </x:dataValidation>
    <x:dataValidation type="decimal" errorStyle="stop" operator="between" allowBlank="1" showDropDown="0" showInputMessage="1" showErrorMessage="1" errorTitle="" error="" promptTitle="" prompt="" sqref="O263:O263">
      <x:formula1>0</x:formula1>
      <x:formula2>100</x:formula2>
    </x:dataValidation>
    <x:dataValidation type="list" errorStyle="stop" operator="between" allowBlank="1" showDropDown="0" showInputMessage="1" showErrorMessage="1" errorTitle="" error="" promptTitle="" prompt="" sqref="H264:H264">
      <x:formula1>'MasterData'!$B$1:$B$14</x:formula1>
      <x:formula2/>
    </x:dataValidation>
    <x:dataValidation type="list" errorStyle="stop" operator="between" allowBlank="1" showDropDown="0" showInputMessage="1" showErrorMessage="1" errorTitle="" error="" promptTitle="" prompt="" sqref="I264:I264">
      <x:formula1>'MasterData'!$E$2431:$E$2440</x:formula1>
      <x:formula2/>
    </x:dataValidation>
    <x:dataValidation type="decimal" errorStyle="stop" operator="greaterThanOrEqual" allowBlank="1" showDropDown="0" showInputMessage="1" showErrorMessage="1" errorTitle="" error="" promptTitle="" prompt="" sqref="K264:K264">
      <x:formula1>0</x:formula1>
      <x:formula2/>
    </x:dataValidation>
    <x:dataValidation type="decimal" errorStyle="stop" operator="between" allowBlank="1" showDropDown="0" showInputMessage="1" showErrorMessage="1" errorTitle="" error="" promptTitle="" prompt="" sqref="N264:N264">
      <x:formula1>0</x:formula1>
      <x:formula2>100</x:formula2>
    </x:dataValidation>
    <x:dataValidation type="decimal" errorStyle="stop" operator="between" allowBlank="1" showDropDown="0" showInputMessage="1" showErrorMessage="1" errorTitle="" error="" promptTitle="" prompt="" sqref="O264:O264">
      <x:formula1>0</x:formula1>
      <x:formula2>100</x:formula2>
    </x:dataValidation>
    <x:dataValidation type="list" errorStyle="stop" operator="between" allowBlank="1" showDropDown="0" showInputMessage="1" showErrorMessage="1" errorTitle="" error="" promptTitle="" prompt="" sqref="H265:H265">
      <x:formula1>'MasterData'!$B$1:$B$14</x:formula1>
      <x:formula2/>
    </x:dataValidation>
    <x:dataValidation type="list" errorStyle="stop" operator="between" allowBlank="1" showDropDown="0" showInputMessage="1" showErrorMessage="1" errorTitle="" error="" promptTitle="" prompt="" sqref="I265:I265">
      <x:formula1>'MasterData'!$E$2441:$E$2450</x:formula1>
      <x:formula2/>
    </x:dataValidation>
    <x:dataValidation type="decimal" errorStyle="stop" operator="greaterThanOrEqual" allowBlank="1" showDropDown="0" showInputMessage="1" showErrorMessage="1" errorTitle="" error="" promptTitle="" prompt="" sqref="K265:K265">
      <x:formula1>0</x:formula1>
      <x:formula2/>
    </x:dataValidation>
    <x:dataValidation type="decimal" errorStyle="stop" operator="between" allowBlank="1" showDropDown="0" showInputMessage="1" showErrorMessage="1" errorTitle="" error="" promptTitle="" prompt="" sqref="N265:N265">
      <x:formula1>0</x:formula1>
      <x:formula2>100</x:formula2>
    </x:dataValidation>
    <x:dataValidation type="decimal" errorStyle="stop" operator="between" allowBlank="1" showDropDown="0" showInputMessage="1" showErrorMessage="1" errorTitle="" error="" promptTitle="" prompt="" sqref="O265:O265">
      <x:formula1>0</x:formula1>
      <x:formula2>100</x:formula2>
    </x:dataValidation>
    <x:dataValidation type="list" errorStyle="stop" operator="between" allowBlank="1" showDropDown="0" showInputMessage="1" showErrorMessage="1" errorTitle="" error="" promptTitle="" prompt="" sqref="H266:H266">
      <x:formula1>'MasterData'!$B$1:$B$14</x:formula1>
      <x:formula2/>
    </x:dataValidation>
    <x:dataValidation type="list" errorStyle="stop" operator="between" allowBlank="1" showDropDown="0" showInputMessage="1" showErrorMessage="1" errorTitle="" error="" promptTitle="" prompt="" sqref="I266:I266">
      <x:formula1>'MasterData'!$E$2451:$E$2460</x:formula1>
      <x:formula2/>
    </x:dataValidation>
    <x:dataValidation type="decimal" errorStyle="stop" operator="greaterThanOrEqual" allowBlank="1" showDropDown="0" showInputMessage="1" showErrorMessage="1" errorTitle="" error="" promptTitle="" prompt="" sqref="K266:K266">
      <x:formula1>0</x:formula1>
      <x:formula2/>
    </x:dataValidation>
    <x:dataValidation type="decimal" errorStyle="stop" operator="between" allowBlank="1" showDropDown="0" showInputMessage="1" showErrorMessage="1" errorTitle="" error="" promptTitle="" prompt="" sqref="N266:N266">
      <x:formula1>0</x:formula1>
      <x:formula2>100</x:formula2>
    </x:dataValidation>
    <x:dataValidation type="decimal" errorStyle="stop" operator="between" allowBlank="1" showDropDown="0" showInputMessage="1" showErrorMessage="1" errorTitle="" error="" promptTitle="" prompt="" sqref="O266:O266">
      <x:formula1>0</x:formula1>
      <x:formula2>100</x:formula2>
    </x:dataValidation>
    <x:dataValidation type="list" errorStyle="stop" operator="between" allowBlank="1" showDropDown="0" showInputMessage="1" showErrorMessage="1" errorTitle="" error="" promptTitle="" prompt="" sqref="H267:H267">
      <x:formula1>'MasterData'!$B$1:$B$14</x:formula1>
      <x:formula2/>
    </x:dataValidation>
    <x:dataValidation type="list" errorStyle="stop" operator="between" allowBlank="1" showDropDown="0" showInputMessage="1" showErrorMessage="1" errorTitle="" error="" promptTitle="" prompt="" sqref="I267:I267">
      <x:formula1>'MasterData'!$E$2461:$E$2470</x:formula1>
      <x:formula2/>
    </x:dataValidation>
    <x:dataValidation type="decimal" errorStyle="stop" operator="greaterThanOrEqual" allowBlank="1" showDropDown="0" showInputMessage="1" showErrorMessage="1" errorTitle="" error="" promptTitle="" prompt="" sqref="K267:K267">
      <x:formula1>0</x:formula1>
      <x:formula2/>
    </x:dataValidation>
    <x:dataValidation type="decimal" errorStyle="stop" operator="between" allowBlank="1" showDropDown="0" showInputMessage="1" showErrorMessage="1" errorTitle="" error="" promptTitle="" prompt="" sqref="N267:N267">
      <x:formula1>0</x:formula1>
      <x:formula2>100</x:formula2>
    </x:dataValidation>
    <x:dataValidation type="decimal" errorStyle="stop" operator="between" allowBlank="1" showDropDown="0" showInputMessage="1" showErrorMessage="1" errorTitle="" error="" promptTitle="" prompt="" sqref="O267:O267">
      <x:formula1>0</x:formula1>
      <x:formula2>100</x:formula2>
    </x:dataValidation>
    <x:dataValidation type="list" errorStyle="stop" operator="between" allowBlank="1" showDropDown="0" showInputMessage="1" showErrorMessage="1" errorTitle="" error="" promptTitle="" prompt="" sqref="H268:H268">
      <x:formula1>'MasterData'!$B$1:$B$14</x:formula1>
      <x:formula2/>
    </x:dataValidation>
    <x:dataValidation type="list" errorStyle="stop" operator="between" allowBlank="1" showDropDown="0" showInputMessage="1" showErrorMessage="1" errorTitle="" error="" promptTitle="" prompt="" sqref="I268:I268">
      <x:formula1>'MasterData'!$E$2471:$E$2480</x:formula1>
      <x:formula2/>
    </x:dataValidation>
    <x:dataValidation type="decimal" errorStyle="stop" operator="greaterThanOrEqual" allowBlank="1" showDropDown="0" showInputMessage="1" showErrorMessage="1" errorTitle="" error="" promptTitle="" prompt="" sqref="K268:K268">
      <x:formula1>0</x:formula1>
      <x:formula2/>
    </x:dataValidation>
    <x:dataValidation type="decimal" errorStyle="stop" operator="between" allowBlank="1" showDropDown="0" showInputMessage="1" showErrorMessage="1" errorTitle="" error="" promptTitle="" prompt="" sqref="N268:N268">
      <x:formula1>0</x:formula1>
      <x:formula2>100</x:formula2>
    </x:dataValidation>
    <x:dataValidation type="decimal" errorStyle="stop" operator="between" allowBlank="1" showDropDown="0" showInputMessage="1" showErrorMessage="1" errorTitle="" error="" promptTitle="" prompt="" sqref="O268:O268">
      <x:formula1>0</x:formula1>
      <x:formula2>100</x:formula2>
    </x:dataValidation>
    <x:dataValidation type="list" errorStyle="stop" operator="between" allowBlank="1" showDropDown="0" showInputMessage="1" showErrorMessage="1" errorTitle="" error="" promptTitle="" prompt="" sqref="H269:H269">
      <x:formula1>'MasterData'!$B$1:$B$14</x:formula1>
      <x:formula2/>
    </x:dataValidation>
    <x:dataValidation type="list" errorStyle="stop" operator="between" allowBlank="1" showDropDown="0" showInputMessage="1" showErrorMessage="1" errorTitle="" error="" promptTitle="" prompt="" sqref="I269:I269">
      <x:formula1>'MasterData'!$E$2481:$E$2490</x:formula1>
      <x:formula2/>
    </x:dataValidation>
    <x:dataValidation type="decimal" errorStyle="stop" operator="greaterThanOrEqual" allowBlank="1" showDropDown="0" showInputMessage="1" showErrorMessage="1" errorTitle="" error="" promptTitle="" prompt="" sqref="K269:K269">
      <x:formula1>0</x:formula1>
      <x:formula2/>
    </x:dataValidation>
    <x:dataValidation type="decimal" errorStyle="stop" operator="between" allowBlank="1" showDropDown="0" showInputMessage="1" showErrorMessage="1" errorTitle="" error="" promptTitle="" prompt="" sqref="N269:N269">
      <x:formula1>0</x:formula1>
      <x:formula2>100</x:formula2>
    </x:dataValidation>
    <x:dataValidation type="decimal" errorStyle="stop" operator="between" allowBlank="1" showDropDown="0" showInputMessage="1" showErrorMessage="1" errorTitle="" error="" promptTitle="" prompt="" sqref="O269:O269">
      <x:formula1>0</x:formula1>
      <x:formula2>100</x:formula2>
    </x:dataValidation>
    <x:dataValidation type="list" errorStyle="stop" operator="between" allowBlank="1" showDropDown="0" showInputMessage="1" showErrorMessage="1" errorTitle="" error="" promptTitle="" prompt="" sqref="H270:H270">
      <x:formula1>'MasterData'!$B$1:$B$14</x:formula1>
      <x:formula2/>
    </x:dataValidation>
    <x:dataValidation type="list" errorStyle="stop" operator="between" allowBlank="1" showDropDown="0" showInputMessage="1" showErrorMessage="1" errorTitle="" error="" promptTitle="" prompt="" sqref="I270:I270">
      <x:formula1>'MasterData'!$E$2491:$E$2500</x:formula1>
      <x:formula2/>
    </x:dataValidation>
    <x:dataValidation type="decimal" errorStyle="stop" operator="greaterThanOrEqual" allowBlank="1" showDropDown="0" showInputMessage="1" showErrorMessage="1" errorTitle="" error="" promptTitle="" prompt="" sqref="K270:K270">
      <x:formula1>0</x:formula1>
      <x:formula2/>
    </x:dataValidation>
    <x:dataValidation type="decimal" errorStyle="stop" operator="between" allowBlank="1" showDropDown="0" showInputMessage="1" showErrorMessage="1" errorTitle="" error="" promptTitle="" prompt="" sqref="N270:N270">
      <x:formula1>0</x:formula1>
      <x:formula2>100</x:formula2>
    </x:dataValidation>
    <x:dataValidation type="decimal" errorStyle="stop" operator="between" allowBlank="1" showDropDown="0" showInputMessage="1" showErrorMessage="1" errorTitle="" error="" promptTitle="" prompt="" sqref="O270:O270">
      <x:formula1>0</x:formula1>
      <x:formula2>100</x:formula2>
    </x:dataValidation>
    <x:dataValidation type="list" errorStyle="stop" operator="between" allowBlank="1" showDropDown="0" showInputMessage="1" showErrorMessage="1" errorTitle="" error="" promptTitle="" prompt="" sqref="H271:H271">
      <x:formula1>'MasterData'!$B$1:$B$14</x:formula1>
      <x:formula2/>
    </x:dataValidation>
    <x:dataValidation type="list" errorStyle="stop" operator="between" allowBlank="1" showDropDown="0" showInputMessage="1" showErrorMessage="1" errorTitle="" error="" promptTitle="" prompt="" sqref="I271:I271">
      <x:formula1>'MasterData'!$E$2501:$E$2510</x:formula1>
      <x:formula2/>
    </x:dataValidation>
    <x:dataValidation type="decimal" errorStyle="stop" operator="greaterThanOrEqual" allowBlank="1" showDropDown="0" showInputMessage="1" showErrorMessage="1" errorTitle="" error="" promptTitle="" prompt="" sqref="K271:K271">
      <x:formula1>0</x:formula1>
      <x:formula2/>
    </x:dataValidation>
    <x:dataValidation type="decimal" errorStyle="stop" operator="between" allowBlank="1" showDropDown="0" showInputMessage="1" showErrorMessage="1" errorTitle="" error="" promptTitle="" prompt="" sqref="N271:N271">
      <x:formula1>0</x:formula1>
      <x:formula2>100</x:formula2>
    </x:dataValidation>
    <x:dataValidation type="decimal" errorStyle="stop" operator="between" allowBlank="1" showDropDown="0" showInputMessage="1" showErrorMessage="1" errorTitle="" error="" promptTitle="" prompt="" sqref="O271:O271">
      <x:formula1>0</x:formula1>
      <x:formula2>100</x:formula2>
    </x:dataValidation>
    <x:dataValidation type="list" errorStyle="stop" operator="between" allowBlank="1" showDropDown="0" showInputMessage="1" showErrorMessage="1" errorTitle="" error="" promptTitle="" prompt="" sqref="H272:H272">
      <x:formula1>'MasterData'!$B$1:$B$14</x:formula1>
      <x:formula2/>
    </x:dataValidation>
    <x:dataValidation type="list" errorStyle="stop" operator="between" allowBlank="1" showDropDown="0" showInputMessage="1" showErrorMessage="1" errorTitle="" error="" promptTitle="" prompt="" sqref="I272:I272">
      <x:formula1>'MasterData'!$E$2511:$E$2520</x:formula1>
      <x:formula2/>
    </x:dataValidation>
    <x:dataValidation type="decimal" errorStyle="stop" operator="greaterThanOrEqual" allowBlank="1" showDropDown="0" showInputMessage="1" showErrorMessage="1" errorTitle="" error="" promptTitle="" prompt="" sqref="K272:K272">
      <x:formula1>0</x:formula1>
      <x:formula2/>
    </x:dataValidation>
    <x:dataValidation type="decimal" errorStyle="stop" operator="between" allowBlank="1" showDropDown="0" showInputMessage="1" showErrorMessage="1" errorTitle="" error="" promptTitle="" prompt="" sqref="N272:N272">
      <x:formula1>0</x:formula1>
      <x:formula2>100</x:formula2>
    </x:dataValidation>
    <x:dataValidation type="decimal" errorStyle="stop" operator="between" allowBlank="1" showDropDown="0" showInputMessage="1" showErrorMessage="1" errorTitle="" error="" promptTitle="" prompt="" sqref="O272:O272">
      <x:formula1>0</x:formula1>
      <x:formula2>100</x:formula2>
    </x:dataValidation>
    <x:dataValidation type="list" errorStyle="stop" operator="between" allowBlank="1" showDropDown="0" showInputMessage="1" showErrorMessage="1" errorTitle="" error="" promptTitle="" prompt="" sqref="H273:H273">
      <x:formula1>'MasterData'!$B$1:$B$14</x:formula1>
      <x:formula2/>
    </x:dataValidation>
    <x:dataValidation type="list" errorStyle="stop" operator="between" allowBlank="1" showDropDown="0" showInputMessage="1" showErrorMessage="1" errorTitle="" error="" promptTitle="" prompt="" sqref="I273:I273">
      <x:formula1>'MasterData'!$E$2521:$E$2530</x:formula1>
      <x:formula2/>
    </x:dataValidation>
    <x:dataValidation type="decimal" errorStyle="stop" operator="greaterThanOrEqual" allowBlank="1" showDropDown="0" showInputMessage="1" showErrorMessage="1" errorTitle="" error="" promptTitle="" prompt="" sqref="K273:K273">
      <x:formula1>0</x:formula1>
      <x:formula2/>
    </x:dataValidation>
    <x:dataValidation type="decimal" errorStyle="stop" operator="between" allowBlank="1" showDropDown="0" showInputMessage="1" showErrorMessage="1" errorTitle="" error="" promptTitle="" prompt="" sqref="N273:N273">
      <x:formula1>0</x:formula1>
      <x:formula2>100</x:formula2>
    </x:dataValidation>
    <x:dataValidation type="decimal" errorStyle="stop" operator="between" allowBlank="1" showDropDown="0" showInputMessage="1" showErrorMessage="1" errorTitle="" error="" promptTitle="" prompt="" sqref="O273:O273">
      <x:formula1>0</x:formula1>
      <x:formula2>100</x:formula2>
    </x:dataValidation>
    <x:dataValidation type="list" errorStyle="stop" operator="between" allowBlank="1" showDropDown="0" showInputMessage="1" showErrorMessage="1" errorTitle="" error="" promptTitle="" prompt="" sqref="H274:H274">
      <x:formula1>'MasterData'!$B$1:$B$14</x:formula1>
      <x:formula2/>
    </x:dataValidation>
    <x:dataValidation type="list" errorStyle="stop" operator="between" allowBlank="1" showDropDown="0" showInputMessage="1" showErrorMessage="1" errorTitle="" error="" promptTitle="" prompt="" sqref="I274:I274">
      <x:formula1>'MasterData'!$E$2531:$E$2540</x:formula1>
      <x:formula2/>
    </x:dataValidation>
    <x:dataValidation type="decimal" errorStyle="stop" operator="greaterThanOrEqual" allowBlank="1" showDropDown="0" showInputMessage="1" showErrorMessage="1" errorTitle="" error="" promptTitle="" prompt="" sqref="K274:K274">
      <x:formula1>0</x:formula1>
      <x:formula2/>
    </x:dataValidation>
    <x:dataValidation type="decimal" errorStyle="stop" operator="between" allowBlank="1" showDropDown="0" showInputMessage="1" showErrorMessage="1" errorTitle="" error="" promptTitle="" prompt="" sqref="N274:N274">
      <x:formula1>0</x:formula1>
      <x:formula2>100</x:formula2>
    </x:dataValidation>
    <x:dataValidation type="decimal" errorStyle="stop" operator="between" allowBlank="1" showDropDown="0" showInputMessage="1" showErrorMessage="1" errorTitle="" error="" promptTitle="" prompt="" sqref="O274:O274">
      <x:formula1>0</x:formula1>
      <x:formula2>100</x:formula2>
    </x:dataValidation>
    <x:dataValidation type="list" errorStyle="stop" operator="between" allowBlank="1" showDropDown="0" showInputMessage="1" showErrorMessage="1" errorTitle="" error="" promptTitle="" prompt="" sqref="H275:H275">
      <x:formula1>'MasterData'!$B$1:$B$14</x:formula1>
      <x:formula2/>
    </x:dataValidation>
    <x:dataValidation type="list" errorStyle="stop" operator="between" allowBlank="1" showDropDown="0" showInputMessage="1" showErrorMessage="1" errorTitle="" error="" promptTitle="" prompt="" sqref="I275:I275">
      <x:formula1>'MasterData'!$E$2541:$E$2550</x:formula1>
      <x:formula2/>
    </x:dataValidation>
    <x:dataValidation type="decimal" errorStyle="stop" operator="greaterThanOrEqual" allowBlank="1" showDropDown="0" showInputMessage="1" showErrorMessage="1" errorTitle="" error="" promptTitle="" prompt="" sqref="K275:K275">
      <x:formula1>0</x:formula1>
      <x:formula2/>
    </x:dataValidation>
    <x:dataValidation type="decimal" errorStyle="stop" operator="between" allowBlank="1" showDropDown="0" showInputMessage="1" showErrorMessage="1" errorTitle="" error="" promptTitle="" prompt="" sqref="N275:N275">
      <x:formula1>0</x:formula1>
      <x:formula2>100</x:formula2>
    </x:dataValidation>
    <x:dataValidation type="decimal" errorStyle="stop" operator="between" allowBlank="1" showDropDown="0" showInputMessage="1" showErrorMessage="1" errorTitle="" error="" promptTitle="" prompt="" sqref="O275:O275">
      <x:formula1>0</x:formula1>
      <x:formula2>100</x:formula2>
    </x:dataValidation>
    <x:dataValidation type="list" errorStyle="stop" operator="between" allowBlank="1" showDropDown="0" showInputMessage="1" showErrorMessage="1" errorTitle="" error="" promptTitle="" prompt="" sqref="H276:H276">
      <x:formula1>'MasterData'!$B$1:$B$14</x:formula1>
      <x:formula2/>
    </x:dataValidation>
    <x:dataValidation type="list" errorStyle="stop" operator="between" allowBlank="1" showDropDown="0" showInputMessage="1" showErrorMessage="1" errorTitle="" error="" promptTitle="" prompt="" sqref="I276:I276">
      <x:formula1>'MasterData'!$E$2551:$E$2560</x:formula1>
      <x:formula2/>
    </x:dataValidation>
    <x:dataValidation type="decimal" errorStyle="stop" operator="greaterThanOrEqual" allowBlank="1" showDropDown="0" showInputMessage="1" showErrorMessage="1" errorTitle="" error="" promptTitle="" prompt="" sqref="K276:K276">
      <x:formula1>0</x:formula1>
      <x:formula2/>
    </x:dataValidation>
    <x:dataValidation type="decimal" errorStyle="stop" operator="between" allowBlank="1" showDropDown="0" showInputMessage="1" showErrorMessage="1" errorTitle="" error="" promptTitle="" prompt="" sqref="N276:N276">
      <x:formula1>0</x:formula1>
      <x:formula2>100</x:formula2>
    </x:dataValidation>
    <x:dataValidation type="decimal" errorStyle="stop" operator="between" allowBlank="1" showDropDown="0" showInputMessage="1" showErrorMessage="1" errorTitle="" error="" promptTitle="" prompt="" sqref="O276:O276">
      <x:formula1>0</x:formula1>
      <x:formula2>100</x:formula2>
    </x:dataValidation>
    <x:dataValidation type="list" errorStyle="stop" operator="between" allowBlank="1" showDropDown="0" showInputMessage="1" showErrorMessage="1" errorTitle="" error="" promptTitle="" prompt="" sqref="H277:H277">
      <x:formula1>'MasterData'!$B$1:$B$14</x:formula1>
      <x:formula2/>
    </x:dataValidation>
    <x:dataValidation type="list" errorStyle="stop" operator="between" allowBlank="1" showDropDown="0" showInputMessage="1" showErrorMessage="1" errorTitle="" error="" promptTitle="" prompt="" sqref="I277:I277">
      <x:formula1>'MasterData'!$E$2561:$E$2570</x:formula1>
      <x:formula2/>
    </x:dataValidation>
    <x:dataValidation type="decimal" errorStyle="stop" operator="greaterThanOrEqual" allowBlank="1" showDropDown="0" showInputMessage="1" showErrorMessage="1" errorTitle="" error="" promptTitle="" prompt="" sqref="K277:K277">
      <x:formula1>0</x:formula1>
      <x:formula2/>
    </x:dataValidation>
    <x:dataValidation type="decimal" errorStyle="stop" operator="between" allowBlank="1" showDropDown="0" showInputMessage="1" showErrorMessage="1" errorTitle="" error="" promptTitle="" prompt="" sqref="N277:N277">
      <x:formula1>0</x:formula1>
      <x:formula2>100</x:formula2>
    </x:dataValidation>
    <x:dataValidation type="decimal" errorStyle="stop" operator="between" allowBlank="1" showDropDown="0" showInputMessage="1" showErrorMessage="1" errorTitle="" error="" promptTitle="" prompt="" sqref="O277:O277">
      <x:formula1>0</x:formula1>
      <x:formula2>100</x:formula2>
    </x:dataValidation>
    <x:dataValidation type="list" errorStyle="stop" operator="between" allowBlank="1" showDropDown="0" showInputMessage="1" showErrorMessage="1" errorTitle="" error="" promptTitle="" prompt="" sqref="H278:H278">
      <x:formula1>'MasterData'!$B$1:$B$14</x:formula1>
      <x:formula2/>
    </x:dataValidation>
    <x:dataValidation type="list" errorStyle="stop" operator="between" allowBlank="1" showDropDown="0" showInputMessage="1" showErrorMessage="1" errorTitle="" error="" promptTitle="" prompt="" sqref="I278:I278">
      <x:formula1>'MasterData'!$E$2571:$E$2580</x:formula1>
      <x:formula2/>
    </x:dataValidation>
    <x:dataValidation type="decimal" errorStyle="stop" operator="greaterThanOrEqual" allowBlank="1" showDropDown="0" showInputMessage="1" showErrorMessage="1" errorTitle="" error="" promptTitle="" prompt="" sqref="K278:K278">
      <x:formula1>0</x:formula1>
      <x:formula2/>
    </x:dataValidation>
    <x:dataValidation type="decimal" errorStyle="stop" operator="between" allowBlank="1" showDropDown="0" showInputMessage="1" showErrorMessage="1" errorTitle="" error="" promptTitle="" prompt="" sqref="N278:N278">
      <x:formula1>0</x:formula1>
      <x:formula2>100</x:formula2>
    </x:dataValidation>
    <x:dataValidation type="decimal" errorStyle="stop" operator="between" allowBlank="1" showDropDown="0" showInputMessage="1" showErrorMessage="1" errorTitle="" error="" promptTitle="" prompt="" sqref="O278:O278">
      <x:formula1>0</x:formula1>
      <x:formula2>100</x:formula2>
    </x:dataValidation>
    <x:dataValidation type="list" errorStyle="stop" operator="between" allowBlank="1" showDropDown="0" showInputMessage="1" showErrorMessage="1" errorTitle="" error="" promptTitle="" prompt="" sqref="H279:H279">
      <x:formula1>'MasterData'!$B$1:$B$14</x:formula1>
      <x:formula2/>
    </x:dataValidation>
    <x:dataValidation type="list" errorStyle="stop" operator="between" allowBlank="1" showDropDown="0" showInputMessage="1" showErrorMessage="1" errorTitle="" error="" promptTitle="" prompt="" sqref="I279:I279">
      <x:formula1>'MasterData'!$E$2581:$E$2590</x:formula1>
      <x:formula2/>
    </x:dataValidation>
    <x:dataValidation type="decimal" errorStyle="stop" operator="greaterThanOrEqual" allowBlank="1" showDropDown="0" showInputMessage="1" showErrorMessage="1" errorTitle="" error="" promptTitle="" prompt="" sqref="K279:K279">
      <x:formula1>0</x:formula1>
      <x:formula2/>
    </x:dataValidation>
    <x:dataValidation type="decimal" errorStyle="stop" operator="between" allowBlank="1" showDropDown="0" showInputMessage="1" showErrorMessage="1" errorTitle="" error="" promptTitle="" prompt="" sqref="N279:N279">
      <x:formula1>0</x:formula1>
      <x:formula2>100</x:formula2>
    </x:dataValidation>
    <x:dataValidation type="decimal" errorStyle="stop" operator="between" allowBlank="1" showDropDown="0" showInputMessage="1" showErrorMessage="1" errorTitle="" error="" promptTitle="" prompt="" sqref="O279:O279">
      <x:formula1>0</x:formula1>
      <x:formula2>100</x:formula2>
    </x:dataValidation>
    <x:dataValidation type="list" errorStyle="stop" operator="between" allowBlank="1" showDropDown="0" showInputMessage="1" showErrorMessage="1" errorTitle="" error="" promptTitle="" prompt="" sqref="H280:H280">
      <x:formula1>'MasterData'!$B$1:$B$14</x:formula1>
      <x:formula2/>
    </x:dataValidation>
    <x:dataValidation type="list" errorStyle="stop" operator="between" allowBlank="1" showDropDown="0" showInputMessage="1" showErrorMessage="1" errorTitle="" error="" promptTitle="" prompt="" sqref="I280:I280">
      <x:formula1>'MasterData'!$E$2591:$E$2600</x:formula1>
      <x:formula2/>
    </x:dataValidation>
    <x:dataValidation type="decimal" errorStyle="stop" operator="greaterThanOrEqual" allowBlank="1" showDropDown="0" showInputMessage="1" showErrorMessage="1" errorTitle="" error="" promptTitle="" prompt="" sqref="K280:K280">
      <x:formula1>0</x:formula1>
      <x:formula2/>
    </x:dataValidation>
    <x:dataValidation type="decimal" errorStyle="stop" operator="between" allowBlank="1" showDropDown="0" showInputMessage="1" showErrorMessage="1" errorTitle="" error="" promptTitle="" prompt="" sqref="N280:N280">
      <x:formula1>0</x:formula1>
      <x:formula2>100</x:formula2>
    </x:dataValidation>
    <x:dataValidation type="decimal" errorStyle="stop" operator="between" allowBlank="1" showDropDown="0" showInputMessage="1" showErrorMessage="1" errorTitle="" error="" promptTitle="" prompt="" sqref="O280:O280">
      <x:formula1>0</x:formula1>
      <x:formula2>100</x:formula2>
    </x:dataValidation>
    <x:dataValidation type="list" errorStyle="stop" operator="between" allowBlank="1" showDropDown="0" showInputMessage="1" showErrorMessage="1" errorTitle="" error="" promptTitle="" prompt="" sqref="H281:H281">
      <x:formula1>'MasterData'!$B$1:$B$14</x:formula1>
      <x:formula2/>
    </x:dataValidation>
    <x:dataValidation type="list" errorStyle="stop" operator="between" allowBlank="1" showDropDown="0" showInputMessage="1" showErrorMessage="1" errorTitle="" error="" promptTitle="" prompt="" sqref="I281:I281">
      <x:formula1>'MasterData'!$E$2601:$E$2610</x:formula1>
      <x:formula2/>
    </x:dataValidation>
    <x:dataValidation type="decimal" errorStyle="stop" operator="greaterThanOrEqual" allowBlank="1" showDropDown="0" showInputMessage="1" showErrorMessage="1" errorTitle="" error="" promptTitle="" prompt="" sqref="K281:K281">
      <x:formula1>0</x:formula1>
      <x:formula2/>
    </x:dataValidation>
    <x:dataValidation type="decimal" errorStyle="stop" operator="between" allowBlank="1" showDropDown="0" showInputMessage="1" showErrorMessage="1" errorTitle="" error="" promptTitle="" prompt="" sqref="N281:N281">
      <x:formula1>0</x:formula1>
      <x:formula2>100</x:formula2>
    </x:dataValidation>
    <x:dataValidation type="decimal" errorStyle="stop" operator="between" allowBlank="1" showDropDown="0" showInputMessage="1" showErrorMessage="1" errorTitle="" error="" promptTitle="" prompt="" sqref="O281:O281">
      <x:formula1>0</x:formula1>
      <x:formula2>100</x:formula2>
    </x:dataValidation>
    <x:dataValidation type="list" errorStyle="stop" operator="between" allowBlank="1" showDropDown="0" showInputMessage="1" showErrorMessage="1" errorTitle="" error="" promptTitle="" prompt="" sqref="H282:H282">
      <x:formula1>'MasterData'!$B$1:$B$14</x:formula1>
      <x:formula2/>
    </x:dataValidation>
    <x:dataValidation type="list" errorStyle="stop" operator="between" allowBlank="1" showDropDown="0" showInputMessage="1" showErrorMessage="1" errorTitle="" error="" promptTitle="" prompt="" sqref="I282:I282">
      <x:formula1>'MasterData'!$E$2611:$E$2620</x:formula1>
      <x:formula2/>
    </x:dataValidation>
    <x:dataValidation type="decimal" errorStyle="stop" operator="greaterThanOrEqual" allowBlank="1" showDropDown="0" showInputMessage="1" showErrorMessage="1" errorTitle="" error="" promptTitle="" prompt="" sqref="K282:K282">
      <x:formula1>0</x:formula1>
      <x:formula2/>
    </x:dataValidation>
    <x:dataValidation type="decimal" errorStyle="stop" operator="between" allowBlank="1" showDropDown="0" showInputMessage="1" showErrorMessage="1" errorTitle="" error="" promptTitle="" prompt="" sqref="N282:N282">
      <x:formula1>0</x:formula1>
      <x:formula2>100</x:formula2>
    </x:dataValidation>
    <x:dataValidation type="decimal" errorStyle="stop" operator="between" allowBlank="1" showDropDown="0" showInputMessage="1" showErrorMessage="1" errorTitle="" error="" promptTitle="" prompt="" sqref="O282:O282">
      <x:formula1>0</x:formula1>
      <x:formula2>100</x:formula2>
    </x:dataValidation>
    <x:dataValidation type="list" errorStyle="stop" operator="between" allowBlank="1" showDropDown="0" showInputMessage="1" showErrorMessage="1" errorTitle="" error="" promptTitle="" prompt="" sqref="H283:H283">
      <x:formula1>'MasterData'!$B$1:$B$14</x:formula1>
      <x:formula2/>
    </x:dataValidation>
    <x:dataValidation type="list" errorStyle="stop" operator="between" allowBlank="1" showDropDown="0" showInputMessage="1" showErrorMessage="1" errorTitle="" error="" promptTitle="" prompt="" sqref="I283:I283">
      <x:formula1>'MasterData'!$E$2621:$E$2630</x:formula1>
      <x:formula2/>
    </x:dataValidation>
    <x:dataValidation type="decimal" errorStyle="stop" operator="greaterThanOrEqual" allowBlank="1" showDropDown="0" showInputMessage="1" showErrorMessage="1" errorTitle="" error="" promptTitle="" prompt="" sqref="K283:K283">
      <x:formula1>0</x:formula1>
      <x:formula2/>
    </x:dataValidation>
    <x:dataValidation type="decimal" errorStyle="stop" operator="between" allowBlank="1" showDropDown="0" showInputMessage="1" showErrorMessage="1" errorTitle="" error="" promptTitle="" prompt="" sqref="N283:N283">
      <x:formula1>0</x:formula1>
      <x:formula2>100</x:formula2>
    </x:dataValidation>
    <x:dataValidation type="decimal" errorStyle="stop" operator="between" allowBlank="1" showDropDown="0" showInputMessage="1" showErrorMessage="1" errorTitle="" error="" promptTitle="" prompt="" sqref="O283:O283">
      <x:formula1>0</x:formula1>
      <x:formula2>100</x:formula2>
    </x:dataValidation>
    <x:dataValidation type="list" errorStyle="stop" operator="between" allowBlank="1" showDropDown="0" showInputMessage="1" showErrorMessage="1" errorTitle="" error="" promptTitle="" prompt="" sqref="H284:H284">
      <x:formula1>'MasterData'!$B$1:$B$14</x:formula1>
      <x:formula2/>
    </x:dataValidation>
    <x:dataValidation type="list" errorStyle="stop" operator="between" allowBlank="1" showDropDown="0" showInputMessage="1" showErrorMessage="1" errorTitle="" error="" promptTitle="" prompt="" sqref="I284:I284">
      <x:formula1>'MasterData'!$E$2631:$E$2640</x:formula1>
      <x:formula2/>
    </x:dataValidation>
    <x:dataValidation type="decimal" errorStyle="stop" operator="greaterThanOrEqual" allowBlank="1" showDropDown="0" showInputMessage="1" showErrorMessage="1" errorTitle="" error="" promptTitle="" prompt="" sqref="K284:K284">
      <x:formula1>0</x:formula1>
      <x:formula2/>
    </x:dataValidation>
    <x:dataValidation type="decimal" errorStyle="stop" operator="between" allowBlank="1" showDropDown="0" showInputMessage="1" showErrorMessage="1" errorTitle="" error="" promptTitle="" prompt="" sqref="N284:N284">
      <x:formula1>0</x:formula1>
      <x:formula2>100</x:formula2>
    </x:dataValidation>
    <x:dataValidation type="decimal" errorStyle="stop" operator="between" allowBlank="1" showDropDown="0" showInputMessage="1" showErrorMessage="1" errorTitle="" error="" promptTitle="" prompt="" sqref="O284:O284">
      <x:formula1>0</x:formula1>
      <x:formula2>100</x:formula2>
    </x:dataValidation>
    <x:dataValidation type="list" errorStyle="stop" operator="between" allowBlank="1" showDropDown="0" showInputMessage="1" showErrorMessage="1" errorTitle="" error="" promptTitle="" prompt="" sqref="H285:H285">
      <x:formula1>'MasterData'!$B$1:$B$14</x:formula1>
      <x:formula2/>
    </x:dataValidation>
    <x:dataValidation type="list" errorStyle="stop" operator="between" allowBlank="1" showDropDown="0" showInputMessage="1" showErrorMessage="1" errorTitle="" error="" promptTitle="" prompt="" sqref="I285:I285">
      <x:formula1>'MasterData'!$E$2641:$E$2650</x:formula1>
      <x:formula2/>
    </x:dataValidation>
    <x:dataValidation type="decimal" errorStyle="stop" operator="greaterThanOrEqual" allowBlank="1" showDropDown="0" showInputMessage="1" showErrorMessage="1" errorTitle="" error="" promptTitle="" prompt="" sqref="K285:K285">
      <x:formula1>0</x:formula1>
      <x:formula2/>
    </x:dataValidation>
    <x:dataValidation type="decimal" errorStyle="stop" operator="between" allowBlank="1" showDropDown="0" showInputMessage="1" showErrorMessage="1" errorTitle="" error="" promptTitle="" prompt="" sqref="N285:N285">
      <x:formula1>0</x:formula1>
      <x:formula2>100</x:formula2>
    </x:dataValidation>
    <x:dataValidation type="decimal" errorStyle="stop" operator="between" allowBlank="1" showDropDown="0" showInputMessage="1" showErrorMessage="1" errorTitle="" error="" promptTitle="" prompt="" sqref="O285:O285">
      <x:formula1>0</x:formula1>
      <x:formula2>100</x:formula2>
    </x:dataValidation>
    <x:dataValidation type="list" errorStyle="stop" operator="between" allowBlank="1" showDropDown="0" showInputMessage="1" showErrorMessage="1" errorTitle="" error="" promptTitle="" prompt="" sqref="H286:H286">
      <x:formula1>'MasterData'!$B$1:$B$14</x:formula1>
      <x:formula2/>
    </x:dataValidation>
    <x:dataValidation type="list" errorStyle="stop" operator="between" allowBlank="1" showDropDown="0" showInputMessage="1" showErrorMessage="1" errorTitle="" error="" promptTitle="" prompt="" sqref="I286:I286">
      <x:formula1>'MasterData'!$E$2651:$E$2660</x:formula1>
      <x:formula2/>
    </x:dataValidation>
    <x:dataValidation type="decimal" errorStyle="stop" operator="greaterThanOrEqual" allowBlank="1" showDropDown="0" showInputMessage="1" showErrorMessage="1" errorTitle="" error="" promptTitle="" prompt="" sqref="K286:K286">
      <x:formula1>0</x:formula1>
      <x:formula2/>
    </x:dataValidation>
    <x:dataValidation type="decimal" errorStyle="stop" operator="between" allowBlank="1" showDropDown="0" showInputMessage="1" showErrorMessage="1" errorTitle="" error="" promptTitle="" prompt="" sqref="N286:N286">
      <x:formula1>0</x:formula1>
      <x:formula2>100</x:formula2>
    </x:dataValidation>
    <x:dataValidation type="decimal" errorStyle="stop" operator="between" allowBlank="1" showDropDown="0" showInputMessage="1" showErrorMessage="1" errorTitle="" error="" promptTitle="" prompt="" sqref="O286:O286">
      <x:formula1>0</x:formula1>
      <x:formula2>100</x:formula2>
    </x:dataValidation>
    <x:dataValidation type="list" errorStyle="stop" operator="between" allowBlank="1" showDropDown="0" showInputMessage="1" showErrorMessage="1" errorTitle="" error="" promptTitle="" prompt="" sqref="H287:H287">
      <x:formula1>'MasterData'!$B$1:$B$14</x:formula1>
      <x:formula2/>
    </x:dataValidation>
    <x:dataValidation type="list" errorStyle="stop" operator="between" allowBlank="1" showDropDown="0" showInputMessage="1" showErrorMessage="1" errorTitle="" error="" promptTitle="" prompt="" sqref="I287:I287">
      <x:formula1>'MasterData'!$E$2661:$E$2670</x:formula1>
      <x:formula2/>
    </x:dataValidation>
    <x:dataValidation type="decimal" errorStyle="stop" operator="greaterThanOrEqual" allowBlank="1" showDropDown="0" showInputMessage="1" showErrorMessage="1" errorTitle="" error="" promptTitle="" prompt="" sqref="K287:K287">
      <x:formula1>0</x:formula1>
      <x:formula2/>
    </x:dataValidation>
    <x:dataValidation type="decimal" errorStyle="stop" operator="between" allowBlank="1" showDropDown="0" showInputMessage="1" showErrorMessage="1" errorTitle="" error="" promptTitle="" prompt="" sqref="N287:N287">
      <x:formula1>0</x:formula1>
      <x:formula2>100</x:formula2>
    </x:dataValidation>
    <x:dataValidation type="decimal" errorStyle="stop" operator="between" allowBlank="1" showDropDown="0" showInputMessage="1" showErrorMessage="1" errorTitle="" error="" promptTitle="" prompt="" sqref="O287:O287">
      <x:formula1>0</x:formula1>
      <x:formula2>100</x:formula2>
    </x:dataValidation>
    <x:dataValidation type="list" errorStyle="stop" operator="between" allowBlank="1" showDropDown="0" showInputMessage="1" showErrorMessage="1" errorTitle="" error="" promptTitle="" prompt="" sqref="H288:H288">
      <x:formula1>'MasterData'!$B$1:$B$14</x:formula1>
      <x:formula2/>
    </x:dataValidation>
    <x:dataValidation type="list" errorStyle="stop" operator="between" allowBlank="1" showDropDown="0" showInputMessage="1" showErrorMessage="1" errorTitle="" error="" promptTitle="" prompt="" sqref="I288:I288">
      <x:formula1>'MasterData'!$E$2671:$E$2680</x:formula1>
      <x:formula2/>
    </x:dataValidation>
    <x:dataValidation type="decimal" errorStyle="stop" operator="greaterThanOrEqual" allowBlank="1" showDropDown="0" showInputMessage="1" showErrorMessage="1" errorTitle="" error="" promptTitle="" prompt="" sqref="K288:K288">
      <x:formula1>0</x:formula1>
      <x:formula2/>
    </x:dataValidation>
    <x:dataValidation type="decimal" errorStyle="stop" operator="between" allowBlank="1" showDropDown="0" showInputMessage="1" showErrorMessage="1" errorTitle="" error="" promptTitle="" prompt="" sqref="N288:N288">
      <x:formula1>0</x:formula1>
      <x:formula2>100</x:formula2>
    </x:dataValidation>
    <x:dataValidation type="decimal" errorStyle="stop" operator="between" allowBlank="1" showDropDown="0" showInputMessage="1" showErrorMessage="1" errorTitle="" error="" promptTitle="" prompt="" sqref="O288:O288">
      <x:formula1>0</x:formula1>
      <x:formula2>100</x:formula2>
    </x:dataValidation>
    <x:dataValidation type="list" errorStyle="stop" operator="between" allowBlank="1" showDropDown="0" showInputMessage="1" showErrorMessage="1" errorTitle="" error="" promptTitle="" prompt="" sqref="H289:H289">
      <x:formula1>'MasterData'!$B$1:$B$14</x:formula1>
      <x:formula2/>
    </x:dataValidation>
    <x:dataValidation type="list" errorStyle="stop" operator="between" allowBlank="1" showDropDown="0" showInputMessage="1" showErrorMessage="1" errorTitle="" error="" promptTitle="" prompt="" sqref="I289:I289">
      <x:formula1>'MasterData'!$E$2681:$E$2690</x:formula1>
      <x:formula2/>
    </x:dataValidation>
    <x:dataValidation type="decimal" errorStyle="stop" operator="greaterThanOrEqual" allowBlank="1" showDropDown="0" showInputMessage="1" showErrorMessage="1" errorTitle="" error="" promptTitle="" prompt="" sqref="K289:K289">
      <x:formula1>0</x:formula1>
      <x:formula2/>
    </x:dataValidation>
    <x:dataValidation type="decimal" errorStyle="stop" operator="between" allowBlank="1" showDropDown="0" showInputMessage="1" showErrorMessage="1" errorTitle="" error="" promptTitle="" prompt="" sqref="N289:N289">
      <x:formula1>0</x:formula1>
      <x:formula2>100</x:formula2>
    </x:dataValidation>
    <x:dataValidation type="decimal" errorStyle="stop" operator="between" allowBlank="1" showDropDown="0" showInputMessage="1" showErrorMessage="1" errorTitle="" error="" promptTitle="" prompt="" sqref="O289:O289">
      <x:formula1>0</x:formula1>
      <x:formula2>100</x:formula2>
    </x:dataValidation>
    <x:dataValidation type="list" errorStyle="stop" operator="between" allowBlank="1" showDropDown="0" showInputMessage="1" showErrorMessage="1" errorTitle="" error="" promptTitle="" prompt="" sqref="H290:H290">
      <x:formula1>'MasterData'!$B$1:$B$14</x:formula1>
      <x:formula2/>
    </x:dataValidation>
    <x:dataValidation type="list" errorStyle="stop" operator="between" allowBlank="1" showDropDown="0" showInputMessage="1" showErrorMessage="1" errorTitle="" error="" promptTitle="" prompt="" sqref="I290:I290">
      <x:formula1>'MasterData'!$E$2691:$E$2700</x:formula1>
      <x:formula2/>
    </x:dataValidation>
    <x:dataValidation type="decimal" errorStyle="stop" operator="greaterThanOrEqual" allowBlank="1" showDropDown="0" showInputMessage="1" showErrorMessage="1" errorTitle="" error="" promptTitle="" prompt="" sqref="K290:K290">
      <x:formula1>0</x:formula1>
      <x:formula2/>
    </x:dataValidation>
    <x:dataValidation type="decimal" errorStyle="stop" operator="between" allowBlank="1" showDropDown="0" showInputMessage="1" showErrorMessage="1" errorTitle="" error="" promptTitle="" prompt="" sqref="N290:N290">
      <x:formula1>0</x:formula1>
      <x:formula2>100</x:formula2>
    </x:dataValidation>
    <x:dataValidation type="decimal" errorStyle="stop" operator="between" allowBlank="1" showDropDown="0" showInputMessage="1" showErrorMessage="1" errorTitle="" error="" promptTitle="" prompt="" sqref="O290:O290">
      <x:formula1>0</x:formula1>
      <x:formula2>100</x:formula2>
    </x:dataValidation>
    <x:dataValidation type="list" errorStyle="stop" operator="between" allowBlank="1" showDropDown="0" showInputMessage="1" showErrorMessage="1" errorTitle="" error="" promptTitle="" prompt="" sqref="H291:H291">
      <x:formula1>'MasterData'!$B$1:$B$14</x:formula1>
      <x:formula2/>
    </x:dataValidation>
    <x:dataValidation type="list" errorStyle="stop" operator="between" allowBlank="1" showDropDown="0" showInputMessage="1" showErrorMessage="1" errorTitle="" error="" promptTitle="" prompt="" sqref="I291:I291">
      <x:formula1>'MasterData'!$E$2701:$E$2710</x:formula1>
      <x:formula2/>
    </x:dataValidation>
    <x:dataValidation type="decimal" errorStyle="stop" operator="greaterThanOrEqual" allowBlank="1" showDropDown="0" showInputMessage="1" showErrorMessage="1" errorTitle="" error="" promptTitle="" prompt="" sqref="K291:K291">
      <x:formula1>0</x:formula1>
      <x:formula2/>
    </x:dataValidation>
    <x:dataValidation type="decimal" errorStyle="stop" operator="between" allowBlank="1" showDropDown="0" showInputMessage="1" showErrorMessage="1" errorTitle="" error="" promptTitle="" prompt="" sqref="N291:N291">
      <x:formula1>0</x:formula1>
      <x:formula2>100</x:formula2>
    </x:dataValidation>
    <x:dataValidation type="decimal" errorStyle="stop" operator="between" allowBlank="1" showDropDown="0" showInputMessage="1" showErrorMessage="1" errorTitle="" error="" promptTitle="" prompt="" sqref="O291:O291">
      <x:formula1>0</x:formula1>
      <x:formula2>100</x:formula2>
    </x:dataValidation>
    <x:dataValidation type="list" errorStyle="stop" operator="between" allowBlank="1" showDropDown="0" showInputMessage="1" showErrorMessage="1" errorTitle="" error="" promptTitle="" prompt="" sqref="H292:H292">
      <x:formula1>'MasterData'!$B$1:$B$14</x:formula1>
      <x:formula2/>
    </x:dataValidation>
    <x:dataValidation type="list" errorStyle="stop" operator="between" allowBlank="1" showDropDown="0" showInputMessage="1" showErrorMessage="1" errorTitle="" error="" promptTitle="" prompt="" sqref="I292:I292">
      <x:formula1>'MasterData'!$E$2711:$E$2720</x:formula1>
      <x:formula2/>
    </x:dataValidation>
    <x:dataValidation type="decimal" errorStyle="stop" operator="greaterThanOrEqual" allowBlank="1" showDropDown="0" showInputMessage="1" showErrorMessage="1" errorTitle="" error="" promptTitle="" prompt="" sqref="K292:K292">
      <x:formula1>0</x:formula1>
      <x:formula2/>
    </x:dataValidation>
    <x:dataValidation type="decimal" errorStyle="stop" operator="between" allowBlank="1" showDropDown="0" showInputMessage="1" showErrorMessage="1" errorTitle="" error="" promptTitle="" prompt="" sqref="N292:N292">
      <x:formula1>0</x:formula1>
      <x:formula2>100</x:formula2>
    </x:dataValidation>
    <x:dataValidation type="decimal" errorStyle="stop" operator="between" allowBlank="1" showDropDown="0" showInputMessage="1" showErrorMessage="1" errorTitle="" error="" promptTitle="" prompt="" sqref="O292:O292">
      <x:formula1>0</x:formula1>
      <x:formula2>100</x:formula2>
    </x:dataValidation>
    <x:dataValidation type="list" errorStyle="stop" operator="between" allowBlank="1" showDropDown="0" showInputMessage="1" showErrorMessage="1" errorTitle="" error="" promptTitle="" prompt="" sqref="H293:H293">
      <x:formula1>'MasterData'!$B$1:$B$14</x:formula1>
      <x:formula2/>
    </x:dataValidation>
    <x:dataValidation type="list" errorStyle="stop" operator="between" allowBlank="1" showDropDown="0" showInputMessage="1" showErrorMessage="1" errorTitle="" error="" promptTitle="" prompt="" sqref="I293:I293">
      <x:formula1>'MasterData'!$E$2721:$E$2730</x:formula1>
      <x:formula2/>
    </x:dataValidation>
    <x:dataValidation type="decimal" errorStyle="stop" operator="greaterThanOrEqual" allowBlank="1" showDropDown="0" showInputMessage="1" showErrorMessage="1" errorTitle="" error="" promptTitle="" prompt="" sqref="K293:K293">
      <x:formula1>0</x:formula1>
      <x:formula2/>
    </x:dataValidation>
    <x:dataValidation type="decimal" errorStyle="stop" operator="between" allowBlank="1" showDropDown="0" showInputMessage="1" showErrorMessage="1" errorTitle="" error="" promptTitle="" prompt="" sqref="N293:N293">
      <x:formula1>0</x:formula1>
      <x:formula2>100</x:formula2>
    </x:dataValidation>
    <x:dataValidation type="decimal" errorStyle="stop" operator="between" allowBlank="1" showDropDown="0" showInputMessage="1" showErrorMessage="1" errorTitle="" error="" promptTitle="" prompt="" sqref="O293:O293">
      <x:formula1>0</x:formula1>
      <x:formula2>100</x:formula2>
    </x:dataValidation>
    <x:dataValidation type="list" errorStyle="stop" operator="between" allowBlank="1" showDropDown="0" showInputMessage="1" showErrorMessage="1" errorTitle="" error="" promptTitle="" prompt="" sqref="H294:H294">
      <x:formula1>'MasterData'!$B$1:$B$14</x:formula1>
      <x:formula2/>
    </x:dataValidation>
    <x:dataValidation type="list" errorStyle="stop" operator="between" allowBlank="1" showDropDown="0" showInputMessage="1" showErrorMessage="1" errorTitle="" error="" promptTitle="" prompt="" sqref="I294:I294">
      <x:formula1>'MasterData'!$E$2731:$E$2740</x:formula1>
      <x:formula2/>
    </x:dataValidation>
    <x:dataValidation type="decimal" errorStyle="stop" operator="greaterThanOrEqual" allowBlank="1" showDropDown="0" showInputMessage="1" showErrorMessage="1" errorTitle="" error="" promptTitle="" prompt="" sqref="K294:K294">
      <x:formula1>0</x:formula1>
      <x:formula2/>
    </x:dataValidation>
    <x:dataValidation type="decimal" errorStyle="stop" operator="between" allowBlank="1" showDropDown="0" showInputMessage="1" showErrorMessage="1" errorTitle="" error="" promptTitle="" prompt="" sqref="N294:N294">
      <x:formula1>0</x:formula1>
      <x:formula2>100</x:formula2>
    </x:dataValidation>
    <x:dataValidation type="decimal" errorStyle="stop" operator="between" allowBlank="1" showDropDown="0" showInputMessage="1" showErrorMessage="1" errorTitle="" error="" promptTitle="" prompt="" sqref="O294:O294">
      <x:formula1>0</x:formula1>
      <x:formula2>100</x:formula2>
    </x:dataValidation>
    <x:dataValidation type="list" errorStyle="stop" operator="between" allowBlank="1" showDropDown="0" showInputMessage="1" showErrorMessage="1" errorTitle="" error="" promptTitle="" prompt="" sqref="H295:H295">
      <x:formula1>'MasterData'!$B$1:$B$14</x:formula1>
      <x:formula2/>
    </x:dataValidation>
    <x:dataValidation type="list" errorStyle="stop" operator="between" allowBlank="1" showDropDown="0" showInputMessage="1" showErrorMessage="1" errorTitle="" error="" promptTitle="" prompt="" sqref="I295:I295">
      <x:formula1>'MasterData'!$E$2741:$E$2750</x:formula1>
      <x:formula2/>
    </x:dataValidation>
    <x:dataValidation type="decimal" errorStyle="stop" operator="greaterThanOrEqual" allowBlank="1" showDropDown="0" showInputMessage="1" showErrorMessage="1" errorTitle="" error="" promptTitle="" prompt="" sqref="K295:K295">
      <x:formula1>0</x:formula1>
      <x:formula2/>
    </x:dataValidation>
    <x:dataValidation type="decimal" errorStyle="stop" operator="between" allowBlank="1" showDropDown="0" showInputMessage="1" showErrorMessage="1" errorTitle="" error="" promptTitle="" prompt="" sqref="N295:N295">
      <x:formula1>0</x:formula1>
      <x:formula2>100</x:formula2>
    </x:dataValidation>
    <x:dataValidation type="decimal" errorStyle="stop" operator="between" allowBlank="1" showDropDown="0" showInputMessage="1" showErrorMessage="1" errorTitle="" error="" promptTitle="" prompt="" sqref="O295:O295">
      <x:formula1>0</x:formula1>
      <x:formula2>100</x:formula2>
    </x:dataValidation>
    <x:dataValidation type="list" errorStyle="stop" operator="between" allowBlank="1" showDropDown="0" showInputMessage="1" showErrorMessage="1" errorTitle="" error="" promptTitle="" prompt="" sqref="H296:H296">
      <x:formula1>'MasterData'!$B$1:$B$14</x:formula1>
      <x:formula2/>
    </x:dataValidation>
    <x:dataValidation type="list" errorStyle="stop" operator="between" allowBlank="1" showDropDown="0" showInputMessage="1" showErrorMessage="1" errorTitle="" error="" promptTitle="" prompt="" sqref="I296:I296">
      <x:formula1>'MasterData'!$E$2751:$E$2760</x:formula1>
      <x:formula2/>
    </x:dataValidation>
    <x:dataValidation type="decimal" errorStyle="stop" operator="greaterThanOrEqual" allowBlank="1" showDropDown="0" showInputMessage="1" showErrorMessage="1" errorTitle="" error="" promptTitle="" prompt="" sqref="K296:K296">
      <x:formula1>0</x:formula1>
      <x:formula2/>
    </x:dataValidation>
    <x:dataValidation type="decimal" errorStyle="stop" operator="between" allowBlank="1" showDropDown="0" showInputMessage="1" showErrorMessage="1" errorTitle="" error="" promptTitle="" prompt="" sqref="N296:N296">
      <x:formula1>0</x:formula1>
      <x:formula2>100</x:formula2>
    </x:dataValidation>
    <x:dataValidation type="decimal" errorStyle="stop" operator="between" allowBlank="1" showDropDown="0" showInputMessage="1" showErrorMessage="1" errorTitle="" error="" promptTitle="" prompt="" sqref="O296:O296">
      <x:formula1>0</x:formula1>
      <x:formula2>100</x:formula2>
    </x:dataValidation>
    <x:dataValidation type="list" errorStyle="stop" operator="between" allowBlank="1" showDropDown="0" showInputMessage="1" showErrorMessage="1" errorTitle="" error="" promptTitle="" prompt="" sqref="H297:H297">
      <x:formula1>'MasterData'!$B$1:$B$14</x:formula1>
      <x:formula2/>
    </x:dataValidation>
    <x:dataValidation type="list" errorStyle="stop" operator="between" allowBlank="1" showDropDown="0" showInputMessage="1" showErrorMessage="1" errorTitle="" error="" promptTitle="" prompt="" sqref="I297:I297">
      <x:formula1>'MasterData'!$E$2761:$E$2770</x:formula1>
      <x:formula2/>
    </x:dataValidation>
    <x:dataValidation type="decimal" errorStyle="stop" operator="greaterThanOrEqual" allowBlank="1" showDropDown="0" showInputMessage="1" showErrorMessage="1" errorTitle="" error="" promptTitle="" prompt="" sqref="K297:K297">
      <x:formula1>0</x:formula1>
      <x:formula2/>
    </x:dataValidation>
    <x:dataValidation type="decimal" errorStyle="stop" operator="between" allowBlank="1" showDropDown="0" showInputMessage="1" showErrorMessage="1" errorTitle="" error="" promptTitle="" prompt="" sqref="N297:N297">
      <x:formula1>0</x:formula1>
      <x:formula2>100</x:formula2>
    </x:dataValidation>
    <x:dataValidation type="decimal" errorStyle="stop" operator="between" allowBlank="1" showDropDown="0" showInputMessage="1" showErrorMessage="1" errorTitle="" error="" promptTitle="" prompt="" sqref="O297:O297">
      <x:formula1>0</x:formula1>
      <x:formula2>100</x:formula2>
    </x:dataValidation>
    <x:dataValidation type="list" errorStyle="stop" operator="between" allowBlank="1" showDropDown="0" showInputMessage="1" showErrorMessage="1" errorTitle="" error="" promptTitle="" prompt="" sqref="H298:H298">
      <x:formula1>'MasterData'!$B$1:$B$14</x:formula1>
      <x:formula2/>
    </x:dataValidation>
    <x:dataValidation type="list" errorStyle="stop" operator="between" allowBlank="1" showDropDown="0" showInputMessage="1" showErrorMessage="1" errorTitle="" error="" promptTitle="" prompt="" sqref="I298:I298">
      <x:formula1>'MasterData'!$E$2771:$E$2780</x:formula1>
      <x:formula2/>
    </x:dataValidation>
    <x:dataValidation type="decimal" errorStyle="stop" operator="greaterThanOrEqual" allowBlank="1" showDropDown="0" showInputMessage="1" showErrorMessage="1" errorTitle="" error="" promptTitle="" prompt="" sqref="K298:K298">
      <x:formula1>0</x:formula1>
      <x:formula2/>
    </x:dataValidation>
    <x:dataValidation type="decimal" errorStyle="stop" operator="between" allowBlank="1" showDropDown="0" showInputMessage="1" showErrorMessage="1" errorTitle="" error="" promptTitle="" prompt="" sqref="N298:N298">
      <x:formula1>0</x:formula1>
      <x:formula2>100</x:formula2>
    </x:dataValidation>
    <x:dataValidation type="decimal" errorStyle="stop" operator="between" allowBlank="1" showDropDown="0" showInputMessage="1" showErrorMessage="1" errorTitle="" error="" promptTitle="" prompt="" sqref="O298:O298">
      <x:formula1>0</x:formula1>
      <x:formula2>100</x:formula2>
    </x:dataValidation>
    <x:dataValidation type="list" errorStyle="stop" operator="between" allowBlank="1" showDropDown="0" showInputMessage="1" showErrorMessage="1" errorTitle="" error="" promptTitle="" prompt="" sqref="H299:H299">
      <x:formula1>'MasterData'!$B$1:$B$14</x:formula1>
      <x:formula2/>
    </x:dataValidation>
    <x:dataValidation type="list" errorStyle="stop" operator="between" allowBlank="1" showDropDown="0" showInputMessage="1" showErrorMessage="1" errorTitle="" error="" promptTitle="" prompt="" sqref="I299:I299">
      <x:formula1>'MasterData'!$E$2781:$E$2790</x:formula1>
      <x:formula2/>
    </x:dataValidation>
    <x:dataValidation type="decimal" errorStyle="stop" operator="greaterThanOrEqual" allowBlank="1" showDropDown="0" showInputMessage="1" showErrorMessage="1" errorTitle="" error="" promptTitle="" prompt="" sqref="K299:K299">
      <x:formula1>0</x:formula1>
      <x:formula2/>
    </x:dataValidation>
    <x:dataValidation type="decimal" errorStyle="stop" operator="between" allowBlank="1" showDropDown="0" showInputMessage="1" showErrorMessage="1" errorTitle="" error="" promptTitle="" prompt="" sqref="N299:N299">
      <x:formula1>0</x:formula1>
      <x:formula2>100</x:formula2>
    </x:dataValidation>
    <x:dataValidation type="decimal" errorStyle="stop" operator="between" allowBlank="1" showDropDown="0" showInputMessage="1" showErrorMessage="1" errorTitle="" error="" promptTitle="" prompt="" sqref="O299:O299">
      <x:formula1>0</x:formula1>
      <x:formula2>100</x:formula2>
    </x:dataValidation>
    <x:dataValidation type="list" errorStyle="stop" operator="between" allowBlank="1" showDropDown="0" showInputMessage="1" showErrorMessage="1" errorTitle="" error="" promptTitle="" prompt="" sqref="H300:H300">
      <x:formula1>'MasterData'!$B$1:$B$14</x:formula1>
      <x:formula2/>
    </x:dataValidation>
    <x:dataValidation type="list" errorStyle="stop" operator="between" allowBlank="1" showDropDown="0" showInputMessage="1" showErrorMessage="1" errorTitle="" error="" promptTitle="" prompt="" sqref="I300:I300">
      <x:formula1>'MasterData'!$E$2791:$E$2800</x:formula1>
      <x:formula2/>
    </x:dataValidation>
    <x:dataValidation type="decimal" errorStyle="stop" operator="greaterThanOrEqual" allowBlank="1" showDropDown="0" showInputMessage="1" showErrorMessage="1" errorTitle="" error="" promptTitle="" prompt="" sqref="K300:K300">
      <x:formula1>0</x:formula1>
      <x:formula2/>
    </x:dataValidation>
    <x:dataValidation type="decimal" errorStyle="stop" operator="between" allowBlank="1" showDropDown="0" showInputMessage="1" showErrorMessage="1" errorTitle="" error="" promptTitle="" prompt="" sqref="N300:N300">
      <x:formula1>0</x:formula1>
      <x:formula2>100</x:formula2>
    </x:dataValidation>
    <x:dataValidation type="decimal" errorStyle="stop" operator="between" allowBlank="1" showDropDown="0" showInputMessage="1" showErrorMessage="1" errorTitle="" error="" promptTitle="" prompt="" sqref="O300:O300">
      <x:formula1>0</x:formula1>
      <x:formula2>100</x:formula2>
    </x:dataValidation>
    <x:dataValidation type="list" errorStyle="stop" operator="between" allowBlank="1" showDropDown="0" showInputMessage="1" showErrorMessage="1" errorTitle="" error="" promptTitle="" prompt="" sqref="H301:H301">
      <x:formula1>'MasterData'!$B$1:$B$14</x:formula1>
      <x:formula2/>
    </x:dataValidation>
    <x:dataValidation type="list" errorStyle="stop" operator="between" allowBlank="1" showDropDown="0" showInputMessage="1" showErrorMessage="1" errorTitle="" error="" promptTitle="" prompt="" sqref="I301:I301">
      <x:formula1>'MasterData'!$E$2801:$E$2810</x:formula1>
      <x:formula2/>
    </x:dataValidation>
    <x:dataValidation type="decimal" errorStyle="stop" operator="greaterThanOrEqual" allowBlank="1" showDropDown="0" showInputMessage="1" showErrorMessage="1" errorTitle="" error="" promptTitle="" prompt="" sqref="K301:K301">
      <x:formula1>0</x:formula1>
      <x:formula2/>
    </x:dataValidation>
    <x:dataValidation type="decimal" errorStyle="stop" operator="between" allowBlank="1" showDropDown="0" showInputMessage="1" showErrorMessage="1" errorTitle="" error="" promptTitle="" prompt="" sqref="N301:N301">
      <x:formula1>0</x:formula1>
      <x:formula2>100</x:formula2>
    </x:dataValidation>
    <x:dataValidation type="decimal" errorStyle="stop" operator="between" allowBlank="1" showDropDown="0" showInputMessage="1" showErrorMessage="1" errorTitle="" error="" promptTitle="" prompt="" sqref="O301:O301">
      <x:formula1>0</x:formula1>
      <x:formula2>100</x:formula2>
    </x:dataValidation>
    <x:dataValidation type="list" errorStyle="stop" operator="between" allowBlank="1" showDropDown="0" showInputMessage="1" showErrorMessage="1" errorTitle="" error="" promptTitle="" prompt="" sqref="H302:H302">
      <x:formula1>'MasterData'!$B$1:$B$14</x:formula1>
      <x:formula2/>
    </x:dataValidation>
    <x:dataValidation type="list" errorStyle="stop" operator="between" allowBlank="1" showDropDown="0" showInputMessage="1" showErrorMessage="1" errorTitle="" error="" promptTitle="" prompt="" sqref="I302:I302">
      <x:formula1>'MasterData'!$E$2811:$E$2820</x:formula1>
      <x:formula2/>
    </x:dataValidation>
    <x:dataValidation type="decimal" errorStyle="stop" operator="greaterThanOrEqual" allowBlank="1" showDropDown="0" showInputMessage="1" showErrorMessage="1" errorTitle="" error="" promptTitle="" prompt="" sqref="K302:K302">
      <x:formula1>0</x:formula1>
      <x:formula2/>
    </x:dataValidation>
    <x:dataValidation type="decimal" errorStyle="stop" operator="between" allowBlank="1" showDropDown="0" showInputMessage="1" showErrorMessage="1" errorTitle="" error="" promptTitle="" prompt="" sqref="N302:N302">
      <x:formula1>0</x:formula1>
      <x:formula2>100</x:formula2>
    </x:dataValidation>
    <x:dataValidation type="decimal" errorStyle="stop" operator="between" allowBlank="1" showDropDown="0" showInputMessage="1" showErrorMessage="1" errorTitle="" error="" promptTitle="" prompt="" sqref="O302:O302">
      <x:formula1>0</x:formula1>
      <x:formula2>100</x:formula2>
    </x:dataValidation>
    <x:dataValidation type="list" errorStyle="stop" operator="between" allowBlank="1" showDropDown="0" showInputMessage="1" showErrorMessage="1" errorTitle="" error="" promptTitle="" prompt="" sqref="H303:H303">
      <x:formula1>'MasterData'!$B$1:$B$14</x:formula1>
      <x:formula2/>
    </x:dataValidation>
    <x:dataValidation type="list" errorStyle="stop" operator="between" allowBlank="1" showDropDown="0" showInputMessage="1" showErrorMessage="1" errorTitle="" error="" promptTitle="" prompt="" sqref="I303:I303">
      <x:formula1>'MasterData'!$E$2821:$E$2830</x:formula1>
      <x:formula2/>
    </x:dataValidation>
    <x:dataValidation type="decimal" errorStyle="stop" operator="greaterThanOrEqual" allowBlank="1" showDropDown="0" showInputMessage="1" showErrorMessage="1" errorTitle="" error="" promptTitle="" prompt="" sqref="K303:K303">
      <x:formula1>0</x:formula1>
      <x:formula2/>
    </x:dataValidation>
    <x:dataValidation type="decimal" errorStyle="stop" operator="between" allowBlank="1" showDropDown="0" showInputMessage="1" showErrorMessage="1" errorTitle="" error="" promptTitle="" prompt="" sqref="N303:N303">
      <x:formula1>0</x:formula1>
      <x:formula2>100</x:formula2>
    </x:dataValidation>
    <x:dataValidation type="decimal" errorStyle="stop" operator="between" allowBlank="1" showDropDown="0" showInputMessage="1" showErrorMessage="1" errorTitle="" error="" promptTitle="" prompt="" sqref="O303:O303">
      <x:formula1>0</x:formula1>
      <x:formula2>100</x:formula2>
    </x:dataValidation>
    <x:dataValidation type="list" errorStyle="stop" operator="between" allowBlank="1" showDropDown="0" showInputMessage="1" showErrorMessage="1" errorTitle="" error="" promptTitle="" prompt="" sqref="H304:H304">
      <x:formula1>'MasterData'!$B$1:$B$14</x:formula1>
      <x:formula2/>
    </x:dataValidation>
    <x:dataValidation type="list" errorStyle="stop" operator="between" allowBlank="1" showDropDown="0" showInputMessage="1" showErrorMessage="1" errorTitle="" error="" promptTitle="" prompt="" sqref="I304:I304">
      <x:formula1>'MasterData'!$E$2831:$E$2840</x:formula1>
      <x:formula2/>
    </x:dataValidation>
    <x:dataValidation type="decimal" errorStyle="stop" operator="greaterThanOrEqual" allowBlank="1" showDropDown="0" showInputMessage="1" showErrorMessage="1" errorTitle="" error="" promptTitle="" prompt="" sqref="K304:K304">
      <x:formula1>0</x:formula1>
      <x:formula2/>
    </x:dataValidation>
    <x:dataValidation type="decimal" errorStyle="stop" operator="between" allowBlank="1" showDropDown="0" showInputMessage="1" showErrorMessage="1" errorTitle="" error="" promptTitle="" prompt="" sqref="N304:N304">
      <x:formula1>0</x:formula1>
      <x:formula2>100</x:formula2>
    </x:dataValidation>
    <x:dataValidation type="decimal" errorStyle="stop" operator="between" allowBlank="1" showDropDown="0" showInputMessage="1" showErrorMessage="1" errorTitle="" error="" promptTitle="" prompt="" sqref="O304:O304">
      <x:formula1>0</x:formula1>
      <x:formula2>100</x:formula2>
    </x:dataValidation>
    <x:dataValidation type="list" errorStyle="stop" operator="between" allowBlank="1" showDropDown="0" showInputMessage="1" showErrorMessage="1" errorTitle="" error="" promptTitle="" prompt="" sqref="H305:H305">
      <x:formula1>'MasterData'!$B$1:$B$14</x:formula1>
      <x:formula2/>
    </x:dataValidation>
    <x:dataValidation type="list" errorStyle="stop" operator="between" allowBlank="1" showDropDown="0" showInputMessage="1" showErrorMessage="1" errorTitle="" error="" promptTitle="" prompt="" sqref="I305:I305">
      <x:formula1>'MasterData'!$E$2841:$E$2850</x:formula1>
      <x:formula2/>
    </x:dataValidation>
    <x:dataValidation type="decimal" errorStyle="stop" operator="greaterThanOrEqual" allowBlank="1" showDropDown="0" showInputMessage="1" showErrorMessage="1" errorTitle="" error="" promptTitle="" prompt="" sqref="K305:K305">
      <x:formula1>0</x:formula1>
      <x:formula2/>
    </x:dataValidation>
    <x:dataValidation type="decimal" errorStyle="stop" operator="between" allowBlank="1" showDropDown="0" showInputMessage="1" showErrorMessage="1" errorTitle="" error="" promptTitle="" prompt="" sqref="N305:N305">
      <x:formula1>0</x:formula1>
      <x:formula2>100</x:formula2>
    </x:dataValidation>
    <x:dataValidation type="decimal" errorStyle="stop" operator="between" allowBlank="1" showDropDown="0" showInputMessage="1" showErrorMessage="1" errorTitle="" error="" promptTitle="" prompt="" sqref="O305:O305">
      <x:formula1>0</x:formula1>
      <x:formula2>100</x:formula2>
    </x:dataValidation>
    <x:dataValidation type="list" errorStyle="stop" operator="between" allowBlank="1" showDropDown="0" showInputMessage="1" showErrorMessage="1" errorTitle="" error="" promptTitle="" prompt="" sqref="H306:H306">
      <x:formula1>'MasterData'!$B$1:$B$14</x:formula1>
      <x:formula2/>
    </x:dataValidation>
    <x:dataValidation type="list" errorStyle="stop" operator="between" allowBlank="1" showDropDown="0" showInputMessage="1" showErrorMessage="1" errorTitle="" error="" promptTitle="" prompt="" sqref="I306:I306">
      <x:formula1>'MasterData'!$E$2851:$E$2860</x:formula1>
      <x:formula2/>
    </x:dataValidation>
    <x:dataValidation type="decimal" errorStyle="stop" operator="greaterThanOrEqual" allowBlank="1" showDropDown="0" showInputMessage="1" showErrorMessage="1" errorTitle="" error="" promptTitle="" prompt="" sqref="K306:K306">
      <x:formula1>0</x:formula1>
      <x:formula2/>
    </x:dataValidation>
    <x:dataValidation type="decimal" errorStyle="stop" operator="between" allowBlank="1" showDropDown="0" showInputMessage="1" showErrorMessage="1" errorTitle="" error="" promptTitle="" prompt="" sqref="N306:N306">
      <x:formula1>0</x:formula1>
      <x:formula2>100</x:formula2>
    </x:dataValidation>
    <x:dataValidation type="decimal" errorStyle="stop" operator="between" allowBlank="1" showDropDown="0" showInputMessage="1" showErrorMessage="1" errorTitle="" error="" promptTitle="" prompt="" sqref="O306:O306">
      <x:formula1>0</x:formula1>
      <x:formula2>100</x:formula2>
    </x:dataValidation>
    <x:dataValidation type="list" errorStyle="stop" operator="between" allowBlank="1" showDropDown="0" showInputMessage="1" showErrorMessage="1" errorTitle="" error="" promptTitle="" prompt="" sqref="H307:H307">
      <x:formula1>'MasterData'!$B$1:$B$14</x:formula1>
      <x:formula2/>
    </x:dataValidation>
    <x:dataValidation type="list" errorStyle="stop" operator="between" allowBlank="1" showDropDown="0" showInputMessage="1" showErrorMessage="1" errorTitle="" error="" promptTitle="" prompt="" sqref="I307:I307">
      <x:formula1>'MasterData'!$E$2861:$E$2870</x:formula1>
      <x:formula2/>
    </x:dataValidation>
    <x:dataValidation type="decimal" errorStyle="stop" operator="greaterThanOrEqual" allowBlank="1" showDropDown="0" showInputMessage="1" showErrorMessage="1" errorTitle="" error="" promptTitle="" prompt="" sqref="K307:K307">
      <x:formula1>0</x:formula1>
      <x:formula2/>
    </x:dataValidation>
    <x:dataValidation type="decimal" errorStyle="stop" operator="between" allowBlank="1" showDropDown="0" showInputMessage="1" showErrorMessage="1" errorTitle="" error="" promptTitle="" prompt="" sqref="N307:N307">
      <x:formula1>0</x:formula1>
      <x:formula2>100</x:formula2>
    </x:dataValidation>
    <x:dataValidation type="decimal" errorStyle="stop" operator="between" allowBlank="1" showDropDown="0" showInputMessage="1" showErrorMessage="1" errorTitle="" error="" promptTitle="" prompt="" sqref="O307:O307">
      <x:formula1>0</x:formula1>
      <x:formula2>100</x:formula2>
    </x:dataValidation>
    <x:dataValidation type="list" errorStyle="stop" operator="between" allowBlank="1" showDropDown="0" showInputMessage="1" showErrorMessage="1" errorTitle="" error="" promptTitle="" prompt="" sqref="H308:H308">
      <x:formula1>'MasterData'!$B$1:$B$14</x:formula1>
      <x:formula2/>
    </x:dataValidation>
    <x:dataValidation type="list" errorStyle="stop" operator="between" allowBlank="1" showDropDown="0" showInputMessage="1" showErrorMessage="1" errorTitle="" error="" promptTitle="" prompt="" sqref="I308:I308">
      <x:formula1>'MasterData'!$E$2871:$E$2880</x:formula1>
      <x:formula2/>
    </x:dataValidation>
    <x:dataValidation type="decimal" errorStyle="stop" operator="greaterThanOrEqual" allowBlank="1" showDropDown="0" showInputMessage="1" showErrorMessage="1" errorTitle="" error="" promptTitle="" prompt="" sqref="K308:K308">
      <x:formula1>0</x:formula1>
      <x:formula2/>
    </x:dataValidation>
    <x:dataValidation type="decimal" errorStyle="stop" operator="between" allowBlank="1" showDropDown="0" showInputMessage="1" showErrorMessage="1" errorTitle="" error="" promptTitle="" prompt="" sqref="N308:N308">
      <x:formula1>0</x:formula1>
      <x:formula2>100</x:formula2>
    </x:dataValidation>
    <x:dataValidation type="decimal" errorStyle="stop" operator="between" allowBlank="1" showDropDown="0" showInputMessage="1" showErrorMessage="1" errorTitle="" error="" promptTitle="" prompt="" sqref="O308:O308">
      <x:formula1>0</x:formula1>
      <x:formula2>100</x:formula2>
    </x:dataValidation>
    <x:dataValidation type="list" errorStyle="stop" operator="between" allowBlank="1" showDropDown="0" showInputMessage="1" showErrorMessage="1" errorTitle="" error="" promptTitle="" prompt="" sqref="H309:H309">
      <x:formula1>'MasterData'!$B$1:$B$14</x:formula1>
      <x:formula2/>
    </x:dataValidation>
    <x:dataValidation type="list" errorStyle="stop" operator="between" allowBlank="1" showDropDown="0" showInputMessage="1" showErrorMessage="1" errorTitle="" error="" promptTitle="" prompt="" sqref="I309:I309">
      <x:formula1>'MasterData'!$E$2881:$E$2890</x:formula1>
      <x:formula2/>
    </x:dataValidation>
    <x:dataValidation type="decimal" errorStyle="stop" operator="greaterThanOrEqual" allowBlank="1" showDropDown="0" showInputMessage="1" showErrorMessage="1" errorTitle="" error="" promptTitle="" prompt="" sqref="K309:K309">
      <x:formula1>0</x:formula1>
      <x:formula2/>
    </x:dataValidation>
    <x:dataValidation type="decimal" errorStyle="stop" operator="between" allowBlank="1" showDropDown="0" showInputMessage="1" showErrorMessage="1" errorTitle="" error="" promptTitle="" prompt="" sqref="N309:N309">
      <x:formula1>0</x:formula1>
      <x:formula2>100</x:formula2>
    </x:dataValidation>
    <x:dataValidation type="decimal" errorStyle="stop" operator="between" allowBlank="1" showDropDown="0" showInputMessage="1" showErrorMessage="1" errorTitle="" error="" promptTitle="" prompt="" sqref="O309:O309">
      <x:formula1>0</x:formula1>
      <x:formula2>100</x:formula2>
    </x:dataValidation>
    <x:dataValidation type="list" errorStyle="stop" operator="between" allowBlank="1" showDropDown="0" showInputMessage="1" showErrorMessage="1" errorTitle="" error="" promptTitle="" prompt="" sqref="H310:H310">
      <x:formula1>'MasterData'!$B$1:$B$14</x:formula1>
      <x:formula2/>
    </x:dataValidation>
    <x:dataValidation type="list" errorStyle="stop" operator="between" allowBlank="1" showDropDown="0" showInputMessage="1" showErrorMessage="1" errorTitle="" error="" promptTitle="" prompt="" sqref="I310:I310">
      <x:formula1>'MasterData'!$E$2891:$E$2900</x:formula1>
      <x:formula2/>
    </x:dataValidation>
    <x:dataValidation type="decimal" errorStyle="stop" operator="greaterThanOrEqual" allowBlank="1" showDropDown="0" showInputMessage="1" showErrorMessage="1" errorTitle="" error="" promptTitle="" prompt="" sqref="K310:K310">
      <x:formula1>0</x:formula1>
      <x:formula2/>
    </x:dataValidation>
    <x:dataValidation type="decimal" errorStyle="stop" operator="between" allowBlank="1" showDropDown="0" showInputMessage="1" showErrorMessage="1" errorTitle="" error="" promptTitle="" prompt="" sqref="N310:N310">
      <x:formula1>0</x:formula1>
      <x:formula2>100</x:formula2>
    </x:dataValidation>
    <x:dataValidation type="decimal" errorStyle="stop" operator="between" allowBlank="1" showDropDown="0" showInputMessage="1" showErrorMessage="1" errorTitle="" error="" promptTitle="" prompt="" sqref="O310:O310">
      <x:formula1>0</x:formula1>
      <x:formula2>100</x:formula2>
    </x:dataValidation>
    <x:dataValidation type="list" errorStyle="stop" operator="between" allowBlank="1" showDropDown="0" showInputMessage="1" showErrorMessage="1" errorTitle="" error="" promptTitle="" prompt="" sqref="H311:H311">
      <x:formula1>'MasterData'!$B$1:$B$14</x:formula1>
      <x:formula2/>
    </x:dataValidation>
    <x:dataValidation type="list" errorStyle="stop" operator="between" allowBlank="1" showDropDown="0" showInputMessage="1" showErrorMessage="1" errorTitle="" error="" promptTitle="" prompt="" sqref="I311:I311">
      <x:formula1>'MasterData'!$E$2901:$E$2910</x:formula1>
      <x:formula2/>
    </x:dataValidation>
    <x:dataValidation type="decimal" errorStyle="stop" operator="greaterThanOrEqual" allowBlank="1" showDropDown="0" showInputMessage="1" showErrorMessage="1" errorTitle="" error="" promptTitle="" prompt="" sqref="K311:K311">
      <x:formula1>0</x:formula1>
      <x:formula2/>
    </x:dataValidation>
    <x:dataValidation type="decimal" errorStyle="stop" operator="between" allowBlank="1" showDropDown="0" showInputMessage="1" showErrorMessage="1" errorTitle="" error="" promptTitle="" prompt="" sqref="N311:N311">
      <x:formula1>0</x:formula1>
      <x:formula2>100</x:formula2>
    </x:dataValidation>
    <x:dataValidation type="decimal" errorStyle="stop" operator="between" allowBlank="1" showDropDown="0" showInputMessage="1" showErrorMessage="1" errorTitle="" error="" promptTitle="" prompt="" sqref="O311:O311">
      <x:formula1>0</x:formula1>
      <x:formula2>100</x:formula2>
    </x:dataValidation>
    <x:dataValidation type="list" errorStyle="stop" operator="between" allowBlank="1" showDropDown="0" showInputMessage="1" showErrorMessage="1" errorTitle="" error="" promptTitle="" prompt="" sqref="H312:H312">
      <x:formula1>'MasterData'!$B$1:$B$14</x:formula1>
      <x:formula2/>
    </x:dataValidation>
    <x:dataValidation type="list" errorStyle="stop" operator="between" allowBlank="1" showDropDown="0" showInputMessage="1" showErrorMessage="1" errorTitle="" error="" promptTitle="" prompt="" sqref="I312:I312">
      <x:formula1>'MasterData'!$E$2911:$E$2920</x:formula1>
      <x:formula2/>
    </x:dataValidation>
    <x:dataValidation type="decimal" errorStyle="stop" operator="greaterThanOrEqual" allowBlank="1" showDropDown="0" showInputMessage="1" showErrorMessage="1" errorTitle="" error="" promptTitle="" prompt="" sqref="K312:K312">
      <x:formula1>0</x:formula1>
      <x:formula2/>
    </x:dataValidation>
    <x:dataValidation type="decimal" errorStyle="stop" operator="between" allowBlank="1" showDropDown="0" showInputMessage="1" showErrorMessage="1" errorTitle="" error="" promptTitle="" prompt="" sqref="N312:N312">
      <x:formula1>0</x:formula1>
      <x:formula2>100</x:formula2>
    </x:dataValidation>
    <x:dataValidation type="decimal" errorStyle="stop" operator="between" allowBlank="1" showDropDown="0" showInputMessage="1" showErrorMessage="1" errorTitle="" error="" promptTitle="" prompt="" sqref="O312:O312">
      <x:formula1>0</x:formula1>
      <x:formula2>100</x:formula2>
    </x:dataValidation>
    <x:dataValidation type="list" errorStyle="stop" operator="between" allowBlank="1" showDropDown="0" showInputMessage="1" showErrorMessage="1" errorTitle="" error="" promptTitle="" prompt="" sqref="H313:H313">
      <x:formula1>'MasterData'!$B$1:$B$14</x:formula1>
      <x:formula2/>
    </x:dataValidation>
    <x:dataValidation type="list" errorStyle="stop" operator="between" allowBlank="1" showDropDown="0" showInputMessage="1" showErrorMessage="1" errorTitle="" error="" promptTitle="" prompt="" sqref="I313:I313">
      <x:formula1>'MasterData'!$E$2921:$E$2930</x:formula1>
      <x:formula2/>
    </x:dataValidation>
    <x:dataValidation type="decimal" errorStyle="stop" operator="greaterThanOrEqual" allowBlank="1" showDropDown="0" showInputMessage="1" showErrorMessage="1" errorTitle="" error="" promptTitle="" prompt="" sqref="K313:K313">
      <x:formula1>0</x:formula1>
      <x:formula2/>
    </x:dataValidation>
    <x:dataValidation type="decimal" errorStyle="stop" operator="between" allowBlank="1" showDropDown="0" showInputMessage="1" showErrorMessage="1" errorTitle="" error="" promptTitle="" prompt="" sqref="N313:N313">
      <x:formula1>0</x:formula1>
      <x:formula2>100</x:formula2>
    </x:dataValidation>
    <x:dataValidation type="decimal" errorStyle="stop" operator="between" allowBlank="1" showDropDown="0" showInputMessage="1" showErrorMessage="1" errorTitle="" error="" promptTitle="" prompt="" sqref="O313:O313">
      <x:formula1>0</x:formula1>
      <x:formula2>100</x:formula2>
    </x:dataValidation>
    <x:dataValidation type="list" errorStyle="stop" operator="between" allowBlank="1" showDropDown="0" showInputMessage="1" showErrorMessage="1" errorTitle="" error="" promptTitle="" prompt="" sqref="H314:H314">
      <x:formula1>'MasterData'!$B$1:$B$14</x:formula1>
      <x:formula2/>
    </x:dataValidation>
    <x:dataValidation type="list" errorStyle="stop" operator="between" allowBlank="1" showDropDown="0" showInputMessage="1" showErrorMessage="1" errorTitle="" error="" promptTitle="" prompt="" sqref="I314:I314">
      <x:formula1>'MasterData'!$E$2931:$E$2940</x:formula1>
      <x:formula2/>
    </x:dataValidation>
    <x:dataValidation type="decimal" errorStyle="stop" operator="greaterThanOrEqual" allowBlank="1" showDropDown="0" showInputMessage="1" showErrorMessage="1" errorTitle="" error="" promptTitle="" prompt="" sqref="K314:K314">
      <x:formula1>0</x:formula1>
      <x:formula2/>
    </x:dataValidation>
    <x:dataValidation type="decimal" errorStyle="stop" operator="between" allowBlank="1" showDropDown="0" showInputMessage="1" showErrorMessage="1" errorTitle="" error="" promptTitle="" prompt="" sqref="N314:N314">
      <x:formula1>0</x:formula1>
      <x:formula2>100</x:formula2>
    </x:dataValidation>
    <x:dataValidation type="decimal" errorStyle="stop" operator="between" allowBlank="1" showDropDown="0" showInputMessage="1" showErrorMessage="1" errorTitle="" error="" promptTitle="" prompt="" sqref="O314:O314">
      <x:formula1>0</x:formula1>
      <x:formula2>100</x:formula2>
    </x:dataValidation>
    <x:dataValidation type="list" errorStyle="stop" operator="between" allowBlank="1" showDropDown="0" showInputMessage="1" showErrorMessage="1" errorTitle="" error="" promptTitle="" prompt="" sqref="H315:H315">
      <x:formula1>'MasterData'!$B$1:$B$14</x:formula1>
      <x:formula2/>
    </x:dataValidation>
    <x:dataValidation type="list" errorStyle="stop" operator="between" allowBlank="1" showDropDown="0" showInputMessage="1" showErrorMessage="1" errorTitle="" error="" promptTitle="" prompt="" sqref="I315:I315">
      <x:formula1>'MasterData'!$E$2941:$E$2950</x:formula1>
      <x:formula2/>
    </x:dataValidation>
    <x:dataValidation type="decimal" errorStyle="stop" operator="greaterThanOrEqual" allowBlank="1" showDropDown="0" showInputMessage="1" showErrorMessage="1" errorTitle="" error="" promptTitle="" prompt="" sqref="K315:K315">
      <x:formula1>0</x:formula1>
      <x:formula2/>
    </x:dataValidation>
    <x:dataValidation type="decimal" errorStyle="stop" operator="between" allowBlank="1" showDropDown="0" showInputMessage="1" showErrorMessage="1" errorTitle="" error="" promptTitle="" prompt="" sqref="N315:N315">
      <x:formula1>0</x:formula1>
      <x:formula2>100</x:formula2>
    </x:dataValidation>
    <x:dataValidation type="decimal" errorStyle="stop" operator="between" allowBlank="1" showDropDown="0" showInputMessage="1" showErrorMessage="1" errorTitle="" error="" promptTitle="" prompt="" sqref="O315:O315">
      <x:formula1>0</x:formula1>
      <x:formula2>100</x:formula2>
    </x:dataValidation>
    <x:dataValidation type="list" errorStyle="stop" operator="between" allowBlank="1" showDropDown="0" showInputMessage="1" showErrorMessage="1" errorTitle="" error="" promptTitle="" prompt="" sqref="H316:H316">
      <x:formula1>'MasterData'!$B$1:$B$14</x:formula1>
      <x:formula2/>
    </x:dataValidation>
    <x:dataValidation type="list" errorStyle="stop" operator="between" allowBlank="1" showDropDown="0" showInputMessage="1" showErrorMessage="1" errorTitle="" error="" promptTitle="" prompt="" sqref="I316:I316">
      <x:formula1>'MasterData'!$E$2951:$E$2960</x:formula1>
      <x:formula2/>
    </x:dataValidation>
    <x:dataValidation type="decimal" errorStyle="stop" operator="greaterThanOrEqual" allowBlank="1" showDropDown="0" showInputMessage="1" showErrorMessage="1" errorTitle="" error="" promptTitle="" prompt="" sqref="K316:K316">
      <x:formula1>0</x:formula1>
      <x:formula2/>
    </x:dataValidation>
    <x:dataValidation type="decimal" errorStyle="stop" operator="between" allowBlank="1" showDropDown="0" showInputMessage="1" showErrorMessage="1" errorTitle="" error="" promptTitle="" prompt="" sqref="N316:N316">
      <x:formula1>0</x:formula1>
      <x:formula2>100</x:formula2>
    </x:dataValidation>
    <x:dataValidation type="decimal" errorStyle="stop" operator="between" allowBlank="1" showDropDown="0" showInputMessage="1" showErrorMessage="1" errorTitle="" error="" promptTitle="" prompt="" sqref="O316:O316">
      <x:formula1>0</x:formula1>
      <x:formula2>100</x:formula2>
    </x:dataValidation>
    <x:dataValidation type="list" errorStyle="stop" operator="between" allowBlank="1" showDropDown="0" showInputMessage="1" showErrorMessage="1" errorTitle="" error="" promptTitle="" prompt="" sqref="H317:H317">
      <x:formula1>'MasterData'!$B$1:$B$14</x:formula1>
      <x:formula2/>
    </x:dataValidation>
    <x:dataValidation type="list" errorStyle="stop" operator="between" allowBlank="1" showDropDown="0" showInputMessage="1" showErrorMessage="1" errorTitle="" error="" promptTitle="" prompt="" sqref="I317:I317">
      <x:formula1>'MasterData'!$E$2961:$E$2970</x:formula1>
      <x:formula2/>
    </x:dataValidation>
    <x:dataValidation type="decimal" errorStyle="stop" operator="greaterThanOrEqual" allowBlank="1" showDropDown="0" showInputMessage="1" showErrorMessage="1" errorTitle="" error="" promptTitle="" prompt="" sqref="K317:K317">
      <x:formula1>0</x:formula1>
      <x:formula2/>
    </x:dataValidation>
    <x:dataValidation type="decimal" errorStyle="stop" operator="between" allowBlank="1" showDropDown="0" showInputMessage="1" showErrorMessage="1" errorTitle="" error="" promptTitle="" prompt="" sqref="N317:N317">
      <x:formula1>0</x:formula1>
      <x:formula2>100</x:formula2>
    </x:dataValidation>
    <x:dataValidation type="decimal" errorStyle="stop" operator="between" allowBlank="1" showDropDown="0" showInputMessage="1" showErrorMessage="1" errorTitle="" error="" promptTitle="" prompt="" sqref="O317:O317">
      <x:formula1>0</x:formula1>
      <x:formula2>100</x:formula2>
    </x:dataValidation>
    <x:dataValidation type="list" errorStyle="stop" operator="between" allowBlank="1" showDropDown="0" showInputMessage="1" showErrorMessage="1" errorTitle="" error="" promptTitle="" prompt="" sqref="H318:H318">
      <x:formula1>'MasterData'!$B$1:$B$14</x:formula1>
      <x:formula2/>
    </x:dataValidation>
    <x:dataValidation type="list" errorStyle="stop" operator="between" allowBlank="1" showDropDown="0" showInputMessage="1" showErrorMessage="1" errorTitle="" error="" promptTitle="" prompt="" sqref="I318:I318">
      <x:formula1>'MasterData'!$E$2971:$E$2980</x:formula1>
      <x:formula2/>
    </x:dataValidation>
    <x:dataValidation type="decimal" errorStyle="stop" operator="greaterThanOrEqual" allowBlank="1" showDropDown="0" showInputMessage="1" showErrorMessage="1" errorTitle="" error="" promptTitle="" prompt="" sqref="K318:K318">
      <x:formula1>0</x:formula1>
      <x:formula2/>
    </x:dataValidation>
    <x:dataValidation type="decimal" errorStyle="stop" operator="between" allowBlank="1" showDropDown="0" showInputMessage="1" showErrorMessage="1" errorTitle="" error="" promptTitle="" prompt="" sqref="N318:N318">
      <x:formula1>0</x:formula1>
      <x:formula2>100</x:formula2>
    </x:dataValidation>
    <x:dataValidation type="decimal" errorStyle="stop" operator="between" allowBlank="1" showDropDown="0" showInputMessage="1" showErrorMessage="1" errorTitle="" error="" promptTitle="" prompt="" sqref="O318:O318">
      <x:formula1>0</x:formula1>
      <x:formula2>100</x:formula2>
    </x:dataValidation>
    <x:dataValidation type="list" errorStyle="stop" operator="between" allowBlank="1" showDropDown="0" showInputMessage="1" showErrorMessage="1" errorTitle="" error="" promptTitle="" prompt="" sqref="H319:H319">
      <x:formula1>'MasterData'!$B$1:$B$14</x:formula1>
      <x:formula2/>
    </x:dataValidation>
    <x:dataValidation type="list" errorStyle="stop" operator="between" allowBlank="1" showDropDown="0" showInputMessage="1" showErrorMessage="1" errorTitle="" error="" promptTitle="" prompt="" sqref="I319:I319">
      <x:formula1>'MasterData'!$E$2981:$E$2990</x:formula1>
      <x:formula2/>
    </x:dataValidation>
    <x:dataValidation type="decimal" errorStyle="stop" operator="greaterThanOrEqual" allowBlank="1" showDropDown="0" showInputMessage="1" showErrorMessage="1" errorTitle="" error="" promptTitle="" prompt="" sqref="K319:K319">
      <x:formula1>0</x:formula1>
      <x:formula2/>
    </x:dataValidation>
    <x:dataValidation type="decimal" errorStyle="stop" operator="between" allowBlank="1" showDropDown="0" showInputMessage="1" showErrorMessage="1" errorTitle="" error="" promptTitle="" prompt="" sqref="N319:N319">
      <x:formula1>0</x:formula1>
      <x:formula2>100</x:formula2>
    </x:dataValidation>
    <x:dataValidation type="decimal" errorStyle="stop" operator="between" allowBlank="1" showDropDown="0" showInputMessage="1" showErrorMessage="1" errorTitle="" error="" promptTitle="" prompt="" sqref="O319:O319">
      <x:formula1>0</x:formula1>
      <x:formula2>100</x:formula2>
    </x:dataValidation>
    <x:dataValidation type="list" errorStyle="stop" operator="between" allowBlank="1" showDropDown="0" showInputMessage="1" showErrorMessage="1" errorTitle="" error="" promptTitle="" prompt="" sqref="H320:H320">
      <x:formula1>'MasterData'!$B$1:$B$14</x:formula1>
      <x:formula2/>
    </x:dataValidation>
    <x:dataValidation type="list" errorStyle="stop" operator="between" allowBlank="1" showDropDown="0" showInputMessage="1" showErrorMessage="1" errorTitle="" error="" promptTitle="" prompt="" sqref="I320:I320">
      <x:formula1>'MasterData'!$E$2991:$E$3000</x:formula1>
      <x:formula2/>
    </x:dataValidation>
    <x:dataValidation type="decimal" errorStyle="stop" operator="greaterThanOrEqual" allowBlank="1" showDropDown="0" showInputMessage="1" showErrorMessage="1" errorTitle="" error="" promptTitle="" prompt="" sqref="K320:K320">
      <x:formula1>0</x:formula1>
      <x:formula2/>
    </x:dataValidation>
    <x:dataValidation type="decimal" errorStyle="stop" operator="between" allowBlank="1" showDropDown="0" showInputMessage="1" showErrorMessage="1" errorTitle="" error="" promptTitle="" prompt="" sqref="N320:N320">
      <x:formula1>0</x:formula1>
      <x:formula2>100</x:formula2>
    </x:dataValidation>
    <x:dataValidation type="decimal" errorStyle="stop" operator="between" allowBlank="1" showDropDown="0" showInputMessage="1" showErrorMessage="1" errorTitle="" error="" promptTitle="" prompt="" sqref="O320:O320">
      <x:formula1>0</x:formula1>
      <x:formula2>100</x:formula2>
    </x:dataValidation>
    <x:dataValidation type="list" errorStyle="stop" operator="between" allowBlank="1" showDropDown="0" showInputMessage="1" showErrorMessage="1" errorTitle="" error="" promptTitle="" prompt="" sqref="H321:H321">
      <x:formula1>'MasterData'!$B$1:$B$14</x:formula1>
      <x:formula2/>
    </x:dataValidation>
    <x:dataValidation type="list" errorStyle="stop" operator="between" allowBlank="1" showDropDown="0" showInputMessage="1" showErrorMessage="1" errorTitle="" error="" promptTitle="" prompt="" sqref="I321:I321">
      <x:formula1>'MasterData'!$E$3001:$E$3010</x:formula1>
      <x:formula2/>
    </x:dataValidation>
    <x:dataValidation type="decimal" errorStyle="stop" operator="greaterThanOrEqual" allowBlank="1" showDropDown="0" showInputMessage="1" showErrorMessage="1" errorTitle="" error="" promptTitle="" prompt="" sqref="K321:K321">
      <x:formula1>0</x:formula1>
      <x:formula2/>
    </x:dataValidation>
    <x:dataValidation type="decimal" errorStyle="stop" operator="between" allowBlank="1" showDropDown="0" showInputMessage="1" showErrorMessage="1" errorTitle="" error="" promptTitle="" prompt="" sqref="N321:N321">
      <x:formula1>0</x:formula1>
      <x:formula2>100</x:formula2>
    </x:dataValidation>
    <x:dataValidation type="decimal" errorStyle="stop" operator="between" allowBlank="1" showDropDown="0" showInputMessage="1" showErrorMessage="1" errorTitle="" error="" promptTitle="" prompt="" sqref="O321:O321">
      <x:formula1>0</x:formula1>
      <x:formula2>100</x:formula2>
    </x:dataValidation>
    <x:dataValidation type="list" errorStyle="stop" operator="between" allowBlank="1" showDropDown="0" showInputMessage="1" showErrorMessage="1" errorTitle="" error="" promptTitle="" prompt="" sqref="H322:H322">
      <x:formula1>'MasterData'!$B$1:$B$14</x:formula1>
      <x:formula2/>
    </x:dataValidation>
    <x:dataValidation type="list" errorStyle="stop" operator="between" allowBlank="1" showDropDown="0" showInputMessage="1" showErrorMessage="1" errorTitle="" error="" promptTitle="" prompt="" sqref="I322:I322">
      <x:formula1>'MasterData'!$E$3011:$E$3020</x:formula1>
      <x:formula2/>
    </x:dataValidation>
    <x:dataValidation type="decimal" errorStyle="stop" operator="greaterThanOrEqual" allowBlank="1" showDropDown="0" showInputMessage="1" showErrorMessage="1" errorTitle="" error="" promptTitle="" prompt="" sqref="K322:K322">
      <x:formula1>0</x:formula1>
      <x:formula2/>
    </x:dataValidation>
    <x:dataValidation type="decimal" errorStyle="stop" operator="between" allowBlank="1" showDropDown="0" showInputMessage="1" showErrorMessage="1" errorTitle="" error="" promptTitle="" prompt="" sqref="N322:N322">
      <x:formula1>0</x:formula1>
      <x:formula2>100</x:formula2>
    </x:dataValidation>
    <x:dataValidation type="decimal" errorStyle="stop" operator="between" allowBlank="1" showDropDown="0" showInputMessage="1" showErrorMessage="1" errorTitle="" error="" promptTitle="" prompt="" sqref="O322:O322">
      <x:formula1>0</x:formula1>
      <x:formula2>100</x:formula2>
    </x:dataValidation>
    <x:dataValidation type="list" errorStyle="stop" operator="between" allowBlank="1" showDropDown="0" showInputMessage="1" showErrorMessage="1" errorTitle="" error="" promptTitle="" prompt="" sqref="H323:H323">
      <x:formula1>'MasterData'!$B$1:$B$14</x:formula1>
      <x:formula2/>
    </x:dataValidation>
    <x:dataValidation type="list" errorStyle="stop" operator="between" allowBlank="1" showDropDown="0" showInputMessage="1" showErrorMessage="1" errorTitle="" error="" promptTitle="" prompt="" sqref="I323:I323">
      <x:formula1>'MasterData'!$E$3021:$E$3030</x:formula1>
      <x:formula2/>
    </x:dataValidation>
    <x:dataValidation type="decimal" errorStyle="stop" operator="greaterThanOrEqual" allowBlank="1" showDropDown="0" showInputMessage="1" showErrorMessage="1" errorTitle="" error="" promptTitle="" prompt="" sqref="K323:K323">
      <x:formula1>0</x:formula1>
      <x:formula2/>
    </x:dataValidation>
    <x:dataValidation type="decimal" errorStyle="stop" operator="between" allowBlank="1" showDropDown="0" showInputMessage="1" showErrorMessage="1" errorTitle="" error="" promptTitle="" prompt="" sqref="N323:N323">
      <x:formula1>0</x:formula1>
      <x:formula2>100</x:formula2>
    </x:dataValidation>
    <x:dataValidation type="decimal" errorStyle="stop" operator="between" allowBlank="1" showDropDown="0" showInputMessage="1" showErrorMessage="1" errorTitle="" error="" promptTitle="" prompt="" sqref="O323:O323">
      <x:formula1>0</x:formula1>
      <x:formula2>100</x:formula2>
    </x:dataValidation>
    <x:dataValidation type="list" errorStyle="stop" operator="between" allowBlank="1" showDropDown="0" showInputMessage="1" showErrorMessage="1" errorTitle="" error="" promptTitle="" prompt="" sqref="H324:H324">
      <x:formula1>'MasterData'!$B$1:$B$14</x:formula1>
      <x:formula2/>
    </x:dataValidation>
    <x:dataValidation type="list" errorStyle="stop" operator="between" allowBlank="1" showDropDown="0" showInputMessage="1" showErrorMessage="1" errorTitle="" error="" promptTitle="" prompt="" sqref="I324:I324">
      <x:formula1>'MasterData'!$E$3031:$E$3040</x:formula1>
      <x:formula2/>
    </x:dataValidation>
    <x:dataValidation type="decimal" errorStyle="stop" operator="greaterThanOrEqual" allowBlank="1" showDropDown="0" showInputMessage="1" showErrorMessage="1" errorTitle="" error="" promptTitle="" prompt="" sqref="K324:K324">
      <x:formula1>0</x:formula1>
      <x:formula2/>
    </x:dataValidation>
    <x:dataValidation type="decimal" errorStyle="stop" operator="between" allowBlank="1" showDropDown="0" showInputMessage="1" showErrorMessage="1" errorTitle="" error="" promptTitle="" prompt="" sqref="N324:N324">
      <x:formula1>0</x:formula1>
      <x:formula2>100</x:formula2>
    </x:dataValidation>
    <x:dataValidation type="decimal" errorStyle="stop" operator="between" allowBlank="1" showDropDown="0" showInputMessage="1" showErrorMessage="1" errorTitle="" error="" promptTitle="" prompt="" sqref="O324:O324">
      <x:formula1>0</x:formula1>
      <x:formula2>100</x:formula2>
    </x:dataValidation>
    <x:dataValidation type="list" errorStyle="stop" operator="between" allowBlank="1" showDropDown="0" showInputMessage="1" showErrorMessage="1" errorTitle="" error="" promptTitle="" prompt="" sqref="H325:H325">
      <x:formula1>'MasterData'!$B$1:$B$14</x:formula1>
      <x:formula2/>
    </x:dataValidation>
    <x:dataValidation type="list" errorStyle="stop" operator="between" allowBlank="1" showDropDown="0" showInputMessage="1" showErrorMessage="1" errorTitle="" error="" promptTitle="" prompt="" sqref="I325:I325">
      <x:formula1>'MasterData'!$E$3041:$E$3050</x:formula1>
      <x:formula2/>
    </x:dataValidation>
    <x:dataValidation type="decimal" errorStyle="stop" operator="greaterThanOrEqual" allowBlank="1" showDropDown="0" showInputMessage="1" showErrorMessage="1" errorTitle="" error="" promptTitle="" prompt="" sqref="K325:K325">
      <x:formula1>0</x:formula1>
      <x:formula2/>
    </x:dataValidation>
    <x:dataValidation type="decimal" errorStyle="stop" operator="between" allowBlank="1" showDropDown="0" showInputMessage="1" showErrorMessage="1" errorTitle="" error="" promptTitle="" prompt="" sqref="N325:N325">
      <x:formula1>0</x:formula1>
      <x:formula2>100</x:formula2>
    </x:dataValidation>
    <x:dataValidation type="decimal" errorStyle="stop" operator="between" allowBlank="1" showDropDown="0" showInputMessage="1" showErrorMessage="1" errorTitle="" error="" promptTitle="" prompt="" sqref="O325:O325">
      <x:formula1>0</x:formula1>
      <x:formula2>100</x:formula2>
    </x:dataValidation>
    <x:dataValidation type="list" errorStyle="stop" operator="between" allowBlank="1" showDropDown="0" showInputMessage="1" showErrorMessage="1" errorTitle="" error="" promptTitle="" prompt="" sqref="H326:H326">
      <x:formula1>'MasterData'!$B$1:$B$14</x:formula1>
      <x:formula2/>
    </x:dataValidation>
    <x:dataValidation type="list" errorStyle="stop" operator="between" allowBlank="1" showDropDown="0" showInputMessage="1" showErrorMessage="1" errorTitle="" error="" promptTitle="" prompt="" sqref="I326:I326">
      <x:formula1>'MasterData'!$E$3051:$E$3060</x:formula1>
      <x:formula2/>
    </x:dataValidation>
    <x:dataValidation type="decimal" errorStyle="stop" operator="greaterThanOrEqual" allowBlank="1" showDropDown="0" showInputMessage="1" showErrorMessage="1" errorTitle="" error="" promptTitle="" prompt="" sqref="K326:K326">
      <x:formula1>0</x:formula1>
      <x:formula2/>
    </x:dataValidation>
    <x:dataValidation type="decimal" errorStyle="stop" operator="between" allowBlank="1" showDropDown="0" showInputMessage="1" showErrorMessage="1" errorTitle="" error="" promptTitle="" prompt="" sqref="N326:N326">
      <x:formula1>0</x:formula1>
      <x:formula2>100</x:formula2>
    </x:dataValidation>
    <x:dataValidation type="decimal" errorStyle="stop" operator="between" allowBlank="1" showDropDown="0" showInputMessage="1" showErrorMessage="1" errorTitle="" error="" promptTitle="" prompt="" sqref="O326:O326">
      <x:formula1>0</x:formula1>
      <x:formula2>100</x:formula2>
    </x:dataValidation>
    <x:dataValidation type="list" errorStyle="stop" operator="between" allowBlank="1" showDropDown="0" showInputMessage="1" showErrorMessage="1" errorTitle="" error="" promptTitle="" prompt="" sqref="H327:H327">
      <x:formula1>'MasterData'!$B$1:$B$14</x:formula1>
      <x:formula2/>
    </x:dataValidation>
    <x:dataValidation type="list" errorStyle="stop" operator="between" allowBlank="1" showDropDown="0" showInputMessage="1" showErrorMessage="1" errorTitle="" error="" promptTitle="" prompt="" sqref="I327:I327">
      <x:formula1>'MasterData'!$E$3061:$E$3070</x:formula1>
      <x:formula2/>
    </x:dataValidation>
    <x:dataValidation type="decimal" errorStyle="stop" operator="greaterThanOrEqual" allowBlank="1" showDropDown="0" showInputMessage="1" showErrorMessage="1" errorTitle="" error="" promptTitle="" prompt="" sqref="K327:K327">
      <x:formula1>0</x:formula1>
      <x:formula2/>
    </x:dataValidation>
    <x:dataValidation type="decimal" errorStyle="stop" operator="between" allowBlank="1" showDropDown="0" showInputMessage="1" showErrorMessage="1" errorTitle="" error="" promptTitle="" prompt="" sqref="N327:N327">
      <x:formula1>0</x:formula1>
      <x:formula2>100</x:formula2>
    </x:dataValidation>
    <x:dataValidation type="decimal" errorStyle="stop" operator="between" allowBlank="1" showDropDown="0" showInputMessage="1" showErrorMessage="1" errorTitle="" error="" promptTitle="" prompt="" sqref="O327:O327">
      <x:formula1>0</x:formula1>
      <x:formula2>100</x:formula2>
    </x:dataValidation>
    <x:dataValidation type="list" errorStyle="stop" operator="between" allowBlank="1" showDropDown="0" showInputMessage="1" showErrorMessage="1" errorTitle="" error="" promptTitle="" prompt="" sqref="H328:H328">
      <x:formula1>'MasterData'!$B$1:$B$14</x:formula1>
      <x:formula2/>
    </x:dataValidation>
    <x:dataValidation type="list" errorStyle="stop" operator="between" allowBlank="1" showDropDown="0" showInputMessage="1" showErrorMessage="1" errorTitle="" error="" promptTitle="" prompt="" sqref="I328:I328">
      <x:formula1>'MasterData'!$E$3071:$E$3080</x:formula1>
      <x:formula2/>
    </x:dataValidation>
    <x:dataValidation type="decimal" errorStyle="stop" operator="greaterThanOrEqual" allowBlank="1" showDropDown="0" showInputMessage="1" showErrorMessage="1" errorTitle="" error="" promptTitle="" prompt="" sqref="K328:K328">
      <x:formula1>0</x:formula1>
      <x:formula2/>
    </x:dataValidation>
    <x:dataValidation type="decimal" errorStyle="stop" operator="between" allowBlank="1" showDropDown="0" showInputMessage="1" showErrorMessage="1" errorTitle="" error="" promptTitle="" prompt="" sqref="N328:N328">
      <x:formula1>0</x:formula1>
      <x:formula2>100</x:formula2>
    </x:dataValidation>
    <x:dataValidation type="decimal" errorStyle="stop" operator="between" allowBlank="1" showDropDown="0" showInputMessage="1" showErrorMessage="1" errorTitle="" error="" promptTitle="" prompt="" sqref="O328:O328">
      <x:formula1>0</x:formula1>
      <x:formula2>100</x:formula2>
    </x:dataValidation>
    <x:dataValidation type="list" errorStyle="stop" operator="between" allowBlank="1" showDropDown="0" showInputMessage="1" showErrorMessage="1" errorTitle="" error="" promptTitle="" prompt="" sqref="H329:H329">
      <x:formula1>'MasterData'!$B$1:$B$14</x:formula1>
      <x:formula2/>
    </x:dataValidation>
    <x:dataValidation type="list" errorStyle="stop" operator="between" allowBlank="1" showDropDown="0" showInputMessage="1" showErrorMessage="1" errorTitle="" error="" promptTitle="" prompt="" sqref="I329:I329">
      <x:formula1>'MasterData'!$E$3081:$E$3090</x:formula1>
      <x:formula2/>
    </x:dataValidation>
    <x:dataValidation type="decimal" errorStyle="stop" operator="greaterThanOrEqual" allowBlank="1" showDropDown="0" showInputMessage="1" showErrorMessage="1" errorTitle="" error="" promptTitle="" prompt="" sqref="K329:K329">
      <x:formula1>0</x:formula1>
      <x:formula2/>
    </x:dataValidation>
    <x:dataValidation type="decimal" errorStyle="stop" operator="between" allowBlank="1" showDropDown="0" showInputMessage="1" showErrorMessage="1" errorTitle="" error="" promptTitle="" prompt="" sqref="N329:N329">
      <x:formula1>0</x:formula1>
      <x:formula2>100</x:formula2>
    </x:dataValidation>
    <x:dataValidation type="decimal" errorStyle="stop" operator="between" allowBlank="1" showDropDown="0" showInputMessage="1" showErrorMessage="1" errorTitle="" error="" promptTitle="" prompt="" sqref="O329:O329">
      <x:formula1>0</x:formula1>
      <x:formula2>100</x:formula2>
    </x:dataValidation>
    <x:dataValidation type="list" errorStyle="stop" operator="between" allowBlank="1" showDropDown="0" showInputMessage="1" showErrorMessage="1" errorTitle="" error="" promptTitle="" prompt="" sqref="H330:H330">
      <x:formula1>'MasterData'!$B$1:$B$14</x:formula1>
      <x:formula2/>
    </x:dataValidation>
    <x:dataValidation type="list" errorStyle="stop" operator="between" allowBlank="1" showDropDown="0" showInputMessage="1" showErrorMessage="1" errorTitle="" error="" promptTitle="" prompt="" sqref="I330:I330">
      <x:formula1>'MasterData'!$E$3091:$E$3100</x:formula1>
      <x:formula2/>
    </x:dataValidation>
    <x:dataValidation type="decimal" errorStyle="stop" operator="greaterThanOrEqual" allowBlank="1" showDropDown="0" showInputMessage="1" showErrorMessage="1" errorTitle="" error="" promptTitle="" prompt="" sqref="K330:K330">
      <x:formula1>0</x:formula1>
      <x:formula2/>
    </x:dataValidation>
    <x:dataValidation type="decimal" errorStyle="stop" operator="between" allowBlank="1" showDropDown="0" showInputMessage="1" showErrorMessage="1" errorTitle="" error="" promptTitle="" prompt="" sqref="N330:N330">
      <x:formula1>0</x:formula1>
      <x:formula2>100</x:formula2>
    </x:dataValidation>
    <x:dataValidation type="decimal" errorStyle="stop" operator="between" allowBlank="1" showDropDown="0" showInputMessage="1" showErrorMessage="1" errorTitle="" error="" promptTitle="" prompt="" sqref="O330:O330">
      <x:formula1>0</x:formula1>
      <x:formula2>100</x:formula2>
    </x:dataValidation>
    <x:dataValidation type="list" errorStyle="stop" operator="between" allowBlank="1" showDropDown="0" showInputMessage="1" showErrorMessage="1" errorTitle="" error="" promptTitle="" prompt="" sqref="H331:H331">
      <x:formula1>'MasterData'!$B$1:$B$14</x:formula1>
      <x:formula2/>
    </x:dataValidation>
    <x:dataValidation type="list" errorStyle="stop" operator="between" allowBlank="1" showDropDown="0" showInputMessage="1" showErrorMessage="1" errorTitle="" error="" promptTitle="" prompt="" sqref="I331:I331">
      <x:formula1>'MasterData'!$E$3101:$E$3110</x:formula1>
      <x:formula2/>
    </x:dataValidation>
    <x:dataValidation type="decimal" errorStyle="stop" operator="greaterThanOrEqual" allowBlank="1" showDropDown="0" showInputMessage="1" showErrorMessage="1" errorTitle="" error="" promptTitle="" prompt="" sqref="K331:K331">
      <x:formula1>0</x:formula1>
      <x:formula2/>
    </x:dataValidation>
    <x:dataValidation type="decimal" errorStyle="stop" operator="between" allowBlank="1" showDropDown="0" showInputMessage="1" showErrorMessage="1" errorTitle="" error="" promptTitle="" prompt="" sqref="N331:N331">
      <x:formula1>0</x:formula1>
      <x:formula2>100</x:formula2>
    </x:dataValidation>
    <x:dataValidation type="decimal" errorStyle="stop" operator="between" allowBlank="1" showDropDown="0" showInputMessage="1" showErrorMessage="1" errorTitle="" error="" promptTitle="" prompt="" sqref="O331:O331">
      <x:formula1>0</x:formula1>
      <x:formula2>100</x:formula2>
    </x:dataValidation>
    <x:dataValidation type="list" errorStyle="stop" operator="between" allowBlank="1" showDropDown="0" showInputMessage="1" showErrorMessage="1" errorTitle="" error="" promptTitle="" prompt="" sqref="H332:H332">
      <x:formula1>'MasterData'!$B$1:$B$14</x:formula1>
      <x:formula2/>
    </x:dataValidation>
    <x:dataValidation type="list" errorStyle="stop" operator="between" allowBlank="1" showDropDown="0" showInputMessage="1" showErrorMessage="1" errorTitle="" error="" promptTitle="" prompt="" sqref="I332:I332">
      <x:formula1>'MasterData'!$E$3111:$E$3120</x:formula1>
      <x:formula2/>
    </x:dataValidation>
    <x:dataValidation type="decimal" errorStyle="stop" operator="greaterThanOrEqual" allowBlank="1" showDropDown="0" showInputMessage="1" showErrorMessage="1" errorTitle="" error="" promptTitle="" prompt="" sqref="K332:K332">
      <x:formula1>0</x:formula1>
      <x:formula2/>
    </x:dataValidation>
    <x:dataValidation type="decimal" errorStyle="stop" operator="between" allowBlank="1" showDropDown="0" showInputMessage="1" showErrorMessage="1" errorTitle="" error="" promptTitle="" prompt="" sqref="N332:N332">
      <x:formula1>0</x:formula1>
      <x:formula2>100</x:formula2>
    </x:dataValidation>
    <x:dataValidation type="decimal" errorStyle="stop" operator="between" allowBlank="1" showDropDown="0" showInputMessage="1" showErrorMessage="1" errorTitle="" error="" promptTitle="" prompt="" sqref="O332:O332">
      <x:formula1>0</x:formula1>
      <x:formula2>100</x:formula2>
    </x:dataValidation>
    <x:dataValidation type="list" errorStyle="stop" operator="between" allowBlank="1" showDropDown="0" showInputMessage="1" showErrorMessage="1" errorTitle="" error="" promptTitle="" prompt="" sqref="H333:H333">
      <x:formula1>'MasterData'!$B$1:$B$14</x:formula1>
      <x:formula2/>
    </x:dataValidation>
    <x:dataValidation type="list" errorStyle="stop" operator="between" allowBlank="1" showDropDown="0" showInputMessage="1" showErrorMessage="1" errorTitle="" error="" promptTitle="" prompt="" sqref="I333:I333">
      <x:formula1>'MasterData'!$E$3121:$E$3130</x:formula1>
      <x:formula2/>
    </x:dataValidation>
    <x:dataValidation type="decimal" errorStyle="stop" operator="greaterThanOrEqual" allowBlank="1" showDropDown="0" showInputMessage="1" showErrorMessage="1" errorTitle="" error="" promptTitle="" prompt="" sqref="K333:K333">
      <x:formula1>0</x:formula1>
      <x:formula2/>
    </x:dataValidation>
    <x:dataValidation type="decimal" errorStyle="stop" operator="between" allowBlank="1" showDropDown="0" showInputMessage="1" showErrorMessage="1" errorTitle="" error="" promptTitle="" prompt="" sqref="N333:N333">
      <x:formula1>0</x:formula1>
      <x:formula2>100</x:formula2>
    </x:dataValidation>
    <x:dataValidation type="decimal" errorStyle="stop" operator="between" allowBlank="1" showDropDown="0" showInputMessage="1" showErrorMessage="1" errorTitle="" error="" promptTitle="" prompt="" sqref="O333:O333">
      <x:formula1>0</x:formula1>
      <x:formula2>100</x:formula2>
    </x:dataValidation>
    <x:dataValidation type="list" errorStyle="stop" operator="between" allowBlank="1" showDropDown="0" showInputMessage="1" showErrorMessage="1" errorTitle="" error="" promptTitle="" prompt="" sqref="H334:H334">
      <x:formula1>'MasterData'!$B$1:$B$14</x:formula1>
      <x:formula2/>
    </x:dataValidation>
    <x:dataValidation type="list" errorStyle="stop" operator="between" allowBlank="1" showDropDown="0" showInputMessage="1" showErrorMessage="1" errorTitle="" error="" promptTitle="" prompt="" sqref="I334:I334">
      <x:formula1>'MasterData'!$E$3131:$E$3140</x:formula1>
      <x:formula2/>
    </x:dataValidation>
    <x:dataValidation type="decimal" errorStyle="stop" operator="greaterThanOrEqual" allowBlank="1" showDropDown="0" showInputMessage="1" showErrorMessage="1" errorTitle="" error="" promptTitle="" prompt="" sqref="K334:K334">
      <x:formula1>0</x:formula1>
      <x:formula2/>
    </x:dataValidation>
    <x:dataValidation type="decimal" errorStyle="stop" operator="between" allowBlank="1" showDropDown="0" showInputMessage="1" showErrorMessage="1" errorTitle="" error="" promptTitle="" prompt="" sqref="N334:N334">
      <x:formula1>0</x:formula1>
      <x:formula2>100</x:formula2>
    </x:dataValidation>
    <x:dataValidation type="decimal" errorStyle="stop" operator="between" allowBlank="1" showDropDown="0" showInputMessage="1" showErrorMessage="1" errorTitle="" error="" promptTitle="" prompt="" sqref="O334:O334">
      <x:formula1>0</x:formula1>
      <x:formula2>100</x:formula2>
    </x:dataValidation>
    <x:dataValidation type="list" errorStyle="stop" operator="between" allowBlank="1" showDropDown="0" showInputMessage="1" showErrorMessage="1" errorTitle="" error="" promptTitle="" prompt="" sqref="H335:H335">
      <x:formula1>'MasterData'!$B$1:$B$14</x:formula1>
      <x:formula2/>
    </x:dataValidation>
    <x:dataValidation type="list" errorStyle="stop" operator="between" allowBlank="1" showDropDown="0" showInputMessage="1" showErrorMessage="1" errorTitle="" error="" promptTitle="" prompt="" sqref="I335:I335">
      <x:formula1>'MasterData'!$E$3141:$E$3150</x:formula1>
      <x:formula2/>
    </x:dataValidation>
    <x:dataValidation type="decimal" errorStyle="stop" operator="greaterThanOrEqual" allowBlank="1" showDropDown="0" showInputMessage="1" showErrorMessage="1" errorTitle="" error="" promptTitle="" prompt="" sqref="K335:K335">
      <x:formula1>0</x:formula1>
      <x:formula2/>
    </x:dataValidation>
    <x:dataValidation type="decimal" errorStyle="stop" operator="between" allowBlank="1" showDropDown="0" showInputMessage="1" showErrorMessage="1" errorTitle="" error="" promptTitle="" prompt="" sqref="N335:N335">
      <x:formula1>0</x:formula1>
      <x:formula2>100</x:formula2>
    </x:dataValidation>
    <x:dataValidation type="decimal" errorStyle="stop" operator="between" allowBlank="1" showDropDown="0" showInputMessage="1" showErrorMessage="1" errorTitle="" error="" promptTitle="" prompt="" sqref="O335:O335">
      <x:formula1>0</x:formula1>
      <x:formula2>100</x:formula2>
    </x:dataValidation>
    <x:dataValidation type="list" errorStyle="stop" operator="between" allowBlank="1" showDropDown="0" showInputMessage="1" showErrorMessage="1" errorTitle="" error="" promptTitle="" prompt="" sqref="H336:H336">
      <x:formula1>'MasterData'!$B$1:$B$14</x:formula1>
      <x:formula2/>
    </x:dataValidation>
    <x:dataValidation type="list" errorStyle="stop" operator="between" allowBlank="1" showDropDown="0" showInputMessage="1" showErrorMessage="1" errorTitle="" error="" promptTitle="" prompt="" sqref="I336:I336">
      <x:formula1>'MasterData'!$E$3151:$E$3160</x:formula1>
      <x:formula2/>
    </x:dataValidation>
    <x:dataValidation type="decimal" errorStyle="stop" operator="greaterThanOrEqual" allowBlank="1" showDropDown="0" showInputMessage="1" showErrorMessage="1" errorTitle="" error="" promptTitle="" prompt="" sqref="K336:K336">
      <x:formula1>0</x:formula1>
      <x:formula2/>
    </x:dataValidation>
    <x:dataValidation type="decimal" errorStyle="stop" operator="between" allowBlank="1" showDropDown="0" showInputMessage="1" showErrorMessage="1" errorTitle="" error="" promptTitle="" prompt="" sqref="N336:N336">
      <x:formula1>0</x:formula1>
      <x:formula2>100</x:formula2>
    </x:dataValidation>
    <x:dataValidation type="decimal" errorStyle="stop" operator="between" allowBlank="1" showDropDown="0" showInputMessage="1" showErrorMessage="1" errorTitle="" error="" promptTitle="" prompt="" sqref="O336:O336">
      <x:formula1>0</x:formula1>
      <x:formula2>100</x:formula2>
    </x:dataValidation>
    <x:dataValidation type="list" errorStyle="stop" operator="between" allowBlank="1" showDropDown="0" showInputMessage="1" showErrorMessage="1" errorTitle="" error="" promptTitle="" prompt="" sqref="H337:H337">
      <x:formula1>'MasterData'!$B$1:$B$14</x:formula1>
      <x:formula2/>
    </x:dataValidation>
    <x:dataValidation type="list" errorStyle="stop" operator="between" allowBlank="1" showDropDown="0" showInputMessage="1" showErrorMessage="1" errorTitle="" error="" promptTitle="" prompt="" sqref="I337:I337">
      <x:formula1>'MasterData'!$E$3161:$E$3170</x:formula1>
      <x:formula2/>
    </x:dataValidation>
    <x:dataValidation type="decimal" errorStyle="stop" operator="greaterThanOrEqual" allowBlank="1" showDropDown="0" showInputMessage="1" showErrorMessage="1" errorTitle="" error="" promptTitle="" prompt="" sqref="K337:K337">
      <x:formula1>0</x:formula1>
      <x:formula2/>
    </x:dataValidation>
    <x:dataValidation type="decimal" errorStyle="stop" operator="between" allowBlank="1" showDropDown="0" showInputMessage="1" showErrorMessage="1" errorTitle="" error="" promptTitle="" prompt="" sqref="N337:N337">
      <x:formula1>0</x:formula1>
      <x:formula2>100</x:formula2>
    </x:dataValidation>
    <x:dataValidation type="decimal" errorStyle="stop" operator="between" allowBlank="1" showDropDown="0" showInputMessage="1" showErrorMessage="1" errorTitle="" error="" promptTitle="" prompt="" sqref="O337:O337">
      <x:formula1>0</x:formula1>
      <x:formula2>100</x:formula2>
    </x:dataValidation>
    <x:dataValidation type="list" errorStyle="stop" operator="between" allowBlank="1" showDropDown="0" showInputMessage="1" showErrorMessage="1" errorTitle="" error="" promptTitle="" prompt="" sqref="H338:H338">
      <x:formula1>'MasterData'!$B$1:$B$14</x:formula1>
      <x:formula2/>
    </x:dataValidation>
    <x:dataValidation type="list" errorStyle="stop" operator="between" allowBlank="1" showDropDown="0" showInputMessage="1" showErrorMessage="1" errorTitle="" error="" promptTitle="" prompt="" sqref="I338:I338">
      <x:formula1>'MasterData'!$E$3171:$E$3180</x:formula1>
      <x:formula2/>
    </x:dataValidation>
    <x:dataValidation type="decimal" errorStyle="stop" operator="greaterThanOrEqual" allowBlank="1" showDropDown="0" showInputMessage="1" showErrorMessage="1" errorTitle="" error="" promptTitle="" prompt="" sqref="K338:K338">
      <x:formula1>0</x:formula1>
      <x:formula2/>
    </x:dataValidation>
    <x:dataValidation type="decimal" errorStyle="stop" operator="between" allowBlank="1" showDropDown="0" showInputMessage="1" showErrorMessage="1" errorTitle="" error="" promptTitle="" prompt="" sqref="N338:N338">
      <x:formula1>0</x:formula1>
      <x:formula2>100</x:formula2>
    </x:dataValidation>
    <x:dataValidation type="decimal" errorStyle="stop" operator="between" allowBlank="1" showDropDown="0" showInputMessage="1" showErrorMessage="1" errorTitle="" error="" promptTitle="" prompt="" sqref="O338:O338">
      <x:formula1>0</x:formula1>
      <x:formula2>100</x:formula2>
    </x:dataValidation>
    <x:dataValidation type="list" errorStyle="stop" operator="between" allowBlank="1" showDropDown="0" showInputMessage="1" showErrorMessage="1" errorTitle="" error="" promptTitle="" prompt="" sqref="H339:H339">
      <x:formula1>'MasterData'!$B$1:$B$14</x:formula1>
      <x:formula2/>
    </x:dataValidation>
    <x:dataValidation type="list" errorStyle="stop" operator="between" allowBlank="1" showDropDown="0" showInputMessage="1" showErrorMessage="1" errorTitle="" error="" promptTitle="" prompt="" sqref="I339:I339">
      <x:formula1>'MasterData'!$E$3181:$E$3190</x:formula1>
      <x:formula2/>
    </x:dataValidation>
    <x:dataValidation type="decimal" errorStyle="stop" operator="greaterThanOrEqual" allowBlank="1" showDropDown="0" showInputMessage="1" showErrorMessage="1" errorTitle="" error="" promptTitle="" prompt="" sqref="K339:K339">
      <x:formula1>0</x:formula1>
      <x:formula2/>
    </x:dataValidation>
    <x:dataValidation type="decimal" errorStyle="stop" operator="between" allowBlank="1" showDropDown="0" showInputMessage="1" showErrorMessage="1" errorTitle="" error="" promptTitle="" prompt="" sqref="N339:N339">
      <x:formula1>0</x:formula1>
      <x:formula2>100</x:formula2>
    </x:dataValidation>
    <x:dataValidation type="decimal" errorStyle="stop" operator="between" allowBlank="1" showDropDown="0" showInputMessage="1" showErrorMessage="1" errorTitle="" error="" promptTitle="" prompt="" sqref="O339:O339">
      <x:formula1>0</x:formula1>
      <x:formula2>100</x:formula2>
    </x:dataValidation>
    <x:dataValidation type="list" errorStyle="stop" operator="between" allowBlank="1" showDropDown="0" showInputMessage="1" showErrorMessage="1" errorTitle="" error="" promptTitle="" prompt="" sqref="H340:H340">
      <x:formula1>'MasterData'!$B$1:$B$14</x:formula1>
      <x:formula2/>
    </x:dataValidation>
    <x:dataValidation type="list" errorStyle="stop" operator="between" allowBlank="1" showDropDown="0" showInputMessage="1" showErrorMessage="1" errorTitle="" error="" promptTitle="" prompt="" sqref="I340:I340">
      <x:formula1>'MasterData'!$E$3191:$E$3200</x:formula1>
      <x:formula2/>
    </x:dataValidation>
    <x:dataValidation type="decimal" errorStyle="stop" operator="greaterThanOrEqual" allowBlank="1" showDropDown="0" showInputMessage="1" showErrorMessage="1" errorTitle="" error="" promptTitle="" prompt="" sqref="K340:K340">
      <x:formula1>0</x:formula1>
      <x:formula2/>
    </x:dataValidation>
    <x:dataValidation type="decimal" errorStyle="stop" operator="between" allowBlank="1" showDropDown="0" showInputMessage="1" showErrorMessage="1" errorTitle="" error="" promptTitle="" prompt="" sqref="N340:N340">
      <x:formula1>0</x:formula1>
      <x:formula2>100</x:formula2>
    </x:dataValidation>
    <x:dataValidation type="decimal" errorStyle="stop" operator="between" allowBlank="1" showDropDown="0" showInputMessage="1" showErrorMessage="1" errorTitle="" error="" promptTitle="" prompt="" sqref="O340:O340">
      <x:formula1>0</x:formula1>
      <x:formula2>100</x:formula2>
    </x:dataValidation>
    <x:dataValidation type="list" errorStyle="stop" operator="between" allowBlank="1" showDropDown="0" showInputMessage="1" showErrorMessage="1" errorTitle="" error="" promptTitle="" prompt="" sqref="H341:H341">
      <x:formula1>'MasterData'!$B$1:$B$14</x:formula1>
      <x:formula2/>
    </x:dataValidation>
    <x:dataValidation type="list" errorStyle="stop" operator="between" allowBlank="1" showDropDown="0" showInputMessage="1" showErrorMessage="1" errorTitle="" error="" promptTitle="" prompt="" sqref="I341:I341">
      <x:formula1>'MasterData'!$E$3201:$E$3210</x:formula1>
      <x:formula2/>
    </x:dataValidation>
    <x:dataValidation type="decimal" errorStyle="stop" operator="greaterThanOrEqual" allowBlank="1" showDropDown="0" showInputMessage="1" showErrorMessage="1" errorTitle="" error="" promptTitle="" prompt="" sqref="K341:K341">
      <x:formula1>0</x:formula1>
      <x:formula2/>
    </x:dataValidation>
    <x:dataValidation type="decimal" errorStyle="stop" operator="between" allowBlank="1" showDropDown="0" showInputMessage="1" showErrorMessage="1" errorTitle="" error="" promptTitle="" prompt="" sqref="N341:N341">
      <x:formula1>0</x:formula1>
      <x:formula2>100</x:formula2>
    </x:dataValidation>
    <x:dataValidation type="decimal" errorStyle="stop" operator="between" allowBlank="1" showDropDown="0" showInputMessage="1" showErrorMessage="1" errorTitle="" error="" promptTitle="" prompt="" sqref="O341:O341">
      <x:formula1>0</x:formula1>
      <x:formula2>100</x:formula2>
    </x:dataValidation>
    <x:dataValidation type="list" errorStyle="stop" operator="between" allowBlank="1" showDropDown="0" showInputMessage="1" showErrorMessage="1" errorTitle="" error="" promptTitle="" prompt="" sqref="H342:H342">
      <x:formula1>'MasterData'!$B$1:$B$14</x:formula1>
      <x:formula2/>
    </x:dataValidation>
    <x:dataValidation type="list" errorStyle="stop" operator="between" allowBlank="1" showDropDown="0" showInputMessage="1" showErrorMessage="1" errorTitle="" error="" promptTitle="" prompt="" sqref="I342:I342">
      <x:formula1>'MasterData'!$E$3211:$E$3220</x:formula1>
      <x:formula2/>
    </x:dataValidation>
    <x:dataValidation type="decimal" errorStyle="stop" operator="greaterThanOrEqual" allowBlank="1" showDropDown="0" showInputMessage="1" showErrorMessage="1" errorTitle="" error="" promptTitle="" prompt="" sqref="K342:K342">
      <x:formula1>0</x:formula1>
      <x:formula2/>
    </x:dataValidation>
    <x:dataValidation type="decimal" errorStyle="stop" operator="between" allowBlank="1" showDropDown="0" showInputMessage="1" showErrorMessage="1" errorTitle="" error="" promptTitle="" prompt="" sqref="N342:N342">
      <x:formula1>0</x:formula1>
      <x:formula2>100</x:formula2>
    </x:dataValidation>
    <x:dataValidation type="decimal" errorStyle="stop" operator="between" allowBlank="1" showDropDown="0" showInputMessage="1" showErrorMessage="1" errorTitle="" error="" promptTitle="" prompt="" sqref="O342:O342">
      <x:formula1>0</x:formula1>
      <x:formula2>100</x:formula2>
    </x:dataValidation>
    <x:dataValidation type="list" errorStyle="stop" operator="between" allowBlank="1" showDropDown="0" showInputMessage="1" showErrorMessage="1" errorTitle="" error="" promptTitle="" prompt="" sqref="H343:H343">
      <x:formula1>'MasterData'!$B$1:$B$14</x:formula1>
      <x:formula2/>
    </x:dataValidation>
    <x:dataValidation type="list" errorStyle="stop" operator="between" allowBlank="1" showDropDown="0" showInputMessage="1" showErrorMessage="1" errorTitle="" error="" promptTitle="" prompt="" sqref="I343:I343">
      <x:formula1>'MasterData'!$E$3221:$E$3230</x:formula1>
      <x:formula2/>
    </x:dataValidation>
    <x:dataValidation type="decimal" errorStyle="stop" operator="greaterThanOrEqual" allowBlank="1" showDropDown="0" showInputMessage="1" showErrorMessage="1" errorTitle="" error="" promptTitle="" prompt="" sqref="K343:K343">
      <x:formula1>0</x:formula1>
      <x:formula2/>
    </x:dataValidation>
    <x:dataValidation type="decimal" errorStyle="stop" operator="between" allowBlank="1" showDropDown="0" showInputMessage="1" showErrorMessage="1" errorTitle="" error="" promptTitle="" prompt="" sqref="N343:N343">
      <x:formula1>0</x:formula1>
      <x:formula2>100</x:formula2>
    </x:dataValidation>
    <x:dataValidation type="decimal" errorStyle="stop" operator="between" allowBlank="1" showDropDown="0" showInputMessage="1" showErrorMessage="1" errorTitle="" error="" promptTitle="" prompt="" sqref="O343:O343">
      <x:formula1>0</x:formula1>
      <x:formula2>100</x:formula2>
    </x:dataValidation>
    <x:dataValidation type="list" errorStyle="stop" operator="between" allowBlank="1" showDropDown="0" showInputMessage="1" showErrorMessage="1" errorTitle="" error="" promptTitle="" prompt="" sqref="H344:H344">
      <x:formula1>'MasterData'!$B$1:$B$14</x:formula1>
      <x:formula2/>
    </x:dataValidation>
    <x:dataValidation type="list" errorStyle="stop" operator="between" allowBlank="1" showDropDown="0" showInputMessage="1" showErrorMessage="1" errorTitle="" error="" promptTitle="" prompt="" sqref="I344:I344">
      <x:formula1>'MasterData'!$E$3231:$E$3240</x:formula1>
      <x:formula2/>
    </x:dataValidation>
    <x:dataValidation type="decimal" errorStyle="stop" operator="greaterThanOrEqual" allowBlank="1" showDropDown="0" showInputMessage="1" showErrorMessage="1" errorTitle="" error="" promptTitle="" prompt="" sqref="K344:K344">
      <x:formula1>0</x:formula1>
      <x:formula2/>
    </x:dataValidation>
    <x:dataValidation type="decimal" errorStyle="stop" operator="between" allowBlank="1" showDropDown="0" showInputMessage="1" showErrorMessage="1" errorTitle="" error="" promptTitle="" prompt="" sqref="N344:N344">
      <x:formula1>0</x:formula1>
      <x:formula2>100</x:formula2>
    </x:dataValidation>
    <x:dataValidation type="decimal" errorStyle="stop" operator="between" allowBlank="1" showDropDown="0" showInputMessage="1" showErrorMessage="1" errorTitle="" error="" promptTitle="" prompt="" sqref="O344:O344">
      <x:formula1>0</x:formula1>
      <x:formula2>100</x:formula2>
    </x:dataValidation>
    <x:dataValidation type="list" errorStyle="stop" operator="between" allowBlank="1" showDropDown="0" showInputMessage="1" showErrorMessage="1" errorTitle="" error="" promptTitle="" prompt="" sqref="H345:H345">
      <x:formula1>'MasterData'!$B$1:$B$14</x:formula1>
      <x:formula2/>
    </x:dataValidation>
    <x:dataValidation type="list" errorStyle="stop" operator="between" allowBlank="1" showDropDown="0" showInputMessage="1" showErrorMessage="1" errorTitle="" error="" promptTitle="" prompt="" sqref="I345:I345">
      <x:formula1>'MasterData'!$E$3241:$E$3250</x:formula1>
      <x:formula2/>
    </x:dataValidation>
    <x:dataValidation type="decimal" errorStyle="stop" operator="greaterThanOrEqual" allowBlank="1" showDropDown="0" showInputMessage="1" showErrorMessage="1" errorTitle="" error="" promptTitle="" prompt="" sqref="K345:K345">
      <x:formula1>0</x:formula1>
      <x:formula2/>
    </x:dataValidation>
    <x:dataValidation type="decimal" errorStyle="stop" operator="between" allowBlank="1" showDropDown="0" showInputMessage="1" showErrorMessage="1" errorTitle="" error="" promptTitle="" prompt="" sqref="N345:N345">
      <x:formula1>0</x:formula1>
      <x:formula2>100</x:formula2>
    </x:dataValidation>
    <x:dataValidation type="decimal" errorStyle="stop" operator="between" allowBlank="1" showDropDown="0" showInputMessage="1" showErrorMessage="1" errorTitle="" error="" promptTitle="" prompt="" sqref="O345:O345">
      <x:formula1>0</x:formula1>
      <x:formula2>100</x:formula2>
    </x:dataValidation>
    <x:dataValidation type="list" errorStyle="stop" operator="between" allowBlank="1" showDropDown="0" showInputMessage="1" showErrorMessage="1" errorTitle="" error="" promptTitle="" prompt="" sqref="H346:H346">
      <x:formula1>'MasterData'!$B$1:$B$14</x:formula1>
      <x:formula2/>
    </x:dataValidation>
    <x:dataValidation type="list" errorStyle="stop" operator="between" allowBlank="1" showDropDown="0" showInputMessage="1" showErrorMessage="1" errorTitle="" error="" promptTitle="" prompt="" sqref="I346:I346">
      <x:formula1>'MasterData'!$E$3251:$E$3260</x:formula1>
      <x:formula2/>
    </x:dataValidation>
    <x:dataValidation type="decimal" errorStyle="stop" operator="greaterThanOrEqual" allowBlank="1" showDropDown="0" showInputMessage="1" showErrorMessage="1" errorTitle="" error="" promptTitle="" prompt="" sqref="K346:K346">
      <x:formula1>0</x:formula1>
      <x:formula2/>
    </x:dataValidation>
    <x:dataValidation type="decimal" errorStyle="stop" operator="between" allowBlank="1" showDropDown="0" showInputMessage="1" showErrorMessage="1" errorTitle="" error="" promptTitle="" prompt="" sqref="N346:N346">
      <x:formula1>0</x:formula1>
      <x:formula2>100</x:formula2>
    </x:dataValidation>
    <x:dataValidation type="decimal" errorStyle="stop" operator="between" allowBlank="1" showDropDown="0" showInputMessage="1" showErrorMessage="1" errorTitle="" error="" promptTitle="" prompt="" sqref="O346:O346">
      <x:formula1>0</x:formula1>
      <x:formula2>100</x:formula2>
    </x:dataValidation>
    <x:dataValidation type="list" errorStyle="stop" operator="between" allowBlank="1" showDropDown="0" showInputMessage="1" showErrorMessage="1" errorTitle="" error="" promptTitle="" prompt="" sqref="H347:H347">
      <x:formula1>'MasterData'!$B$1:$B$14</x:formula1>
      <x:formula2/>
    </x:dataValidation>
    <x:dataValidation type="list" errorStyle="stop" operator="between" allowBlank="1" showDropDown="0" showInputMessage="1" showErrorMessage="1" errorTitle="" error="" promptTitle="" prompt="" sqref="I347:I347">
      <x:formula1>'MasterData'!$E$3261:$E$3270</x:formula1>
      <x:formula2/>
    </x:dataValidation>
    <x:dataValidation type="decimal" errorStyle="stop" operator="greaterThanOrEqual" allowBlank="1" showDropDown="0" showInputMessage="1" showErrorMessage="1" errorTitle="" error="" promptTitle="" prompt="" sqref="K347:K347">
      <x:formula1>0</x:formula1>
      <x:formula2/>
    </x:dataValidation>
    <x:dataValidation type="decimal" errorStyle="stop" operator="between" allowBlank="1" showDropDown="0" showInputMessage="1" showErrorMessage="1" errorTitle="" error="" promptTitle="" prompt="" sqref="N347:N347">
      <x:formula1>0</x:formula1>
      <x:formula2>100</x:formula2>
    </x:dataValidation>
    <x:dataValidation type="decimal" errorStyle="stop" operator="between" allowBlank="1" showDropDown="0" showInputMessage="1" showErrorMessage="1" errorTitle="" error="" promptTitle="" prompt="" sqref="O347:O347">
      <x:formula1>0</x:formula1>
      <x:formula2>100</x:formula2>
    </x:dataValidation>
    <x:dataValidation type="list" errorStyle="stop" operator="between" allowBlank="1" showDropDown="0" showInputMessage="1" showErrorMessage="1" errorTitle="" error="" promptTitle="" prompt="" sqref="H348:H348">
      <x:formula1>'MasterData'!$B$1:$B$14</x:formula1>
      <x:formula2/>
    </x:dataValidation>
    <x:dataValidation type="list" errorStyle="stop" operator="between" allowBlank="1" showDropDown="0" showInputMessage="1" showErrorMessage="1" errorTitle="" error="" promptTitle="" prompt="" sqref="I348:I348">
      <x:formula1>'MasterData'!$E$3271:$E$3280</x:formula1>
      <x:formula2/>
    </x:dataValidation>
    <x:dataValidation type="decimal" errorStyle="stop" operator="greaterThanOrEqual" allowBlank="1" showDropDown="0" showInputMessage="1" showErrorMessage="1" errorTitle="" error="" promptTitle="" prompt="" sqref="K348:K348">
      <x:formula1>0</x:formula1>
      <x:formula2/>
    </x:dataValidation>
    <x:dataValidation type="decimal" errorStyle="stop" operator="between" allowBlank="1" showDropDown="0" showInputMessage="1" showErrorMessage="1" errorTitle="" error="" promptTitle="" prompt="" sqref="N348:N348">
      <x:formula1>0</x:formula1>
      <x:formula2>100</x:formula2>
    </x:dataValidation>
    <x:dataValidation type="decimal" errorStyle="stop" operator="between" allowBlank="1" showDropDown="0" showInputMessage="1" showErrorMessage="1" errorTitle="" error="" promptTitle="" prompt="" sqref="O348:O348">
      <x:formula1>0</x:formula1>
      <x:formula2>100</x:formula2>
    </x:dataValidation>
    <x:dataValidation type="list" errorStyle="stop" operator="between" allowBlank="1" showDropDown="0" showInputMessage="1" showErrorMessage="1" errorTitle="" error="" promptTitle="" prompt="" sqref="H349:H349">
      <x:formula1>'MasterData'!$B$1:$B$14</x:formula1>
      <x:formula2/>
    </x:dataValidation>
    <x:dataValidation type="list" errorStyle="stop" operator="between" allowBlank="1" showDropDown="0" showInputMessage="1" showErrorMessage="1" errorTitle="" error="" promptTitle="" prompt="" sqref="I349:I349">
      <x:formula1>'MasterData'!$E$3281:$E$3290</x:formula1>
      <x:formula2/>
    </x:dataValidation>
    <x:dataValidation type="decimal" errorStyle="stop" operator="greaterThanOrEqual" allowBlank="1" showDropDown="0" showInputMessage="1" showErrorMessage="1" errorTitle="" error="" promptTitle="" prompt="" sqref="K349:K349">
      <x:formula1>0</x:formula1>
      <x:formula2/>
    </x:dataValidation>
    <x:dataValidation type="decimal" errorStyle="stop" operator="between" allowBlank="1" showDropDown="0" showInputMessage="1" showErrorMessage="1" errorTitle="" error="" promptTitle="" prompt="" sqref="N349:N349">
      <x:formula1>0</x:formula1>
      <x:formula2>100</x:formula2>
    </x:dataValidation>
    <x:dataValidation type="decimal" errorStyle="stop" operator="between" allowBlank="1" showDropDown="0" showInputMessage="1" showErrorMessage="1" errorTitle="" error="" promptTitle="" prompt="" sqref="O349:O349">
      <x:formula1>0</x:formula1>
      <x:formula2>100</x:formula2>
    </x:dataValidation>
    <x:dataValidation type="list" errorStyle="stop" operator="between" allowBlank="1" showDropDown="0" showInputMessage="1" showErrorMessage="1" errorTitle="" error="" promptTitle="" prompt="" sqref="H350:H350">
      <x:formula1>'MasterData'!$B$1:$B$14</x:formula1>
      <x:formula2/>
    </x:dataValidation>
    <x:dataValidation type="list" errorStyle="stop" operator="between" allowBlank="1" showDropDown="0" showInputMessage="1" showErrorMessage="1" errorTitle="" error="" promptTitle="" prompt="" sqref="I350:I350">
      <x:formula1>'MasterData'!$E$3291:$E$3300</x:formula1>
      <x:formula2/>
    </x:dataValidation>
    <x:dataValidation type="decimal" errorStyle="stop" operator="greaterThanOrEqual" allowBlank="1" showDropDown="0" showInputMessage="1" showErrorMessage="1" errorTitle="" error="" promptTitle="" prompt="" sqref="K350:K350">
      <x:formula1>0</x:formula1>
      <x:formula2/>
    </x:dataValidation>
    <x:dataValidation type="decimal" errorStyle="stop" operator="between" allowBlank="1" showDropDown="0" showInputMessage="1" showErrorMessage="1" errorTitle="" error="" promptTitle="" prompt="" sqref="N350:N350">
      <x:formula1>0</x:formula1>
      <x:formula2>100</x:formula2>
    </x:dataValidation>
    <x:dataValidation type="decimal" errorStyle="stop" operator="between" allowBlank="1" showDropDown="0" showInputMessage="1" showErrorMessage="1" errorTitle="" error="" promptTitle="" prompt="" sqref="O350:O350">
      <x:formula1>0</x:formula1>
      <x:formula2>100</x:formula2>
    </x:dataValidation>
    <x:dataValidation type="list" errorStyle="stop" operator="between" allowBlank="1" showDropDown="0" showInputMessage="1" showErrorMessage="1" errorTitle="" error="" promptTitle="" prompt="" sqref="H351:H351">
      <x:formula1>'MasterData'!$B$1:$B$14</x:formula1>
      <x:formula2/>
    </x:dataValidation>
    <x:dataValidation type="list" errorStyle="stop" operator="between" allowBlank="1" showDropDown="0" showInputMessage="1" showErrorMessage="1" errorTitle="" error="" promptTitle="" prompt="" sqref="I351:I351">
      <x:formula1>'MasterData'!$E$3301:$E$3310</x:formula1>
      <x:formula2/>
    </x:dataValidation>
    <x:dataValidation type="decimal" errorStyle="stop" operator="greaterThanOrEqual" allowBlank="1" showDropDown="0" showInputMessage="1" showErrorMessage="1" errorTitle="" error="" promptTitle="" prompt="" sqref="K351:K351">
      <x:formula1>0</x:formula1>
      <x:formula2/>
    </x:dataValidation>
    <x:dataValidation type="decimal" errorStyle="stop" operator="between" allowBlank="1" showDropDown="0" showInputMessage="1" showErrorMessage="1" errorTitle="" error="" promptTitle="" prompt="" sqref="N351:N351">
      <x:formula1>0</x:formula1>
      <x:formula2>100</x:formula2>
    </x:dataValidation>
    <x:dataValidation type="decimal" errorStyle="stop" operator="between" allowBlank="1" showDropDown="0" showInputMessage="1" showErrorMessage="1" errorTitle="" error="" promptTitle="" prompt="" sqref="O351:O351">
      <x:formula1>0</x:formula1>
      <x:formula2>100</x:formula2>
    </x:dataValidation>
    <x:dataValidation type="list" errorStyle="stop" operator="between" allowBlank="1" showDropDown="0" showInputMessage="1" showErrorMessage="1" errorTitle="" error="" promptTitle="" prompt="" sqref="H352:H352">
      <x:formula1>'MasterData'!$B$1:$B$14</x:formula1>
      <x:formula2/>
    </x:dataValidation>
    <x:dataValidation type="list" errorStyle="stop" operator="between" allowBlank="1" showDropDown="0" showInputMessage="1" showErrorMessage="1" errorTitle="" error="" promptTitle="" prompt="" sqref="I352:I352">
      <x:formula1>'MasterData'!$E$3311:$E$3320</x:formula1>
      <x:formula2/>
    </x:dataValidation>
    <x:dataValidation type="decimal" errorStyle="stop" operator="greaterThanOrEqual" allowBlank="1" showDropDown="0" showInputMessage="1" showErrorMessage="1" errorTitle="" error="" promptTitle="" prompt="" sqref="K352:K352">
      <x:formula1>0</x:formula1>
      <x:formula2/>
    </x:dataValidation>
    <x:dataValidation type="decimal" errorStyle="stop" operator="between" allowBlank="1" showDropDown="0" showInputMessage="1" showErrorMessage="1" errorTitle="" error="" promptTitle="" prompt="" sqref="N352:N352">
      <x:formula1>0</x:formula1>
      <x:formula2>100</x:formula2>
    </x:dataValidation>
    <x:dataValidation type="decimal" errorStyle="stop" operator="between" allowBlank="1" showDropDown="0" showInputMessage="1" showErrorMessage="1" errorTitle="" error="" promptTitle="" prompt="" sqref="O352:O352">
      <x:formula1>0</x:formula1>
      <x:formula2>100</x:formula2>
    </x:dataValidation>
    <x:dataValidation type="list" errorStyle="stop" operator="between" allowBlank="1" showDropDown="0" showInputMessage="1" showErrorMessage="1" errorTitle="" error="" promptTitle="" prompt="" sqref="H353:H353">
      <x:formula1>'MasterData'!$B$1:$B$14</x:formula1>
      <x:formula2/>
    </x:dataValidation>
    <x:dataValidation type="list" errorStyle="stop" operator="between" allowBlank="1" showDropDown="0" showInputMessage="1" showErrorMessage="1" errorTitle="" error="" promptTitle="" prompt="" sqref="I353:I353">
      <x:formula1>'MasterData'!$E$3321:$E$3330</x:formula1>
      <x:formula2/>
    </x:dataValidation>
    <x:dataValidation type="decimal" errorStyle="stop" operator="greaterThanOrEqual" allowBlank="1" showDropDown="0" showInputMessage="1" showErrorMessage="1" errorTitle="" error="" promptTitle="" prompt="" sqref="K353:K353">
      <x:formula1>0</x:formula1>
      <x:formula2/>
    </x:dataValidation>
    <x:dataValidation type="decimal" errorStyle="stop" operator="between" allowBlank="1" showDropDown="0" showInputMessage="1" showErrorMessage="1" errorTitle="" error="" promptTitle="" prompt="" sqref="N353:N353">
      <x:formula1>0</x:formula1>
      <x:formula2>100</x:formula2>
    </x:dataValidation>
    <x:dataValidation type="decimal" errorStyle="stop" operator="between" allowBlank="1" showDropDown="0" showInputMessage="1" showErrorMessage="1" errorTitle="" error="" promptTitle="" prompt="" sqref="O353:O353">
      <x:formula1>0</x:formula1>
      <x:formula2>100</x:formula2>
    </x:dataValidation>
    <x:dataValidation type="list" errorStyle="stop" operator="between" allowBlank="1" showDropDown="0" showInputMessage="1" showErrorMessage="1" errorTitle="" error="" promptTitle="" prompt="" sqref="H354:H354">
      <x:formula1>'MasterData'!$B$1:$B$14</x:formula1>
      <x:formula2/>
    </x:dataValidation>
    <x:dataValidation type="list" errorStyle="stop" operator="between" allowBlank="1" showDropDown="0" showInputMessage="1" showErrorMessage="1" errorTitle="" error="" promptTitle="" prompt="" sqref="I354:I354">
      <x:formula1>'MasterData'!$E$3331:$E$3340</x:formula1>
      <x:formula2/>
    </x:dataValidation>
    <x:dataValidation type="decimal" errorStyle="stop" operator="greaterThanOrEqual" allowBlank="1" showDropDown="0" showInputMessage="1" showErrorMessage="1" errorTitle="" error="" promptTitle="" prompt="" sqref="K354:K354">
      <x:formula1>0</x:formula1>
      <x:formula2/>
    </x:dataValidation>
    <x:dataValidation type="decimal" errorStyle="stop" operator="between" allowBlank="1" showDropDown="0" showInputMessage="1" showErrorMessage="1" errorTitle="" error="" promptTitle="" prompt="" sqref="N354:N354">
      <x:formula1>0</x:formula1>
      <x:formula2>100</x:formula2>
    </x:dataValidation>
    <x:dataValidation type="decimal" errorStyle="stop" operator="between" allowBlank="1" showDropDown="0" showInputMessage="1" showErrorMessage="1" errorTitle="" error="" promptTitle="" prompt="" sqref="O354:O354">
      <x:formula1>0</x:formula1>
      <x:formula2>100</x:formula2>
    </x:dataValidation>
    <x:dataValidation type="list" errorStyle="stop" operator="between" allowBlank="1" showDropDown="0" showInputMessage="1" showErrorMessage="1" errorTitle="" error="" promptTitle="" prompt="" sqref="H355:H355">
      <x:formula1>'MasterData'!$B$1:$B$14</x:formula1>
      <x:formula2/>
    </x:dataValidation>
    <x:dataValidation type="list" errorStyle="stop" operator="between" allowBlank="1" showDropDown="0" showInputMessage="1" showErrorMessage="1" errorTitle="" error="" promptTitle="" prompt="" sqref="I355:I355">
      <x:formula1>'MasterData'!$E$3341:$E$3350</x:formula1>
      <x:formula2/>
    </x:dataValidation>
    <x:dataValidation type="decimal" errorStyle="stop" operator="greaterThanOrEqual" allowBlank="1" showDropDown="0" showInputMessage="1" showErrorMessage="1" errorTitle="" error="" promptTitle="" prompt="" sqref="K355:K355">
      <x:formula1>0</x:formula1>
      <x:formula2/>
    </x:dataValidation>
    <x:dataValidation type="decimal" errorStyle="stop" operator="between" allowBlank="1" showDropDown="0" showInputMessage="1" showErrorMessage="1" errorTitle="" error="" promptTitle="" prompt="" sqref="N355:N355">
      <x:formula1>0</x:formula1>
      <x:formula2>100</x:formula2>
    </x:dataValidation>
    <x:dataValidation type="decimal" errorStyle="stop" operator="between" allowBlank="1" showDropDown="0" showInputMessage="1" showErrorMessage="1" errorTitle="" error="" promptTitle="" prompt="" sqref="O355:O355">
      <x:formula1>0</x:formula1>
      <x:formula2>100</x:formula2>
    </x:dataValidation>
    <x:dataValidation type="list" errorStyle="stop" operator="between" allowBlank="1" showDropDown="0" showInputMessage="1" showErrorMessage="1" errorTitle="" error="" promptTitle="" prompt="" sqref="H356:H356">
      <x:formula1>'MasterData'!$B$1:$B$14</x:formula1>
      <x:formula2/>
    </x:dataValidation>
    <x:dataValidation type="list" errorStyle="stop" operator="between" allowBlank="1" showDropDown="0" showInputMessage="1" showErrorMessage="1" errorTitle="" error="" promptTitle="" prompt="" sqref="I356:I356">
      <x:formula1>'MasterData'!$E$3351:$E$3360</x:formula1>
      <x:formula2/>
    </x:dataValidation>
    <x:dataValidation type="decimal" errorStyle="stop" operator="greaterThanOrEqual" allowBlank="1" showDropDown="0" showInputMessage="1" showErrorMessage="1" errorTitle="" error="" promptTitle="" prompt="" sqref="K356:K356">
      <x:formula1>0</x:formula1>
      <x:formula2/>
    </x:dataValidation>
    <x:dataValidation type="decimal" errorStyle="stop" operator="between" allowBlank="1" showDropDown="0" showInputMessage="1" showErrorMessage="1" errorTitle="" error="" promptTitle="" prompt="" sqref="N356:N356">
      <x:formula1>0</x:formula1>
      <x:formula2>100</x:formula2>
    </x:dataValidation>
    <x:dataValidation type="decimal" errorStyle="stop" operator="between" allowBlank="1" showDropDown="0" showInputMessage="1" showErrorMessage="1" errorTitle="" error="" promptTitle="" prompt="" sqref="O356:O356">
      <x:formula1>0</x:formula1>
      <x:formula2>100</x:formula2>
    </x:dataValidation>
    <x:dataValidation type="list" errorStyle="stop" operator="between" allowBlank="1" showDropDown="0" showInputMessage="1" showErrorMessage="1" errorTitle="" error="" promptTitle="" prompt="" sqref="H357:H357">
      <x:formula1>'MasterData'!$B$1:$B$14</x:formula1>
      <x:formula2/>
    </x:dataValidation>
    <x:dataValidation type="list" errorStyle="stop" operator="between" allowBlank="1" showDropDown="0" showInputMessage="1" showErrorMessage="1" errorTitle="" error="" promptTitle="" prompt="" sqref="I357:I357">
      <x:formula1>'MasterData'!$E$3361:$E$3370</x:formula1>
      <x:formula2/>
    </x:dataValidation>
    <x:dataValidation type="decimal" errorStyle="stop" operator="greaterThanOrEqual" allowBlank="1" showDropDown="0" showInputMessage="1" showErrorMessage="1" errorTitle="" error="" promptTitle="" prompt="" sqref="K357:K357">
      <x:formula1>0</x:formula1>
      <x:formula2/>
    </x:dataValidation>
    <x:dataValidation type="decimal" errorStyle="stop" operator="between" allowBlank="1" showDropDown="0" showInputMessage="1" showErrorMessage="1" errorTitle="" error="" promptTitle="" prompt="" sqref="N357:N357">
      <x:formula1>0</x:formula1>
      <x:formula2>100</x:formula2>
    </x:dataValidation>
    <x:dataValidation type="decimal" errorStyle="stop" operator="between" allowBlank="1" showDropDown="0" showInputMessage="1" showErrorMessage="1" errorTitle="" error="" promptTitle="" prompt="" sqref="O357:O357">
      <x:formula1>0</x:formula1>
      <x:formula2>100</x:formula2>
    </x:dataValidation>
    <x:dataValidation type="list" errorStyle="stop" operator="between" allowBlank="1" showDropDown="0" showInputMessage="1" showErrorMessage="1" errorTitle="" error="" promptTitle="" prompt="" sqref="H358:H358">
      <x:formula1>'MasterData'!$B$1:$B$14</x:formula1>
      <x:formula2/>
    </x:dataValidation>
    <x:dataValidation type="list" errorStyle="stop" operator="between" allowBlank="1" showDropDown="0" showInputMessage="1" showErrorMessage="1" errorTitle="" error="" promptTitle="" prompt="" sqref="I358:I358">
      <x:formula1>'MasterData'!$E$3371:$E$3380</x:formula1>
      <x:formula2/>
    </x:dataValidation>
    <x:dataValidation type="decimal" errorStyle="stop" operator="greaterThanOrEqual" allowBlank="1" showDropDown="0" showInputMessage="1" showErrorMessage="1" errorTitle="" error="" promptTitle="" prompt="" sqref="K358:K358">
      <x:formula1>0</x:formula1>
      <x:formula2/>
    </x:dataValidation>
    <x:dataValidation type="decimal" errorStyle="stop" operator="between" allowBlank="1" showDropDown="0" showInputMessage="1" showErrorMessage="1" errorTitle="" error="" promptTitle="" prompt="" sqref="N358:N358">
      <x:formula1>0</x:formula1>
      <x:formula2>100</x:formula2>
    </x:dataValidation>
    <x:dataValidation type="decimal" errorStyle="stop" operator="between" allowBlank="1" showDropDown="0" showInputMessage="1" showErrorMessage="1" errorTitle="" error="" promptTitle="" prompt="" sqref="O358:O358">
      <x:formula1>0</x:formula1>
      <x:formula2>100</x:formula2>
    </x:dataValidation>
    <x:dataValidation type="list" errorStyle="stop" operator="between" allowBlank="1" showDropDown="0" showInputMessage="1" showErrorMessage="1" errorTitle="" error="" promptTitle="" prompt="" sqref="H359:H359">
      <x:formula1>'MasterData'!$B$1:$B$14</x:formula1>
      <x:formula2/>
    </x:dataValidation>
    <x:dataValidation type="list" errorStyle="stop" operator="between" allowBlank="1" showDropDown="0" showInputMessage="1" showErrorMessage="1" errorTitle="" error="" promptTitle="" prompt="" sqref="I359:I359">
      <x:formula1>'MasterData'!$E$3381:$E$3390</x:formula1>
      <x:formula2/>
    </x:dataValidation>
    <x:dataValidation type="decimal" errorStyle="stop" operator="greaterThanOrEqual" allowBlank="1" showDropDown="0" showInputMessage="1" showErrorMessage="1" errorTitle="" error="" promptTitle="" prompt="" sqref="K359:K359">
      <x:formula1>0</x:formula1>
      <x:formula2/>
    </x:dataValidation>
    <x:dataValidation type="decimal" errorStyle="stop" operator="between" allowBlank="1" showDropDown="0" showInputMessage="1" showErrorMessage="1" errorTitle="" error="" promptTitle="" prompt="" sqref="N359:N359">
      <x:formula1>0</x:formula1>
      <x:formula2>100</x:formula2>
    </x:dataValidation>
    <x:dataValidation type="decimal" errorStyle="stop" operator="between" allowBlank="1" showDropDown="0" showInputMessage="1" showErrorMessage="1" errorTitle="" error="" promptTitle="" prompt="" sqref="O359:O359">
      <x:formula1>0</x:formula1>
      <x:formula2>100</x:formula2>
    </x:dataValidation>
    <x:dataValidation type="list" errorStyle="stop" operator="between" allowBlank="1" showDropDown="0" showInputMessage="1" showErrorMessage="1" errorTitle="" error="" promptTitle="" prompt="" sqref="H360:H360">
      <x:formula1>'MasterData'!$B$1:$B$14</x:formula1>
      <x:formula2/>
    </x:dataValidation>
    <x:dataValidation type="list" errorStyle="stop" operator="between" allowBlank="1" showDropDown="0" showInputMessage="1" showErrorMessage="1" errorTitle="" error="" promptTitle="" prompt="" sqref="I360:I360">
      <x:formula1>'MasterData'!$E$3391:$E$3400</x:formula1>
      <x:formula2/>
    </x:dataValidation>
    <x:dataValidation type="decimal" errorStyle="stop" operator="greaterThanOrEqual" allowBlank="1" showDropDown="0" showInputMessage="1" showErrorMessage="1" errorTitle="" error="" promptTitle="" prompt="" sqref="K360:K360">
      <x:formula1>0</x:formula1>
      <x:formula2/>
    </x:dataValidation>
    <x:dataValidation type="decimal" errorStyle="stop" operator="between" allowBlank="1" showDropDown="0" showInputMessage="1" showErrorMessage="1" errorTitle="" error="" promptTitle="" prompt="" sqref="N360:N360">
      <x:formula1>0</x:formula1>
      <x:formula2>100</x:formula2>
    </x:dataValidation>
    <x:dataValidation type="decimal" errorStyle="stop" operator="between" allowBlank="1" showDropDown="0" showInputMessage="1" showErrorMessage="1" errorTitle="" error="" promptTitle="" prompt="" sqref="O360:O360">
      <x:formula1>0</x:formula1>
      <x:formula2>100</x:formula2>
    </x:dataValidation>
    <x:dataValidation type="list" errorStyle="stop" operator="between" allowBlank="1" showDropDown="0" showInputMessage="1" showErrorMessage="1" errorTitle="" error="" promptTitle="" prompt="" sqref="H361:H361">
      <x:formula1>'MasterData'!$B$1:$B$14</x:formula1>
      <x:formula2/>
    </x:dataValidation>
    <x:dataValidation type="list" errorStyle="stop" operator="between" allowBlank="1" showDropDown="0" showInputMessage="1" showErrorMessage="1" errorTitle="" error="" promptTitle="" prompt="" sqref="I361:I361">
      <x:formula1>'MasterData'!$E$3401:$E$3410</x:formula1>
      <x:formula2/>
    </x:dataValidation>
    <x:dataValidation type="decimal" errorStyle="stop" operator="greaterThanOrEqual" allowBlank="1" showDropDown="0" showInputMessage="1" showErrorMessage="1" errorTitle="" error="" promptTitle="" prompt="" sqref="K361:K361">
      <x:formula1>0</x:formula1>
      <x:formula2/>
    </x:dataValidation>
    <x:dataValidation type="decimal" errorStyle="stop" operator="between" allowBlank="1" showDropDown="0" showInputMessage="1" showErrorMessage="1" errorTitle="" error="" promptTitle="" prompt="" sqref="N361:N361">
      <x:formula1>0</x:formula1>
      <x:formula2>100</x:formula2>
    </x:dataValidation>
    <x:dataValidation type="decimal" errorStyle="stop" operator="between" allowBlank="1" showDropDown="0" showInputMessage="1" showErrorMessage="1" errorTitle="" error="" promptTitle="" prompt="" sqref="O361:O361">
      <x:formula1>0</x:formula1>
      <x:formula2>100</x:formula2>
    </x:dataValidation>
    <x:dataValidation type="list" errorStyle="stop" operator="between" allowBlank="1" showDropDown="0" showInputMessage="1" showErrorMessage="1" errorTitle="" error="" promptTitle="" prompt="" sqref="H362:H362">
      <x:formula1>'MasterData'!$B$1:$B$14</x:formula1>
      <x:formula2/>
    </x:dataValidation>
    <x:dataValidation type="list" errorStyle="stop" operator="between" allowBlank="1" showDropDown="0" showInputMessage="1" showErrorMessage="1" errorTitle="" error="" promptTitle="" prompt="" sqref="I362:I362">
      <x:formula1>'MasterData'!$E$3411:$E$3420</x:formula1>
      <x:formula2/>
    </x:dataValidation>
    <x:dataValidation type="decimal" errorStyle="stop" operator="greaterThanOrEqual" allowBlank="1" showDropDown="0" showInputMessage="1" showErrorMessage="1" errorTitle="" error="" promptTitle="" prompt="" sqref="K362:K362">
      <x:formula1>0</x:formula1>
      <x:formula2/>
    </x:dataValidation>
    <x:dataValidation type="decimal" errorStyle="stop" operator="between" allowBlank="1" showDropDown="0" showInputMessage="1" showErrorMessage="1" errorTitle="" error="" promptTitle="" prompt="" sqref="N362:N362">
      <x:formula1>0</x:formula1>
      <x:formula2>100</x:formula2>
    </x:dataValidation>
    <x:dataValidation type="decimal" errorStyle="stop" operator="between" allowBlank="1" showDropDown="0" showInputMessage="1" showErrorMessage="1" errorTitle="" error="" promptTitle="" prompt="" sqref="O362:O362">
      <x:formula1>0</x:formula1>
      <x:formula2>100</x:formula2>
    </x:dataValidation>
    <x:dataValidation type="list" errorStyle="stop" operator="between" allowBlank="1" showDropDown="0" showInputMessage="1" showErrorMessage="1" errorTitle="" error="" promptTitle="" prompt="" sqref="H363:H363">
      <x:formula1>'MasterData'!$B$1:$B$14</x:formula1>
      <x:formula2/>
    </x:dataValidation>
    <x:dataValidation type="list" errorStyle="stop" operator="between" allowBlank="1" showDropDown="0" showInputMessage="1" showErrorMessage="1" errorTitle="" error="" promptTitle="" prompt="" sqref="I363:I363">
      <x:formula1>'MasterData'!$E$3421:$E$3430</x:formula1>
      <x:formula2/>
    </x:dataValidation>
    <x:dataValidation type="decimal" errorStyle="stop" operator="greaterThanOrEqual" allowBlank="1" showDropDown="0" showInputMessage="1" showErrorMessage="1" errorTitle="" error="" promptTitle="" prompt="" sqref="K363:K363">
      <x:formula1>0</x:formula1>
      <x:formula2/>
    </x:dataValidation>
    <x:dataValidation type="decimal" errorStyle="stop" operator="between" allowBlank="1" showDropDown="0" showInputMessage="1" showErrorMessage="1" errorTitle="" error="" promptTitle="" prompt="" sqref="N363:N363">
      <x:formula1>0</x:formula1>
      <x:formula2>100</x:formula2>
    </x:dataValidation>
    <x:dataValidation type="decimal" errorStyle="stop" operator="between" allowBlank="1" showDropDown="0" showInputMessage="1" showErrorMessage="1" errorTitle="" error="" promptTitle="" prompt="" sqref="O363:O363">
      <x:formula1>0</x:formula1>
      <x:formula2>100</x:formula2>
    </x:dataValidation>
    <x:dataValidation type="list" errorStyle="stop" operator="between" allowBlank="1" showDropDown="0" showInputMessage="1" showErrorMessage="1" errorTitle="" error="" promptTitle="" prompt="" sqref="H364:H364">
      <x:formula1>'MasterData'!$B$1:$B$14</x:formula1>
      <x:formula2/>
    </x:dataValidation>
    <x:dataValidation type="list" errorStyle="stop" operator="between" allowBlank="1" showDropDown="0" showInputMessage="1" showErrorMessage="1" errorTitle="" error="" promptTitle="" prompt="" sqref="I364:I364">
      <x:formula1>'MasterData'!$E$3431:$E$3440</x:formula1>
      <x:formula2/>
    </x:dataValidation>
    <x:dataValidation type="decimal" errorStyle="stop" operator="greaterThanOrEqual" allowBlank="1" showDropDown="0" showInputMessage="1" showErrorMessage="1" errorTitle="" error="" promptTitle="" prompt="" sqref="K364:K364">
      <x:formula1>0</x:formula1>
      <x:formula2/>
    </x:dataValidation>
    <x:dataValidation type="decimal" errorStyle="stop" operator="between" allowBlank="1" showDropDown="0" showInputMessage="1" showErrorMessage="1" errorTitle="" error="" promptTitle="" prompt="" sqref="N364:N364">
      <x:formula1>0</x:formula1>
      <x:formula2>100</x:formula2>
    </x:dataValidation>
    <x:dataValidation type="decimal" errorStyle="stop" operator="between" allowBlank="1" showDropDown="0" showInputMessage="1" showErrorMessage="1" errorTitle="" error="" promptTitle="" prompt="" sqref="O364:O364">
      <x:formula1>0</x:formula1>
      <x:formula2>100</x:formula2>
    </x:dataValidation>
    <x:dataValidation type="list" errorStyle="stop" operator="between" allowBlank="1" showDropDown="0" showInputMessage="1" showErrorMessage="1" errorTitle="" error="" promptTitle="" prompt="" sqref="H365:H365">
      <x:formula1>'MasterData'!$B$1:$B$14</x:formula1>
      <x:formula2/>
    </x:dataValidation>
    <x:dataValidation type="list" errorStyle="stop" operator="between" allowBlank="1" showDropDown="0" showInputMessage="1" showErrorMessage="1" errorTitle="" error="" promptTitle="" prompt="" sqref="I365:I365">
      <x:formula1>'MasterData'!$E$3441:$E$3450</x:formula1>
      <x:formula2/>
    </x:dataValidation>
    <x:dataValidation type="decimal" errorStyle="stop" operator="greaterThanOrEqual" allowBlank="1" showDropDown="0" showInputMessage="1" showErrorMessage="1" errorTitle="" error="" promptTitle="" prompt="" sqref="K365:K365">
      <x:formula1>0</x:formula1>
      <x:formula2/>
    </x:dataValidation>
    <x:dataValidation type="decimal" errorStyle="stop" operator="between" allowBlank="1" showDropDown="0" showInputMessage="1" showErrorMessage="1" errorTitle="" error="" promptTitle="" prompt="" sqref="N365:N365">
      <x:formula1>0</x:formula1>
      <x:formula2>100</x:formula2>
    </x:dataValidation>
    <x:dataValidation type="decimal" errorStyle="stop" operator="between" allowBlank="1" showDropDown="0" showInputMessage="1" showErrorMessage="1" errorTitle="" error="" promptTitle="" prompt="" sqref="O365:O365">
      <x:formula1>0</x:formula1>
      <x:formula2>100</x:formula2>
    </x:dataValidation>
    <x:dataValidation type="none" errorStyle="stop" operator="between" allowBlank="1" showDropDown="0" showInputMessage="1" showErrorMessage="1" errorTitle="" error="" promptTitle="" prompt="" sqref="P391:P391">
      <x:formula1/>
      <x:formula2/>
    </x:dataValidation>
    <x:dataValidation type="list" errorStyle="stop" operator="between" allowBlank="1" showDropDown="0" showInputMessage="1" showErrorMessage="1" errorTitle="" error="" promptTitle="" prompt="" sqref="H368:H368">
      <x:formula1>'MasterData'!$B$1:$B$14</x:formula1>
      <x:formula2/>
    </x:dataValidation>
    <x:dataValidation type="list" errorStyle="stop" operator="between" allowBlank="1" showDropDown="0" showInputMessage="1" showErrorMessage="1" errorTitle="" error="" promptTitle="" prompt="" sqref="I368:I368">
      <x:formula1>'MasterData'!$E$1:$E$10</x:formula1>
      <x:formula2/>
    </x:dataValidation>
    <x:dataValidation type="decimal" errorStyle="stop" operator="greaterThanOrEqual" allowBlank="1" showDropDown="0" showInputMessage="1" showErrorMessage="1" errorTitle="" error="" promptTitle="" prompt="" sqref="K368:K368">
      <x:formula1>0</x:formula1>
      <x:formula2/>
    </x:dataValidation>
    <x:dataValidation type="decimal" errorStyle="stop" operator="between" allowBlank="1" showDropDown="0" showInputMessage="1" showErrorMessage="1" errorTitle="" error="" promptTitle="" prompt="" sqref="N368:N368">
      <x:formula1>0</x:formula1>
      <x:formula2>100</x:formula2>
    </x:dataValidation>
    <x:dataValidation type="decimal" errorStyle="stop" operator="between" allowBlank="1" showDropDown="0" showInputMessage="1" showErrorMessage="1" errorTitle="" error="" promptTitle="" prompt="" sqref="O368:O368">
      <x:formula1>0</x:formula1>
      <x:formula2>100</x:formula2>
    </x:dataValidation>
    <x:dataValidation type="list" errorStyle="stop" operator="between" allowBlank="1" showDropDown="0" showInputMessage="1" showErrorMessage="1" errorTitle="" error="" promptTitle="" prompt="" sqref="H369:H369">
      <x:formula1>'MasterData'!$B$1:$B$14</x:formula1>
      <x:formula2/>
    </x:dataValidation>
    <x:dataValidation type="list" errorStyle="stop" operator="between" allowBlank="1" showDropDown="0" showInputMessage="1" showErrorMessage="1" errorTitle="" error="" promptTitle="" prompt="" sqref="I369:I369">
      <x:formula1>'MasterData'!$E$11:$E$20</x:formula1>
      <x:formula2/>
    </x:dataValidation>
    <x:dataValidation type="decimal" errorStyle="stop" operator="greaterThanOrEqual" allowBlank="1" showDropDown="0" showInputMessage="1" showErrorMessage="1" errorTitle="" error="" promptTitle="" prompt="" sqref="K369:K369">
      <x:formula1>0</x:formula1>
      <x:formula2/>
    </x:dataValidation>
    <x:dataValidation type="decimal" errorStyle="stop" operator="between" allowBlank="1" showDropDown="0" showInputMessage="1" showErrorMessage="1" errorTitle="" error="" promptTitle="" prompt="" sqref="N369:N369">
      <x:formula1>0</x:formula1>
      <x:formula2>100</x:formula2>
    </x:dataValidation>
    <x:dataValidation type="decimal" errorStyle="stop" operator="between" allowBlank="1" showDropDown="0" showInputMessage="1" showErrorMessage="1" errorTitle="" error="" promptTitle="" prompt="" sqref="O369:O369">
      <x:formula1>0</x:formula1>
      <x:formula2>100</x:formula2>
    </x:dataValidation>
    <x:dataValidation type="list" errorStyle="stop" operator="between" allowBlank="1" showDropDown="0" showInputMessage="1" showErrorMessage="1" errorTitle="" error="" promptTitle="" prompt="" sqref="H370:H370">
      <x:formula1>'MasterData'!$B$1:$B$14</x:formula1>
      <x:formula2/>
    </x:dataValidation>
    <x:dataValidation type="list" errorStyle="stop" operator="between" allowBlank="1" showDropDown="0" showInputMessage="1" showErrorMessage="1" errorTitle="" error="" promptTitle="" prompt="" sqref="I370:I370">
      <x:formula1>'MasterData'!$E$21:$E$30</x:formula1>
      <x:formula2/>
    </x:dataValidation>
    <x:dataValidation type="decimal" errorStyle="stop" operator="greaterThanOrEqual" allowBlank="1" showDropDown="0" showInputMessage="1" showErrorMessage="1" errorTitle="" error="" promptTitle="" prompt="" sqref="K370:K370">
      <x:formula1>0</x:formula1>
      <x:formula2/>
    </x:dataValidation>
    <x:dataValidation type="decimal" errorStyle="stop" operator="between" allowBlank="1" showDropDown="0" showInputMessage="1" showErrorMessage="1" errorTitle="" error="" promptTitle="" prompt="" sqref="N370:N370">
      <x:formula1>0</x:formula1>
      <x:formula2>100</x:formula2>
    </x:dataValidation>
    <x:dataValidation type="decimal" errorStyle="stop" operator="between" allowBlank="1" showDropDown="0" showInputMessage="1" showErrorMessage="1" errorTitle="" error="" promptTitle="" prompt="" sqref="O370:O370">
      <x:formula1>0</x:formula1>
      <x:formula2>100</x:formula2>
    </x:dataValidation>
    <x:dataValidation type="list" errorStyle="stop" operator="between" allowBlank="1" showDropDown="0" showInputMessage="1" showErrorMessage="1" errorTitle="" error="" promptTitle="" prompt="" sqref="H371:H371">
      <x:formula1>'MasterData'!$B$1:$B$14</x:formula1>
      <x:formula2/>
    </x:dataValidation>
    <x:dataValidation type="list" errorStyle="stop" operator="between" allowBlank="1" showDropDown="0" showInputMessage="1" showErrorMessage="1" errorTitle="" error="" promptTitle="" prompt="" sqref="I371:I371">
      <x:formula1>'MasterData'!$E$31:$E$40</x:formula1>
      <x:formula2/>
    </x:dataValidation>
    <x:dataValidation type="decimal" errorStyle="stop" operator="greaterThanOrEqual" allowBlank="1" showDropDown="0" showInputMessage="1" showErrorMessage="1" errorTitle="" error="" promptTitle="" prompt="" sqref="K371:K371">
      <x:formula1>0</x:formula1>
      <x:formula2/>
    </x:dataValidation>
    <x:dataValidation type="decimal" errorStyle="stop" operator="between" allowBlank="1" showDropDown="0" showInputMessage="1" showErrorMessage="1" errorTitle="" error="" promptTitle="" prompt="" sqref="N371:N371">
      <x:formula1>0</x:formula1>
      <x:formula2>100</x:formula2>
    </x:dataValidation>
    <x:dataValidation type="decimal" errorStyle="stop" operator="between" allowBlank="1" showDropDown="0" showInputMessage="1" showErrorMessage="1" errorTitle="" error="" promptTitle="" prompt="" sqref="O371:O371">
      <x:formula1>0</x:formula1>
      <x:formula2>100</x:formula2>
    </x:dataValidation>
    <x:dataValidation type="list" errorStyle="stop" operator="between" allowBlank="1" showDropDown="0" showInputMessage="1" showErrorMessage="1" errorTitle="" error="" promptTitle="" prompt="" sqref="H372:H372">
      <x:formula1>'MasterData'!$B$1:$B$14</x:formula1>
      <x:formula2/>
    </x:dataValidation>
    <x:dataValidation type="list" errorStyle="stop" operator="between" allowBlank="1" showDropDown="0" showInputMessage="1" showErrorMessage="1" errorTitle="" error="" promptTitle="" prompt="" sqref="I372:I372">
      <x:formula1>'MasterData'!$E$41:$E$50</x:formula1>
      <x:formula2/>
    </x:dataValidation>
    <x:dataValidation type="decimal" errorStyle="stop" operator="greaterThanOrEqual" allowBlank="1" showDropDown="0" showInputMessage="1" showErrorMessage="1" errorTitle="" error="" promptTitle="" prompt="" sqref="K372:K372">
      <x:formula1>0</x:formula1>
      <x:formula2/>
    </x:dataValidation>
    <x:dataValidation type="decimal" errorStyle="stop" operator="between" allowBlank="1" showDropDown="0" showInputMessage="1" showErrorMessage="1" errorTitle="" error="" promptTitle="" prompt="" sqref="N372:N372">
      <x:formula1>0</x:formula1>
      <x:formula2>100</x:formula2>
    </x:dataValidation>
    <x:dataValidation type="decimal" errorStyle="stop" operator="between" allowBlank="1" showDropDown="0" showInputMessage="1" showErrorMessage="1" errorTitle="" error="" promptTitle="" prompt="" sqref="O372:O372">
      <x:formula1>0</x:formula1>
      <x:formula2>100</x:formula2>
    </x:dataValidation>
    <x:dataValidation type="list" errorStyle="stop" operator="between" allowBlank="1" showDropDown="0" showInputMessage="1" showErrorMessage="1" errorTitle="" error="" promptTitle="" prompt="" sqref="H373:H373">
      <x:formula1>'MasterData'!$B$1:$B$14</x:formula1>
      <x:formula2/>
    </x:dataValidation>
    <x:dataValidation type="list" errorStyle="stop" operator="between" allowBlank="1" showDropDown="0" showInputMessage="1" showErrorMessage="1" errorTitle="" error="" promptTitle="" prompt="" sqref="I373:I373">
      <x:formula1>'MasterData'!$E$51:$E$60</x:formula1>
      <x:formula2/>
    </x:dataValidation>
    <x:dataValidation type="decimal" errorStyle="stop" operator="greaterThanOrEqual" allowBlank="1" showDropDown="0" showInputMessage="1" showErrorMessage="1" errorTitle="" error="" promptTitle="" prompt="" sqref="K373:K373">
      <x:formula1>0</x:formula1>
      <x:formula2/>
    </x:dataValidation>
    <x:dataValidation type="decimal" errorStyle="stop" operator="between" allowBlank="1" showDropDown="0" showInputMessage="1" showErrorMessage="1" errorTitle="" error="" promptTitle="" prompt="" sqref="N373:N373">
      <x:formula1>0</x:formula1>
      <x:formula2>100</x:formula2>
    </x:dataValidation>
    <x:dataValidation type="decimal" errorStyle="stop" operator="between" allowBlank="1" showDropDown="0" showInputMessage="1" showErrorMessage="1" errorTitle="" error="" promptTitle="" prompt="" sqref="O373:O373">
      <x:formula1>0</x:formula1>
      <x:formula2>100</x:formula2>
    </x:dataValidation>
    <x:dataValidation type="list" errorStyle="stop" operator="between" allowBlank="1" showDropDown="0" showInputMessage="1" showErrorMessage="1" errorTitle="" error="" promptTitle="" prompt="" sqref="H374:H374">
      <x:formula1>'MasterData'!$B$1:$B$14</x:formula1>
      <x:formula2/>
    </x:dataValidation>
    <x:dataValidation type="list" errorStyle="stop" operator="between" allowBlank="1" showDropDown="0" showInputMessage="1" showErrorMessage="1" errorTitle="" error="" promptTitle="" prompt="" sqref="I374:I374">
      <x:formula1>'MasterData'!$E$61:$E$70</x:formula1>
      <x:formula2/>
    </x:dataValidation>
    <x:dataValidation type="decimal" errorStyle="stop" operator="greaterThanOrEqual" allowBlank="1" showDropDown="0" showInputMessage="1" showErrorMessage="1" errorTitle="" error="" promptTitle="" prompt="" sqref="K374:K374">
      <x:formula1>0</x:formula1>
      <x:formula2/>
    </x:dataValidation>
    <x:dataValidation type="decimal" errorStyle="stop" operator="between" allowBlank="1" showDropDown="0" showInputMessage="1" showErrorMessage="1" errorTitle="" error="" promptTitle="" prompt="" sqref="N374:N374">
      <x:formula1>0</x:formula1>
      <x:formula2>100</x:formula2>
    </x:dataValidation>
    <x:dataValidation type="decimal" errorStyle="stop" operator="between" allowBlank="1" showDropDown="0" showInputMessage="1" showErrorMessage="1" errorTitle="" error="" promptTitle="" prompt="" sqref="O374:O374">
      <x:formula1>0</x:formula1>
      <x:formula2>100</x:formula2>
    </x:dataValidation>
    <x:dataValidation type="list" errorStyle="stop" operator="between" allowBlank="1" showDropDown="0" showInputMessage="1" showErrorMessage="1" errorTitle="" error="" promptTitle="" prompt="" sqref="H375:H375">
      <x:formula1>'MasterData'!$B$1:$B$14</x:formula1>
      <x:formula2/>
    </x:dataValidation>
    <x:dataValidation type="list" errorStyle="stop" operator="between" allowBlank="1" showDropDown="0" showInputMessage="1" showErrorMessage="1" errorTitle="" error="" promptTitle="" prompt="" sqref="I375:I375">
      <x:formula1>'MasterData'!$E$71:$E$80</x:formula1>
      <x:formula2/>
    </x:dataValidation>
    <x:dataValidation type="decimal" errorStyle="stop" operator="greaterThanOrEqual" allowBlank="1" showDropDown="0" showInputMessage="1" showErrorMessage="1" errorTitle="" error="" promptTitle="" prompt="" sqref="K375:K375">
      <x:formula1>0</x:formula1>
      <x:formula2/>
    </x:dataValidation>
    <x:dataValidation type="decimal" errorStyle="stop" operator="between" allowBlank="1" showDropDown="0" showInputMessage="1" showErrorMessage="1" errorTitle="" error="" promptTitle="" prompt="" sqref="N375:N375">
      <x:formula1>0</x:formula1>
      <x:formula2>100</x:formula2>
    </x:dataValidation>
    <x:dataValidation type="decimal" errorStyle="stop" operator="between" allowBlank="1" showDropDown="0" showInputMessage="1" showErrorMessage="1" errorTitle="" error="" promptTitle="" prompt="" sqref="O375:O375">
      <x:formula1>0</x:formula1>
      <x:formula2>100</x:formula2>
    </x:dataValidation>
    <x:dataValidation type="list" errorStyle="stop" operator="between" allowBlank="1" showDropDown="0" showInputMessage="1" showErrorMessage="1" errorTitle="" error="" promptTitle="" prompt="" sqref="H376:H376">
      <x:formula1>'MasterData'!$B$1:$B$14</x:formula1>
      <x:formula2/>
    </x:dataValidation>
    <x:dataValidation type="list" errorStyle="stop" operator="between" allowBlank="1" showDropDown="0" showInputMessage="1" showErrorMessage="1" errorTitle="" error="" promptTitle="" prompt="" sqref="I376:I376">
      <x:formula1>'MasterData'!$E$81:$E$90</x:formula1>
      <x:formula2/>
    </x:dataValidation>
    <x:dataValidation type="decimal" errorStyle="stop" operator="greaterThanOrEqual" allowBlank="1" showDropDown="0" showInputMessage="1" showErrorMessage="1" errorTitle="" error="" promptTitle="" prompt="" sqref="K376:K376">
      <x:formula1>0</x:formula1>
      <x:formula2/>
    </x:dataValidation>
    <x:dataValidation type="decimal" errorStyle="stop" operator="between" allowBlank="1" showDropDown="0" showInputMessage="1" showErrorMessage="1" errorTitle="" error="" promptTitle="" prompt="" sqref="N376:N376">
      <x:formula1>0</x:formula1>
      <x:formula2>100</x:formula2>
    </x:dataValidation>
    <x:dataValidation type="decimal" errorStyle="stop" operator="between" allowBlank="1" showDropDown="0" showInputMessage="1" showErrorMessage="1" errorTitle="" error="" promptTitle="" prompt="" sqref="O376:O376">
      <x:formula1>0</x:formula1>
      <x:formula2>100</x:formula2>
    </x:dataValidation>
    <x:dataValidation type="list" errorStyle="stop" operator="between" allowBlank="1" showDropDown="0" showInputMessage="1" showErrorMessage="1" errorTitle="" error="" promptTitle="" prompt="" sqref="H377:H377">
      <x:formula1>'MasterData'!$B$1:$B$14</x:formula1>
      <x:formula2/>
    </x:dataValidation>
    <x:dataValidation type="list" errorStyle="stop" operator="between" allowBlank="1" showDropDown="0" showInputMessage="1" showErrorMessage="1" errorTitle="" error="" promptTitle="" prompt="" sqref="I377:I377">
      <x:formula1>'MasterData'!$E$91:$E$100</x:formula1>
      <x:formula2/>
    </x:dataValidation>
    <x:dataValidation type="decimal" errorStyle="stop" operator="greaterThanOrEqual" allowBlank="1" showDropDown="0" showInputMessage="1" showErrorMessage="1" errorTitle="" error="" promptTitle="" prompt="" sqref="K377:K377">
      <x:formula1>0</x:formula1>
      <x:formula2/>
    </x:dataValidation>
    <x:dataValidation type="decimal" errorStyle="stop" operator="between" allowBlank="1" showDropDown="0" showInputMessage="1" showErrorMessage="1" errorTitle="" error="" promptTitle="" prompt="" sqref="N377:N377">
      <x:formula1>0</x:formula1>
      <x:formula2>100</x:formula2>
    </x:dataValidation>
    <x:dataValidation type="decimal" errorStyle="stop" operator="between" allowBlank="1" showDropDown="0" showInputMessage="1" showErrorMessage="1" errorTitle="" error="" promptTitle="" prompt="" sqref="O377:O377">
      <x:formula1>0</x:formula1>
      <x:formula2>100</x:formula2>
    </x:dataValidation>
    <x:dataValidation type="list" errorStyle="stop" operator="between" allowBlank="1" showDropDown="0" showInputMessage="1" showErrorMessage="1" errorTitle="" error="" promptTitle="" prompt="" sqref="H378:H378">
      <x:formula1>'MasterData'!$B$1:$B$14</x:formula1>
      <x:formula2/>
    </x:dataValidation>
    <x:dataValidation type="list" errorStyle="stop" operator="between" allowBlank="1" showDropDown="0" showInputMessage="1" showErrorMessage="1" errorTitle="" error="" promptTitle="" prompt="" sqref="I378:I378">
      <x:formula1>'MasterData'!$E$101:$E$110</x:formula1>
      <x:formula2/>
    </x:dataValidation>
    <x:dataValidation type="decimal" errorStyle="stop" operator="greaterThanOrEqual" allowBlank="1" showDropDown="0" showInputMessage="1" showErrorMessage="1" errorTitle="" error="" promptTitle="" prompt="" sqref="K378:K378">
      <x:formula1>0</x:formula1>
      <x:formula2/>
    </x:dataValidation>
    <x:dataValidation type="decimal" errorStyle="stop" operator="between" allowBlank="1" showDropDown="0" showInputMessage="1" showErrorMessage="1" errorTitle="" error="" promptTitle="" prompt="" sqref="N378:N378">
      <x:formula1>0</x:formula1>
      <x:formula2>100</x:formula2>
    </x:dataValidation>
    <x:dataValidation type="decimal" errorStyle="stop" operator="between" allowBlank="1" showDropDown="0" showInputMessage="1" showErrorMessage="1" errorTitle="" error="" promptTitle="" prompt="" sqref="O378:O378">
      <x:formula1>0</x:formula1>
      <x:formula2>100</x:formula2>
    </x:dataValidation>
    <x:dataValidation type="list" errorStyle="stop" operator="between" allowBlank="1" showDropDown="0" showInputMessage="1" showErrorMessage="1" errorTitle="" error="" promptTitle="" prompt="" sqref="H379:H379">
      <x:formula1>'MasterData'!$B$1:$B$14</x:formula1>
      <x:formula2/>
    </x:dataValidation>
    <x:dataValidation type="list" errorStyle="stop" operator="between" allowBlank="1" showDropDown="0" showInputMessage="1" showErrorMessage="1" errorTitle="" error="" promptTitle="" prompt="" sqref="I379:I379">
      <x:formula1>'MasterData'!$E$111:$E$120</x:formula1>
      <x:formula2/>
    </x:dataValidation>
    <x:dataValidation type="decimal" errorStyle="stop" operator="greaterThanOrEqual" allowBlank="1" showDropDown="0" showInputMessage="1" showErrorMessage="1" errorTitle="" error="" promptTitle="" prompt="" sqref="K379:K379">
      <x:formula1>0</x:formula1>
      <x:formula2/>
    </x:dataValidation>
    <x:dataValidation type="decimal" errorStyle="stop" operator="between" allowBlank="1" showDropDown="0" showInputMessage="1" showErrorMessage="1" errorTitle="" error="" promptTitle="" prompt="" sqref="N379:N379">
      <x:formula1>0</x:formula1>
      <x:formula2>100</x:formula2>
    </x:dataValidation>
    <x:dataValidation type="decimal" errorStyle="stop" operator="between" allowBlank="1" showDropDown="0" showInputMessage="1" showErrorMessage="1" errorTitle="" error="" promptTitle="" prompt="" sqref="O379:O379">
      <x:formula1>0</x:formula1>
      <x:formula2>100</x:formula2>
    </x:dataValidation>
    <x:dataValidation type="list" errorStyle="stop" operator="between" allowBlank="1" showDropDown="0" showInputMessage="1" showErrorMessage="1" errorTitle="" error="" promptTitle="" prompt="" sqref="H380:H380">
      <x:formula1>'MasterData'!$B$1:$B$14</x:formula1>
      <x:formula2/>
    </x:dataValidation>
    <x:dataValidation type="list" errorStyle="stop" operator="between" allowBlank="1" showDropDown="0" showInputMessage="1" showErrorMessage="1" errorTitle="" error="" promptTitle="" prompt="" sqref="I380:I380">
      <x:formula1>'MasterData'!$E$121:$E$130</x:formula1>
      <x:formula2/>
    </x:dataValidation>
    <x:dataValidation type="decimal" errorStyle="stop" operator="greaterThanOrEqual" allowBlank="1" showDropDown="0" showInputMessage="1" showErrorMessage="1" errorTitle="" error="" promptTitle="" prompt="" sqref="K380:K380">
      <x:formula1>0</x:formula1>
      <x:formula2/>
    </x:dataValidation>
    <x:dataValidation type="decimal" errorStyle="stop" operator="between" allowBlank="1" showDropDown="0" showInputMessage="1" showErrorMessage="1" errorTitle="" error="" promptTitle="" prompt="" sqref="N380:N380">
      <x:formula1>0</x:formula1>
      <x:formula2>100</x:formula2>
    </x:dataValidation>
    <x:dataValidation type="decimal" errorStyle="stop" operator="between" allowBlank="1" showDropDown="0" showInputMessage="1" showErrorMessage="1" errorTitle="" error="" promptTitle="" prompt="" sqref="O380:O380">
      <x:formula1>0</x:formula1>
      <x:formula2>100</x:formula2>
    </x:dataValidation>
    <x:dataValidation type="list" errorStyle="stop" operator="between" allowBlank="1" showDropDown="0" showInputMessage="1" showErrorMessage="1" errorTitle="" error="" promptTitle="" prompt="" sqref="H381:H381">
      <x:formula1>'MasterData'!$B$1:$B$14</x:formula1>
      <x:formula2/>
    </x:dataValidation>
    <x:dataValidation type="list" errorStyle="stop" operator="between" allowBlank="1" showDropDown="0" showInputMessage="1" showErrorMessage="1" errorTitle="" error="" promptTitle="" prompt="" sqref="I381:I381">
      <x:formula1>'MasterData'!$E$131:$E$140</x:formula1>
      <x:formula2/>
    </x:dataValidation>
    <x:dataValidation type="decimal" errorStyle="stop" operator="greaterThanOrEqual" allowBlank="1" showDropDown="0" showInputMessage="1" showErrorMessage="1" errorTitle="" error="" promptTitle="" prompt="" sqref="K381:K381">
      <x:formula1>0</x:formula1>
      <x:formula2/>
    </x:dataValidation>
    <x:dataValidation type="decimal" errorStyle="stop" operator="between" allowBlank="1" showDropDown="0" showInputMessage="1" showErrorMessage="1" errorTitle="" error="" promptTitle="" prompt="" sqref="N381:N381">
      <x:formula1>0</x:formula1>
      <x:formula2>100</x:formula2>
    </x:dataValidation>
    <x:dataValidation type="decimal" errorStyle="stop" operator="between" allowBlank="1" showDropDown="0" showInputMessage="1" showErrorMessage="1" errorTitle="" error="" promptTitle="" prompt="" sqref="O381:O381">
      <x:formula1>0</x:formula1>
      <x:formula2>100</x:formula2>
    </x:dataValidation>
    <x:dataValidation type="list" errorStyle="stop" operator="between" allowBlank="1" showDropDown="0" showInputMessage="1" showErrorMessage="1" errorTitle="" error="" promptTitle="" prompt="" sqref="H382:H382">
      <x:formula1>'MasterData'!$B$1:$B$14</x:formula1>
      <x:formula2/>
    </x:dataValidation>
    <x:dataValidation type="list" errorStyle="stop" operator="between" allowBlank="1" showDropDown="0" showInputMessage="1" showErrorMessage="1" errorTitle="" error="" promptTitle="" prompt="" sqref="I382:I382">
      <x:formula1>'MasterData'!$E$141:$E$150</x:formula1>
      <x:formula2/>
    </x:dataValidation>
    <x:dataValidation type="decimal" errorStyle="stop" operator="greaterThanOrEqual" allowBlank="1" showDropDown="0" showInputMessage="1" showErrorMessage="1" errorTitle="" error="" promptTitle="" prompt="" sqref="K382:K382">
      <x:formula1>0</x:formula1>
      <x:formula2/>
    </x:dataValidation>
    <x:dataValidation type="decimal" errorStyle="stop" operator="between" allowBlank="1" showDropDown="0" showInputMessage="1" showErrorMessage="1" errorTitle="" error="" promptTitle="" prompt="" sqref="N382:N382">
      <x:formula1>0</x:formula1>
      <x:formula2>100</x:formula2>
    </x:dataValidation>
    <x:dataValidation type="decimal" errorStyle="stop" operator="between" allowBlank="1" showDropDown="0" showInputMessage="1" showErrorMessage="1" errorTitle="" error="" promptTitle="" prompt="" sqref="O382:O382">
      <x:formula1>0</x:formula1>
      <x:formula2>100</x:formula2>
    </x:dataValidation>
    <x:dataValidation type="list" errorStyle="stop" operator="between" allowBlank="1" showDropDown="0" showInputMessage="1" showErrorMessage="1" errorTitle="" error="" promptTitle="" prompt="" sqref="H383:H383">
      <x:formula1>'MasterData'!$B$1:$B$14</x:formula1>
      <x:formula2/>
    </x:dataValidation>
    <x:dataValidation type="list" errorStyle="stop" operator="between" allowBlank="1" showDropDown="0" showInputMessage="1" showErrorMessage="1" errorTitle="" error="" promptTitle="" prompt="" sqref="I383:I383">
      <x:formula1>'MasterData'!$E$151:$E$160</x:formula1>
      <x:formula2/>
    </x:dataValidation>
    <x:dataValidation type="decimal" errorStyle="stop" operator="greaterThanOrEqual" allowBlank="1" showDropDown="0" showInputMessage="1" showErrorMessage="1" errorTitle="" error="" promptTitle="" prompt="" sqref="K383:K383">
      <x:formula1>0</x:formula1>
      <x:formula2/>
    </x:dataValidation>
    <x:dataValidation type="decimal" errorStyle="stop" operator="between" allowBlank="1" showDropDown="0" showInputMessage="1" showErrorMessage="1" errorTitle="" error="" promptTitle="" prompt="" sqref="N383:N383">
      <x:formula1>0</x:formula1>
      <x:formula2>100</x:formula2>
    </x:dataValidation>
    <x:dataValidation type="decimal" errorStyle="stop" operator="between" allowBlank="1" showDropDown="0" showInputMessage="1" showErrorMessage="1" errorTitle="" error="" promptTitle="" prompt="" sqref="O383:O383">
      <x:formula1>0</x:formula1>
      <x:formula2>100</x:formula2>
    </x:dataValidation>
    <x:dataValidation type="list" errorStyle="stop" operator="between" allowBlank="1" showDropDown="0" showInputMessage="1" showErrorMessage="1" errorTitle="" error="" promptTitle="" prompt="" sqref="H384:H384">
      <x:formula1>'MasterData'!$B$1:$B$14</x:formula1>
      <x:formula2/>
    </x:dataValidation>
    <x:dataValidation type="list" errorStyle="stop" operator="between" allowBlank="1" showDropDown="0" showInputMessage="1" showErrorMessage="1" errorTitle="" error="" promptTitle="" prompt="" sqref="I384:I384">
      <x:formula1>'MasterData'!$E$161:$E$170</x:formula1>
      <x:formula2/>
    </x:dataValidation>
    <x:dataValidation type="decimal" errorStyle="stop" operator="greaterThanOrEqual" allowBlank="1" showDropDown="0" showInputMessage="1" showErrorMessage="1" errorTitle="" error="" promptTitle="" prompt="" sqref="K384:K384">
      <x:formula1>0</x:formula1>
      <x:formula2/>
    </x:dataValidation>
    <x:dataValidation type="decimal" errorStyle="stop" operator="between" allowBlank="1" showDropDown="0" showInputMessage="1" showErrorMessage="1" errorTitle="" error="" promptTitle="" prompt="" sqref="N384:N384">
      <x:formula1>0</x:formula1>
      <x:formula2>100</x:formula2>
    </x:dataValidation>
    <x:dataValidation type="decimal" errorStyle="stop" operator="between" allowBlank="1" showDropDown="0" showInputMessage="1" showErrorMessage="1" errorTitle="" error="" promptTitle="" prompt="" sqref="O384:O384">
      <x:formula1>0</x:formula1>
      <x:formula2>100</x:formula2>
    </x:dataValidation>
    <x:dataValidation type="list" errorStyle="stop" operator="between" allowBlank="1" showDropDown="0" showInputMessage="1" showErrorMessage="1" errorTitle="" error="" promptTitle="" prompt="" sqref="H385:H385">
      <x:formula1>'MasterData'!$B$1:$B$14</x:formula1>
      <x:formula2/>
    </x:dataValidation>
    <x:dataValidation type="list" errorStyle="stop" operator="between" allowBlank="1" showDropDown="0" showInputMessage="1" showErrorMessage="1" errorTitle="" error="" promptTitle="" prompt="" sqref="I385:I385">
      <x:formula1>'MasterData'!$E$171:$E$180</x:formula1>
      <x:formula2/>
    </x:dataValidation>
    <x:dataValidation type="decimal" errorStyle="stop" operator="greaterThanOrEqual" allowBlank="1" showDropDown="0" showInputMessage="1" showErrorMessage="1" errorTitle="" error="" promptTitle="" prompt="" sqref="K385:K385">
      <x:formula1>0</x:formula1>
      <x:formula2/>
    </x:dataValidation>
    <x:dataValidation type="decimal" errorStyle="stop" operator="between" allowBlank="1" showDropDown="0" showInputMessage="1" showErrorMessage="1" errorTitle="" error="" promptTitle="" prompt="" sqref="N385:N385">
      <x:formula1>0</x:formula1>
      <x:formula2>100</x:formula2>
    </x:dataValidation>
    <x:dataValidation type="decimal" errorStyle="stop" operator="between" allowBlank="1" showDropDown="0" showInputMessage="1" showErrorMessage="1" errorTitle="" error="" promptTitle="" prompt="" sqref="O385:O385">
      <x:formula1>0</x:formula1>
      <x:formula2>100</x:formula2>
    </x:dataValidation>
    <x:dataValidation type="list" errorStyle="stop" operator="between" allowBlank="1" showDropDown="0" showInputMessage="1" showErrorMessage="1" errorTitle="" error="" promptTitle="" prompt="" sqref="H386:H386">
      <x:formula1>'MasterData'!$B$1:$B$14</x:formula1>
      <x:formula2/>
    </x:dataValidation>
    <x:dataValidation type="list" errorStyle="stop" operator="between" allowBlank="1" showDropDown="0" showInputMessage="1" showErrorMessage="1" errorTitle="" error="" promptTitle="" prompt="" sqref="I386:I386">
      <x:formula1>'MasterData'!$E$181:$E$190</x:formula1>
      <x:formula2/>
    </x:dataValidation>
    <x:dataValidation type="decimal" errorStyle="stop" operator="greaterThanOrEqual" allowBlank="1" showDropDown="0" showInputMessage="1" showErrorMessage="1" errorTitle="" error="" promptTitle="" prompt="" sqref="K386:K386">
      <x:formula1>0</x:formula1>
      <x:formula2/>
    </x:dataValidation>
    <x:dataValidation type="decimal" errorStyle="stop" operator="between" allowBlank="1" showDropDown="0" showInputMessage="1" showErrorMessage="1" errorTitle="" error="" promptTitle="" prompt="" sqref="N386:N386">
      <x:formula1>0</x:formula1>
      <x:formula2>100</x:formula2>
    </x:dataValidation>
    <x:dataValidation type="decimal" errorStyle="stop" operator="between" allowBlank="1" showDropDown="0" showInputMessage="1" showErrorMessage="1" errorTitle="" error="" promptTitle="" prompt="" sqref="O386:O386">
      <x:formula1>0</x:formula1>
      <x:formula2>100</x:formula2>
    </x:dataValidation>
    <x:dataValidation type="list" errorStyle="stop" operator="between" allowBlank="1" showDropDown="0" showInputMessage="1" showErrorMessage="1" errorTitle="" error="" promptTitle="" prompt="" sqref="H387:H387">
      <x:formula1>'MasterData'!$B$1:$B$14</x:formula1>
      <x:formula2/>
    </x:dataValidation>
    <x:dataValidation type="list" errorStyle="stop" operator="between" allowBlank="1" showDropDown="0" showInputMessage="1" showErrorMessage="1" errorTitle="" error="" promptTitle="" prompt="" sqref="I387:I387">
      <x:formula1>'MasterData'!$E$191:$E$200</x:formula1>
      <x:formula2/>
    </x:dataValidation>
    <x:dataValidation type="decimal" errorStyle="stop" operator="greaterThanOrEqual" allowBlank="1" showDropDown="0" showInputMessage="1" showErrorMessage="1" errorTitle="" error="" promptTitle="" prompt="" sqref="K387:K387">
      <x:formula1>0</x:formula1>
      <x:formula2/>
    </x:dataValidation>
    <x:dataValidation type="decimal" errorStyle="stop" operator="between" allowBlank="1" showDropDown="0" showInputMessage="1" showErrorMessage="1" errorTitle="" error="" promptTitle="" prompt="" sqref="N387:N387">
      <x:formula1>0</x:formula1>
      <x:formula2>100</x:formula2>
    </x:dataValidation>
    <x:dataValidation type="decimal" errorStyle="stop" operator="between" allowBlank="1" showDropDown="0" showInputMessage="1" showErrorMessage="1" errorTitle="" error="" promptTitle="" prompt="" sqref="O387:O387">
      <x:formula1>0</x:formula1>
      <x:formula2>100</x:formula2>
    </x:dataValidation>
    <x:dataValidation type="list" errorStyle="stop" operator="between" allowBlank="1" showDropDown="0" showInputMessage="1" showErrorMessage="1" errorTitle="" error="" promptTitle="" prompt="" sqref="H388:H388">
      <x:formula1>'MasterData'!$B$1:$B$14</x:formula1>
      <x:formula2/>
    </x:dataValidation>
    <x:dataValidation type="list" errorStyle="stop" operator="between" allowBlank="1" showDropDown="0" showInputMessage="1" showErrorMessage="1" errorTitle="" error="" promptTitle="" prompt="" sqref="I388:I388">
      <x:formula1>'MasterData'!$E$201:$E$210</x:formula1>
      <x:formula2/>
    </x:dataValidation>
    <x:dataValidation type="decimal" errorStyle="stop" operator="greaterThanOrEqual" allowBlank="1" showDropDown="0" showInputMessage="1" showErrorMessage="1" errorTitle="" error="" promptTitle="" prompt="" sqref="K388:K388">
      <x:formula1>0</x:formula1>
      <x:formula2/>
    </x:dataValidation>
    <x:dataValidation type="decimal" errorStyle="stop" operator="between" allowBlank="1" showDropDown="0" showInputMessage="1" showErrorMessage="1" errorTitle="" error="" promptTitle="" prompt="" sqref="N388:N388">
      <x:formula1>0</x:formula1>
      <x:formula2>100</x:formula2>
    </x:dataValidation>
    <x:dataValidation type="decimal" errorStyle="stop" operator="between" allowBlank="1" showDropDown="0" showInputMessage="1" showErrorMessage="1" errorTitle="" error="" promptTitle="" prompt="" sqref="O388:O388">
      <x:formula1>0</x:formula1>
      <x:formula2>100</x:formula2>
    </x:dataValidation>
    <x:dataValidation type="none" errorStyle="stop" operator="between" allowBlank="1" showDropDown="0" showInputMessage="1" showErrorMessage="1" errorTitle="" error="" promptTitle="" prompt="" sqref="P392:P392">
      <x:formula1/>
      <x:formula2/>
    </x:dataValidation>
    <x:dataValidation type="decimal" errorStyle="stop" operator="greaterThanOrEqual" allowBlank="1" showDropDown="0" showInputMessage="1" showErrorMessage="1" errorTitle="" error="" promptTitle="" prompt="" sqref="P393:P393">
      <x:formula1>0</x:formula1>
      <x:formula2/>
    </x:dataValidation>
    <x:dataValidation type="decimal" errorStyle="stop" operator="greaterThanOrEqual" allowBlank="1" showDropDown="0" showInputMessage="1" showErrorMessage="1" errorTitle="" error="" promptTitle="" prompt="" sqref="P394:P394">
      <x:formula1>0</x:formula1>
      <x:formula2/>
    </x:dataValidation>
    <x:dataValidation type="decimal" errorStyle="stop" operator="greaterThanOrEqual" allowBlank="1" showDropDown="0" showInputMessage="1" showErrorMessage="1" errorTitle="" error="" promptTitle="" prompt="" sqref="P395:P395">
      <x:formula1>0</x:formula1>
      <x:formula2/>
    </x:dataValidation>
    <x:dataValidation type="decimal" errorStyle="stop" operator="greaterThanOrEqual" allowBlank="1" showDropDown="0" showInputMessage="1" showErrorMessage="1" errorTitle="" error="" promptTitle="" prompt="" sqref="P396:P396">
      <x:formula1>0</x:formula1>
      <x:formula2/>
    </x:dataValidation>
    <x:dataValidation type="list" errorStyle="stop" operator="between" allowBlank="1" showDropDown="0" showInputMessage="1" showErrorMessage="1" errorTitle="" error="" promptTitle="" prompt="" sqref="C393:K393">
      <x:formula1>'MasterData'!$H$1:$H$20</x:formula1>
      <x:formula2/>
    </x:dataValidation>
    <x:dataValidation type="list" errorStyle="stop" operator="between" allowBlank="1" showDropDown="0" showInputMessage="1" showErrorMessage="1" errorTitle="" error="" promptTitle="" prompt="" sqref="C394:K394">
      <x:formula1>'MasterData'!$H$1:$H$20</x:formula1>
      <x:formula2/>
    </x:dataValidation>
    <x:dataValidation type="list" errorStyle="stop" operator="between" allowBlank="1" showDropDown="0" showInputMessage="1" showErrorMessage="1" errorTitle="" error="" promptTitle="" prompt="" sqref="C395:K395">
      <x:formula1>'MasterData'!$H$1:$H$20</x:formula1>
      <x:formula2/>
    </x:dataValidation>
    <x:dataValidation type="list" errorStyle="stop" operator="between" allowBlank="1" showDropDown="0" showInputMessage="1" showErrorMessage="1" errorTitle="" error="" promptTitle="" prompt="" sqref="C396:K396">
      <x:formula1>'MasterData'!$H$1:$H$20</x:formula1>
      <x:formula2/>
    </x:dataValidation>
  </x:dataValidations>
  <x:hyperlinks>
    <x:hyperlink ref="C10" r:id="rId8"/>
  </x:hyperlinks>
  <x:printOptions horizontalCentered="0" verticalCentered="0" headings="0" gridLines="0"/>
  <x:pageMargins left="0.7" right="0.7" top="0.75" bottom="0.75" header="0.3" footer="0.3"/>
  <x:pageSetup paperSize="1" scale="49" pageOrder="downThenOver" orientation="portrait" blackAndWhite="0" draft="0" cellComments="none" errors="displayed" r:id="rId2"/>
  <x:headerFooter/>
  <x:drawing r:id="rId3"/>
  <x:tableParts count="0"/>
  <x:extLst>
    <x: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MasterData!$O$1:$O$70</xm:f>
          </x14:formula1>
          <xm:sqref>O14</xm:sqref>
        </x14:dataValidation>
      </x14:dataValidations>
    </x:ext>
  </x:extLst>
</x:worksheet>
</file>

<file path=xl/worksheets/sheet2.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x:outlinePr summaryBelow="1" summaryRight="1"/>
  </x:sheetPr>
  <x:dimension ref="M1:Q70"/>
  <x:sheetViews>
    <x:sheetView topLeftCell="A46" workbookViewId="0">
      <x:selection activeCell="F68" sqref="F68 F68:F68"/>
    </x:sheetView>
  </x:sheetViews>
  <x:sheetFormatPr defaultRowHeight="15" x14ac:dyDescent="0.25"/>
  <x:cols>
    <x:col min="1" max="12" width="9.140625" style="147" customWidth="1"/>
    <x:col min="13" max="13" width="18.855469" style="269" bestFit="1" customWidth="1"/>
    <x:col min="14" max="14" width="35.285156" style="147" customWidth="1"/>
    <x:col min="15" max="16" width="9.140625" style="147" customWidth="1"/>
    <x:col min="17" max="17" width="9.140625" style="271" customWidth="1"/>
  </x:cols>
  <x:sheetData>
    <x:row r="1" spans="1:17" x14ac:dyDescent="0.25">
      <x:c r="A1" s="147" t="n">
        <x:v>400000</x:v>
      </x:c>
      <x:c r="B1" s="147" t="s">
        <x:v>56</x:v>
      </x:c>
      <x:c r="D1" s="147" t="n">
        <x:v>10128579</x:v>
      </x:c>
      <x:c r="E1" s="147" t="s">
        <x:v>154</x:v>
      </x:c>
      <x:c r="G1" s="147" t="n">
        <x:v>1001307</x:v>
      </x:c>
      <x:c r="H1" s="147" t="s">
        <x:v>1144</x:v>
      </x:c>
      <x:c r="M1" s="269" t="s">
        <x:v>1170</x:v>
      </x:c>
      <x:c r="N1" s="270" t="s">
        <x:v>1171</x:v>
      </x:c>
      <x:c r="O1" s="147" t="s">
        <x:v>1172</x:v>
      </x:c>
    </x:row>
    <x:row r="2" spans="1:17" x14ac:dyDescent="0.25">
      <x:c r="A2" s="147" t="n">
        <x:v>400001</x:v>
      </x:c>
      <x:c r="B2" s="147" t="s">
        <x:v>154</x:v>
      </x:c>
      <x:c r="D2" s="147" t="n">
        <x:v>10128580</x:v>
      </x:c>
      <x:c r="E2" s="147" t="s">
        <x:v>114</x:v>
      </x:c>
      <x:c r="G2" s="147" t="n">
        <x:v>1001310</x:v>
      </x:c>
      <x:c r="H2" s="147" t="s">
        <x:v>1145</x:v>
      </x:c>
      <x:c r="M2" s="269" t="s">
        <x:v>1173</x:v>
      </x:c>
      <x:c r="N2" s="270" t="n">
        <x:v>1020662598</x:v>
      </x:c>
      <x:c r="O2" s="147" t="s">
        <x:v>1174</x:v>
      </x:c>
    </x:row>
    <x:row r="3" spans="1:17" x14ac:dyDescent="0.25">
      <x:c r="A3" s="147" t="n">
        <x:v>400002</x:v>
      </x:c>
      <x:c r="B3" s="147" t="s">
        <x:v>132</x:v>
      </x:c>
      <x:c r="D3" s="147" t="n">
        <x:v>10128581</x:v>
      </x:c>
      <x:c r="E3" s="147" t="s">
        <x:v>114</x:v>
      </x:c>
      <x:c r="G3" s="147" t="n">
        <x:v>1001352</x:v>
      </x:c>
      <x:c r="H3" s="147" t="s">
        <x:v>1141</x:v>
      </x:c>
      <x:c r="M3" s="269" t="s">
        <x:v>1175</x:v>
      </x:c>
      <x:c r="N3" s="270" t="n">
        <x:v>99990000417456</x:v>
      </x:c>
      <x:c r="O3" s="147" t="s">
        <x:v>1176</x:v>
      </x:c>
    </x:row>
    <x:row r="4" spans="1:17" x14ac:dyDescent="0.25">
      <x:c r="A4" s="147" t="n">
        <x:v>400003</x:v>
      </x:c>
      <x:c r="B4" s="147" t="s">
        <x:v>114</x:v>
      </x:c>
      <x:c r="D4" s="147" t="n">
        <x:v>10128582</x:v>
      </x:c>
      <x:c r="E4" s="147" t="s">
        <x:v>132</x:v>
      </x:c>
      <x:c r="G4" s="147" t="n">
        <x:v>1012729</x:v>
      </x:c>
      <x:c r="H4" s="147" t="s">
        <x:v>1177</x:v>
      </x:c>
      <x:c r="M4" s="269" t="s">
        <x:v>1178</x:v>
      </x:c>
      <x:c r="N4" s="270" t="n">
        <x:v>1021682037</x:v>
      </x:c>
      <x:c r="O4" s="147" t="s">
        <x:v>1179</x:v>
      </x:c>
    </x:row>
    <x:row r="5" spans="1:17" x14ac:dyDescent="0.25">
      <x:c r="A5" s="147" t="n">
        <x:v>400004</x:v>
      </x:c>
      <x:c r="B5" s="147" t="s">
        <x:v>1180</x:v>
      </x:c>
      <x:c r="D5" s="147" t="n">
        <x:v>10128595</x:v>
      </x:c>
      <x:c r="E5" s="147" t="s">
        <x:v>132</x:v>
      </x:c>
      <x:c r="G5" s="147" t="n">
        <x:v>1012730</x:v>
      </x:c>
      <x:c r="H5" s="147" t="s">
        <x:v>1181</x:v>
      </x:c>
      <x:c r="M5" s="269" t="s">
        <x:v>1182</x:v>
      </x:c>
      <x:c r="N5" s="270" t="s"/>
      <x:c r="O5" s="147" t="s">
        <x:v>1183</x:v>
      </x:c>
    </x:row>
    <x:row r="6" spans="1:17" x14ac:dyDescent="0.25">
      <x:c r="A6" s="147" t="n">
        <x:v>400005</x:v>
      </x:c>
      <x:c r="B6" s="147" t="s">
        <x:v>1184</x:v>
      </x:c>
      <x:c r="D6" s="147" t="n">
        <x:v>10128596</x:v>
      </x:c>
      <x:c r="E6" s="147" t="s">
        <x:v>56</x:v>
      </x:c>
      <x:c r="G6" s="147" t="n">
        <x:v>1012731</x:v>
      </x:c>
      <x:c r="H6" s="147" t="s">
        <x:v>1185</x:v>
      </x:c>
      <x:c r="M6" s="269" t="s">
        <x:v>1186</x:v>
      </x:c>
      <x:c r="N6" s="270" t="s">
        <x:v>1187</x:v>
      </x:c>
      <x:c r="O6" s="147" t="s">
        <x:v>1188</x:v>
      </x:c>
    </x:row>
    <x:row r="7" spans="1:17" x14ac:dyDescent="0.25">
      <x:c r="A7" s="147" t="n">
        <x:v>400017</x:v>
      </x:c>
      <x:c r="B7" s="147" t="s">
        <x:v>1189</x:v>
      </x:c>
      <x:c r="D7" s="147" t="n">
        <x:v>10128597</x:v>
      </x:c>
      <x:c r="E7" s="147" t="s">
        <x:v>114</x:v>
      </x:c>
      <x:c r="G7" s="147" t="n">
        <x:v>1012732</x:v>
      </x:c>
      <x:c r="H7" s="147" t="s">
        <x:v>1190</x:v>
      </x:c>
      <x:c r="M7" s="269" t="s">
        <x:v>1191</x:v>
      </x:c>
      <x:c r="N7" s="270" t="n">
        <x:v>0</x:v>
      </x:c>
      <x:c r="O7" s="147" t="s">
        <x:v>1192</x:v>
      </x:c>
    </x:row>
    <x:row r="8" spans="1:17" x14ac:dyDescent="0.25">
      <x:c r="A8" s="147" t="n">
        <x:v>900009</x:v>
      </x:c>
      <x:c r="B8" s="147" t="s">
        <x:v>1193</x:v>
      </x:c>
      <x:c r="D8" s="147" t="n">
        <x:v>10128598</x:v>
      </x:c>
      <x:c r="E8" s="147" t="s">
        <x:v>132</x:v>
      </x:c>
      <x:c r="G8" s="147" t="n">
        <x:v>1012733</x:v>
      </x:c>
      <x:c r="H8" s="147" t="s">
        <x:v>1194</x:v>
      </x:c>
      <x:c r="O8" s="147" t="s">
        <x:v>1195</x:v>
      </x:c>
    </x:row>
    <x:row r="9" spans="1:17" x14ac:dyDescent="0.25">
      <x:c r="A9" s="147" t="n">
        <x:v>900010</x:v>
      </x:c>
      <x:c r="B9" s="147" t="s">
        <x:v>1196</x:v>
      </x:c>
      <x:c r="D9" s="147" t="n">
        <x:v>10128599</x:v>
      </x:c>
      <x:c r="E9" s="147" t="s">
        <x:v>154</x:v>
      </x:c>
      <x:c r="G9" s="147" t="n">
        <x:v>1012735</x:v>
      </x:c>
      <x:c r="H9" s="147" t="s">
        <x:v>1197</x:v>
      </x:c>
      <x:c r="O9" s="147" t="s">
        <x:v>1198</x:v>
      </x:c>
    </x:row>
    <x:row r="10" spans="1:17" x14ac:dyDescent="0.25">
      <x:c r="A10" s="147" t="n">
        <x:v>900011</x:v>
      </x:c>
      <x:c r="B10" s="147" t="s">
        <x:v>872</x:v>
      </x:c>
      <x:c r="D10" s="147" t="n">
        <x:v>10128600</x:v>
      </x:c>
      <x:c r="E10" s="147" t="s">
        <x:v>114</x:v>
      </x:c>
      <x:c r="G10" s="147" t="n">
        <x:v>1012736</x:v>
      </x:c>
      <x:c r="H10" s="147" t="s">
        <x:v>1199</x:v>
      </x:c>
      <x:c r="O10" s="147" t="s">
        <x:v>1200</x:v>
      </x:c>
    </x:row>
    <x:row r="11" spans="1:17" x14ac:dyDescent="0.25">
      <x:c r="A11" s="147" t="n">
        <x:v>900012</x:v>
      </x:c>
      <x:c r="B11" s="147" t="s">
        <x:v>1201</x:v>
      </x:c>
      <x:c r="D11" s="147" t="n">
        <x:v>10128579</x:v>
      </x:c>
      <x:c r="E11" s="147" t="s">
        <x:v>154</x:v>
      </x:c>
      <x:c r="G11" s="147" t="n">
        <x:v>1012737</x:v>
      </x:c>
      <x:c r="H11" s="147" t="s">
        <x:v>1202</x:v>
      </x:c>
      <x:c r="O11" s="147" t="s">
        <x:v>1203</x:v>
      </x:c>
    </x:row>
    <x:row r="12" spans="1:17" x14ac:dyDescent="0.25">
      <x:c r="A12" s="147" t="n">
        <x:v>900013</x:v>
      </x:c>
      <x:c r="B12" s="147" t="s">
        <x:v>1101</x:v>
      </x:c>
      <x:c r="D12" s="147" t="n">
        <x:v>10128580</x:v>
      </x:c>
      <x:c r="E12" s="147" t="s">
        <x:v>114</x:v>
      </x:c>
      <x:c r="G12" s="147" t="n">
        <x:v>1012738</x:v>
      </x:c>
      <x:c r="H12" s="147" t="s">
        <x:v>1204</x:v>
      </x:c>
      <x:c r="O12" s="147" t="s">
        <x:v>1205</x:v>
      </x:c>
    </x:row>
    <x:row r="13" spans="1:17" x14ac:dyDescent="0.25">
      <x:c r="A13" s="147" t="n">
        <x:v>900014</x:v>
      </x:c>
      <x:c r="B13" s="147" t="s">
        <x:v>1088</x:v>
      </x:c>
      <x:c r="D13" s="147" t="n">
        <x:v>10128581</x:v>
      </x:c>
      <x:c r="E13" s="147" t="s">
        <x:v>114</x:v>
      </x:c>
      <x:c r="G13" s="147" t="n">
        <x:v>1012739</x:v>
      </x:c>
      <x:c r="H13" s="147" t="s">
        <x:v>1206</x:v>
      </x:c>
      <x:c r="O13" s="147" t="s">
        <x:v>1207</x:v>
      </x:c>
    </x:row>
    <x:row r="14" spans="1:17" x14ac:dyDescent="0.25">
      <x:c r="A14" s="147" t="n">
        <x:v>900073</x:v>
      </x:c>
      <x:c r="B14" s="147" t="s">
        <x:v>1208</x:v>
      </x:c>
      <x:c r="D14" s="147" t="n">
        <x:v>10128582</x:v>
      </x:c>
      <x:c r="E14" s="147" t="s">
        <x:v>132</x:v>
      </x:c>
      <x:c r="G14" s="147" t="n">
        <x:v>1012740</x:v>
      </x:c>
      <x:c r="H14" s="147" t="s">
        <x:v>1209</x:v>
      </x:c>
      <x:c r="O14" s="147" t="s">
        <x:v>1210</x:v>
      </x:c>
    </x:row>
    <x:row r="15" spans="1:17" x14ac:dyDescent="0.25">
      <x:c r="D15" s="147" t="n">
        <x:v>10128595</x:v>
      </x:c>
      <x:c r="E15" s="147" t="s">
        <x:v>132</x:v>
      </x:c>
      <x:c r="G15" s="147" t="n">
        <x:v>1012741</x:v>
      </x:c>
      <x:c r="H15" s="147" t="s">
        <x:v>1211</x:v>
      </x:c>
      <x:c r="O15" s="147" t="s">
        <x:v>1212</x:v>
      </x:c>
    </x:row>
    <x:row r="16" spans="1:17" x14ac:dyDescent="0.25">
      <x:c r="D16" s="147" t="n">
        <x:v>10128596</x:v>
      </x:c>
      <x:c r="E16" s="147" t="s">
        <x:v>56</x:v>
      </x:c>
      <x:c r="G16" s="147" t="n">
        <x:v>1012742</x:v>
      </x:c>
      <x:c r="H16" s="147" t="s">
        <x:v>1213</x:v>
      </x:c>
      <x:c r="O16" s="147" t="s">
        <x:v>1214</x:v>
      </x:c>
    </x:row>
    <x:row r="17" spans="1:17" x14ac:dyDescent="0.25">
      <x:c r="D17" s="147" t="n">
        <x:v>10128597</x:v>
      </x:c>
      <x:c r="E17" s="147" t="s">
        <x:v>114</x:v>
      </x:c>
      <x:c r="G17" s="147" t="n">
        <x:v>1012743</x:v>
      </x:c>
      <x:c r="H17" s="147" t="s">
        <x:v>1215</x:v>
      </x:c>
      <x:c r="O17" s="147" t="s">
        <x:v>1216</x:v>
      </x:c>
    </x:row>
    <x:row r="18" spans="1:17" x14ac:dyDescent="0.25">
      <x:c r="D18" s="147" t="n">
        <x:v>10128598</x:v>
      </x:c>
      <x:c r="E18" s="147" t="s">
        <x:v>132</x:v>
      </x:c>
      <x:c r="G18" s="147" t="n">
        <x:v>1012744</x:v>
      </x:c>
      <x:c r="H18" s="147" t="s">
        <x:v>1217</x:v>
      </x:c>
      <x:c r="O18" s="147" t="s">
        <x:v>1218</x:v>
      </x:c>
    </x:row>
    <x:row r="19" spans="1:17" x14ac:dyDescent="0.25">
      <x:c r="D19" s="147" t="n">
        <x:v>10128599</x:v>
      </x:c>
      <x:c r="E19" s="147" t="s">
        <x:v>154</x:v>
      </x:c>
      <x:c r="G19" s="147" t="n">
        <x:v>1020032</x:v>
      </x:c>
      <x:c r="H19" s="147" t="s">
        <x:v>1219</x:v>
      </x:c>
      <x:c r="O19" s="147" t="s">
        <x:v>1220</x:v>
      </x:c>
    </x:row>
    <x:row r="20" spans="1:17" x14ac:dyDescent="0.25">
      <x:c r="D20" s="147" t="n">
        <x:v>10128600</x:v>
      </x:c>
      <x:c r="E20" s="147" t="s">
        <x:v>114</x:v>
      </x:c>
      <x:c r="G20" s="147" t="n">
        <x:v>1020033</x:v>
      </x:c>
      <x:c r="H20" s="147" t="s">
        <x:v>1221</x:v>
      </x:c>
      <x:c r="O20" s="147" t="s">
        <x:v>1222</x:v>
      </x:c>
    </x:row>
    <x:row r="21" spans="1:17" x14ac:dyDescent="0.25">
      <x:c r="D21" s="147" t="n">
        <x:v>10128579</x:v>
      </x:c>
      <x:c r="E21" s="147" t="s">
        <x:v>154</x:v>
      </x:c>
      <x:c r="O21" s="147" t="s">
        <x:v>1223</x:v>
      </x:c>
    </x:row>
    <x:row r="22" spans="1:17" x14ac:dyDescent="0.25">
      <x:c r="D22" s="147" t="n">
        <x:v>10128580</x:v>
      </x:c>
      <x:c r="E22" s="147" t="s">
        <x:v>114</x:v>
      </x:c>
      <x:c r="O22" s="147" t="s">
        <x:v>1224</x:v>
      </x:c>
    </x:row>
    <x:row r="23" spans="1:17" x14ac:dyDescent="0.25">
      <x:c r="D23" s="147" t="n">
        <x:v>10128581</x:v>
      </x:c>
      <x:c r="E23" s="147" t="s">
        <x:v>114</x:v>
      </x:c>
      <x:c r="O23" s="147" t="s">
        <x:v>1225</x:v>
      </x:c>
    </x:row>
    <x:row r="24" spans="1:17" x14ac:dyDescent="0.25">
      <x:c r="D24" s="147" t="n">
        <x:v>10128582</x:v>
      </x:c>
      <x:c r="E24" s="147" t="s">
        <x:v>132</x:v>
      </x:c>
      <x:c r="O24" s="147" t="s">
        <x:v>1226</x:v>
      </x:c>
    </x:row>
    <x:row r="25" spans="1:17" x14ac:dyDescent="0.25">
      <x:c r="D25" s="147" t="n">
        <x:v>10128595</x:v>
      </x:c>
      <x:c r="E25" s="147" t="s">
        <x:v>132</x:v>
      </x:c>
      <x:c r="O25" s="147" t="s">
        <x:v>1227</x:v>
      </x:c>
    </x:row>
    <x:row r="26" spans="1:17" x14ac:dyDescent="0.25">
      <x:c r="D26" s="147" t="n">
        <x:v>10128596</x:v>
      </x:c>
      <x:c r="E26" s="147" t="s">
        <x:v>56</x:v>
      </x:c>
      <x:c r="O26" s="147" t="s">
        <x:v>1228</x:v>
      </x:c>
    </x:row>
    <x:row r="27" spans="1:17" x14ac:dyDescent="0.25">
      <x:c r="D27" s="147" t="n">
        <x:v>10128597</x:v>
      </x:c>
      <x:c r="E27" s="147" t="s">
        <x:v>114</x:v>
      </x:c>
      <x:c r="O27" s="147" t="s">
        <x:v>1229</x:v>
      </x:c>
    </x:row>
    <x:row r="28" spans="1:17" x14ac:dyDescent="0.25">
      <x:c r="D28" s="147" t="n">
        <x:v>10128598</x:v>
      </x:c>
      <x:c r="E28" s="147" t="s">
        <x:v>132</x:v>
      </x:c>
      <x:c r="O28" s="147" t="s">
        <x:v>1230</x:v>
      </x:c>
    </x:row>
    <x:row r="29" spans="1:17" x14ac:dyDescent="0.25">
      <x:c r="D29" s="147" t="n">
        <x:v>10128599</x:v>
      </x:c>
      <x:c r="E29" s="147" t="s">
        <x:v>154</x:v>
      </x:c>
      <x:c r="O29" s="147" t="s">
        <x:v>1231</x:v>
      </x:c>
    </x:row>
    <x:row r="30" spans="1:17" x14ac:dyDescent="0.25">
      <x:c r="D30" s="147" t="n">
        <x:v>10128600</x:v>
      </x:c>
      <x:c r="E30" s="147" t="s">
        <x:v>114</x:v>
      </x:c>
      <x:c r="O30" s="147" t="s">
        <x:v>1232</x:v>
      </x:c>
    </x:row>
    <x:row r="31" spans="1:17" x14ac:dyDescent="0.25">
      <x:c r="D31" s="147" t="n">
        <x:v>10128579</x:v>
      </x:c>
      <x:c r="E31" s="147" t="s">
        <x:v>154</x:v>
      </x:c>
      <x:c r="O31" s="147" t="s">
        <x:v>1233</x:v>
      </x:c>
    </x:row>
    <x:row r="32" spans="1:17" x14ac:dyDescent="0.25">
      <x:c r="D32" s="147" t="n">
        <x:v>10128580</x:v>
      </x:c>
      <x:c r="E32" s="147" t="s">
        <x:v>114</x:v>
      </x:c>
      <x:c r="O32" s="147" t="s">
        <x:v>1234</x:v>
      </x:c>
    </x:row>
    <x:row r="33" spans="1:17" x14ac:dyDescent="0.25">
      <x:c r="D33" s="147" t="n">
        <x:v>10128581</x:v>
      </x:c>
      <x:c r="E33" s="147" t="s">
        <x:v>114</x:v>
      </x:c>
      <x:c r="O33" s="147" t="s">
        <x:v>1235</x:v>
      </x:c>
    </x:row>
    <x:row r="34" spans="1:17" x14ac:dyDescent="0.25">
      <x:c r="D34" s="147" t="n">
        <x:v>10128582</x:v>
      </x:c>
      <x:c r="E34" s="147" t="s">
        <x:v>132</x:v>
      </x:c>
      <x:c r="O34" s="147" t="s">
        <x:v>1236</x:v>
      </x:c>
    </x:row>
    <x:row r="35" spans="1:17" x14ac:dyDescent="0.25">
      <x:c r="D35" s="147" t="n">
        <x:v>10128595</x:v>
      </x:c>
      <x:c r="E35" s="147" t="s">
        <x:v>132</x:v>
      </x:c>
      <x:c r="O35" s="147" t="s">
        <x:v>1237</x:v>
      </x:c>
    </x:row>
    <x:row r="36" spans="1:17" x14ac:dyDescent="0.25">
      <x:c r="D36" s="147" t="n">
        <x:v>10128596</x:v>
      </x:c>
      <x:c r="E36" s="147" t="s">
        <x:v>56</x:v>
      </x:c>
      <x:c r="O36" s="147" t="s">
        <x:v>1238</x:v>
      </x:c>
    </x:row>
    <x:row r="37" spans="1:17" x14ac:dyDescent="0.25">
      <x:c r="D37" s="147" t="n">
        <x:v>10128597</x:v>
      </x:c>
      <x:c r="E37" s="147" t="s">
        <x:v>114</x:v>
      </x:c>
      <x:c r="O37" s="147" t="s">
        <x:v>1239</x:v>
      </x:c>
    </x:row>
    <x:row r="38" spans="1:17" x14ac:dyDescent="0.25">
      <x:c r="D38" s="147" t="n">
        <x:v>10128598</x:v>
      </x:c>
      <x:c r="E38" s="147" t="s">
        <x:v>132</x:v>
      </x:c>
      <x:c r="O38" s="147" t="s">
        <x:v>1240</x:v>
      </x:c>
    </x:row>
    <x:row r="39" spans="1:17" x14ac:dyDescent="0.25">
      <x:c r="D39" s="147" t="n">
        <x:v>10128599</x:v>
      </x:c>
      <x:c r="E39" s="147" t="s">
        <x:v>154</x:v>
      </x:c>
      <x:c r="O39" s="147" t="s">
        <x:v>1241</x:v>
      </x:c>
    </x:row>
    <x:row r="40" spans="1:17" x14ac:dyDescent="0.25">
      <x:c r="D40" s="147" t="n">
        <x:v>10128600</x:v>
      </x:c>
      <x:c r="E40" s="147" t="s">
        <x:v>114</x:v>
      </x:c>
      <x:c r="O40" s="147" t="s">
        <x:v>1242</x:v>
      </x:c>
    </x:row>
    <x:row r="41" spans="1:17" x14ac:dyDescent="0.25">
      <x:c r="D41" s="147" t="n">
        <x:v>10128579</x:v>
      </x:c>
      <x:c r="E41" s="147" t="s">
        <x:v>154</x:v>
      </x:c>
      <x:c r="O41" s="147" t="s">
        <x:v>1243</x:v>
      </x:c>
    </x:row>
    <x:row r="42" spans="1:17" x14ac:dyDescent="0.25">
      <x:c r="D42" s="147" t="n">
        <x:v>10128580</x:v>
      </x:c>
      <x:c r="E42" s="147" t="s">
        <x:v>114</x:v>
      </x:c>
      <x:c r="O42" s="147" t="s">
        <x:v>1244</x:v>
      </x:c>
    </x:row>
    <x:row r="43" spans="1:17" x14ac:dyDescent="0.25">
      <x:c r="D43" s="147" t="n">
        <x:v>10128581</x:v>
      </x:c>
      <x:c r="E43" s="147" t="s">
        <x:v>114</x:v>
      </x:c>
      <x:c r="O43" s="147" t="s">
        <x:v>1245</x:v>
      </x:c>
    </x:row>
    <x:row r="44" spans="1:17" x14ac:dyDescent="0.25">
      <x:c r="D44" s="147" t="n">
        <x:v>10128582</x:v>
      </x:c>
      <x:c r="E44" s="147" t="s">
        <x:v>132</x:v>
      </x:c>
      <x:c r="O44" s="147" t="s">
        <x:v>1246</x:v>
      </x:c>
    </x:row>
    <x:row r="45" spans="1:17" x14ac:dyDescent="0.25">
      <x:c r="D45" s="147" t="n">
        <x:v>10128595</x:v>
      </x:c>
      <x:c r="E45" s="147" t="s">
        <x:v>132</x:v>
      </x:c>
      <x:c r="O45" s="147" t="s">
        <x:v>1247</x:v>
      </x:c>
    </x:row>
    <x:row r="46" spans="1:17" x14ac:dyDescent="0.25">
      <x:c r="D46" s="147" t="n">
        <x:v>10128596</x:v>
      </x:c>
      <x:c r="E46" s="147" t="s">
        <x:v>56</x:v>
      </x:c>
      <x:c r="O46" s="147" t="s">
        <x:v>1248</x:v>
      </x:c>
    </x:row>
    <x:row r="47" spans="1:17" x14ac:dyDescent="0.25">
      <x:c r="D47" s="147" t="n">
        <x:v>10128597</x:v>
      </x:c>
      <x:c r="E47" s="147" t="s">
        <x:v>114</x:v>
      </x:c>
      <x:c r="O47" s="147" t="s">
        <x:v>1249</x:v>
      </x:c>
    </x:row>
    <x:row r="48" spans="1:17" x14ac:dyDescent="0.25">
      <x:c r="D48" s="147" t="n">
        <x:v>10128598</x:v>
      </x:c>
      <x:c r="E48" s="147" t="s">
        <x:v>132</x:v>
      </x:c>
      <x:c r="O48" s="147" t="s">
        <x:v>1250</x:v>
      </x:c>
    </x:row>
    <x:row r="49" spans="1:17" x14ac:dyDescent="0.25">
      <x:c r="D49" s="147" t="n">
        <x:v>10128599</x:v>
      </x:c>
      <x:c r="E49" s="147" t="s">
        <x:v>154</x:v>
      </x:c>
      <x:c r="O49" s="147" t="s">
        <x:v>1251</x:v>
      </x:c>
    </x:row>
    <x:row r="50" spans="1:17" x14ac:dyDescent="0.25">
      <x:c r="D50" s="147" t="n">
        <x:v>10128600</x:v>
      </x:c>
      <x:c r="E50" s="147" t="s">
        <x:v>114</x:v>
      </x:c>
      <x:c r="O50" s="147" t="s">
        <x:v>1252</x:v>
      </x:c>
    </x:row>
    <x:row r="51" spans="1:17" x14ac:dyDescent="0.25">
      <x:c r="D51" s="147" t="n">
        <x:v>10128579</x:v>
      </x:c>
      <x:c r="E51" s="147" t="s">
        <x:v>154</x:v>
      </x:c>
      <x:c r="O51" s="147" t="s">
        <x:v>1253</x:v>
      </x:c>
    </x:row>
    <x:row r="52" spans="1:17" x14ac:dyDescent="0.25">
      <x:c r="D52" s="147" t="n">
        <x:v>10128580</x:v>
      </x:c>
      <x:c r="E52" s="147" t="s">
        <x:v>114</x:v>
      </x:c>
      <x:c r="O52" s="147" t="s">
        <x:v>1254</x:v>
      </x:c>
    </x:row>
    <x:row r="53" spans="1:17" x14ac:dyDescent="0.25">
      <x:c r="D53" s="147" t="n">
        <x:v>10128581</x:v>
      </x:c>
      <x:c r="E53" s="147" t="s">
        <x:v>114</x:v>
      </x:c>
      <x:c r="O53" s="147" t="s">
        <x:v>1255</x:v>
      </x:c>
    </x:row>
    <x:row r="54" spans="1:17" x14ac:dyDescent="0.25">
      <x:c r="D54" s="147" t="n">
        <x:v>10128582</x:v>
      </x:c>
      <x:c r="E54" s="147" t="s">
        <x:v>132</x:v>
      </x:c>
      <x:c r="O54" s="147" t="s">
        <x:v>1256</x:v>
      </x:c>
    </x:row>
    <x:row r="55" spans="1:17" x14ac:dyDescent="0.25">
      <x:c r="D55" s="147" t="n">
        <x:v>10128595</x:v>
      </x:c>
      <x:c r="E55" s="147" t="s">
        <x:v>132</x:v>
      </x:c>
      <x:c r="O55" s="147" t="s">
        <x:v>31</x:v>
      </x:c>
    </x:row>
    <x:row r="56" spans="1:17" x14ac:dyDescent="0.25">
      <x:c r="D56" s="147" t="n">
        <x:v>10128596</x:v>
      </x:c>
      <x:c r="E56" s="147" t="s">
        <x:v>56</x:v>
      </x:c>
      <x:c r="O56" s="147" t="s">
        <x:v>1257</x:v>
      </x:c>
    </x:row>
    <x:row r="57" spans="1:17" x14ac:dyDescent="0.25">
      <x:c r="D57" s="147" t="n">
        <x:v>10128597</x:v>
      </x:c>
      <x:c r="E57" s="147" t="s">
        <x:v>114</x:v>
      </x:c>
      <x:c r="O57" s="147" t="s">
        <x:v>1258</x:v>
      </x:c>
    </x:row>
    <x:row r="58" spans="1:17" x14ac:dyDescent="0.25">
      <x:c r="D58" s="147" t="n">
        <x:v>10128598</x:v>
      </x:c>
      <x:c r="E58" s="147" t="s">
        <x:v>132</x:v>
      </x:c>
      <x:c r="O58" s="147" t="s">
        <x:v>1259</x:v>
      </x:c>
    </x:row>
    <x:row r="59" spans="1:17" x14ac:dyDescent="0.25">
      <x:c r="D59" s="147" t="n">
        <x:v>10128599</x:v>
      </x:c>
      <x:c r="E59" s="147" t="s">
        <x:v>154</x:v>
      </x:c>
      <x:c r="O59" s="147" t="s">
        <x:v>1260</x:v>
      </x:c>
    </x:row>
    <x:row r="60" spans="1:17" x14ac:dyDescent="0.25">
      <x:c r="D60" s="147" t="n">
        <x:v>10128600</x:v>
      </x:c>
      <x:c r="E60" s="147" t="s">
        <x:v>114</x:v>
      </x:c>
      <x:c r="O60" s="147" t="s">
        <x:v>1261</x:v>
      </x:c>
    </x:row>
    <x:row r="61" spans="1:17" x14ac:dyDescent="0.25">
      <x:c r="D61" s="147" t="n">
        <x:v>10128579</x:v>
      </x:c>
      <x:c r="E61" s="147" t="s">
        <x:v>154</x:v>
      </x:c>
      <x:c r="O61" s="147" t="s">
        <x:v>1262</x:v>
      </x:c>
    </x:row>
    <x:row r="62" spans="1:17" x14ac:dyDescent="0.25">
      <x:c r="D62" s="147" t="n">
        <x:v>10128580</x:v>
      </x:c>
      <x:c r="E62" s="147" t="s">
        <x:v>114</x:v>
      </x:c>
      <x:c r="O62" s="147" t="s">
        <x:v>1263</x:v>
      </x:c>
    </x:row>
    <x:row r="63" spans="1:17" x14ac:dyDescent="0.25">
      <x:c r="D63" s="147" t="n">
        <x:v>10128581</x:v>
      </x:c>
      <x:c r="E63" s="147" t="s">
        <x:v>114</x:v>
      </x:c>
      <x:c r="O63" s="147" t="s">
        <x:v>1264</x:v>
      </x:c>
    </x:row>
    <x:row r="64" spans="1:17" x14ac:dyDescent="0.25">
      <x:c r="D64" s="147" t="n">
        <x:v>10128582</x:v>
      </x:c>
      <x:c r="E64" s="147" t="s">
        <x:v>132</x:v>
      </x:c>
      <x:c r="O64" s="147" t="s">
        <x:v>1265</x:v>
      </x:c>
    </x:row>
    <x:row r="65" spans="1:17" x14ac:dyDescent="0.25">
      <x:c r="D65" s="147" t="n">
        <x:v>10128595</x:v>
      </x:c>
      <x:c r="E65" s="147" t="s">
        <x:v>132</x:v>
      </x:c>
      <x:c r="O65" s="147" t="s">
        <x:v>1266</x:v>
      </x:c>
    </x:row>
    <x:row r="66" spans="1:17" x14ac:dyDescent="0.25">
      <x:c r="D66" s="147" t="n">
        <x:v>10128596</x:v>
      </x:c>
      <x:c r="E66" s="147" t="s">
        <x:v>56</x:v>
      </x:c>
      <x:c r="O66" s="147" t="s">
        <x:v>1267</x:v>
      </x:c>
    </x:row>
    <x:row r="67" spans="1:17" x14ac:dyDescent="0.25">
      <x:c r="D67" s="147" t="n">
        <x:v>10128597</x:v>
      </x:c>
      <x:c r="E67" s="147" t="s">
        <x:v>114</x:v>
      </x:c>
      <x:c r="O67" s="147" t="s">
        <x:v>1268</x:v>
      </x:c>
    </x:row>
    <x:row r="68" spans="1:17" x14ac:dyDescent="0.25">
      <x:c r="D68" s="147" t="n">
        <x:v>10128598</x:v>
      </x:c>
      <x:c r="E68" s="147" t="s">
        <x:v>132</x:v>
      </x:c>
      <x:c r="O68" s="147" t="s">
        <x:v>1269</x:v>
      </x:c>
    </x:row>
    <x:row r="69" spans="1:17" x14ac:dyDescent="0.25">
      <x:c r="D69" s="147" t="n">
        <x:v>10128599</x:v>
      </x:c>
      <x:c r="E69" s="147" t="s">
        <x:v>154</x:v>
      </x:c>
      <x:c r="O69" s="147" t="s">
        <x:v>1270</x:v>
      </x:c>
    </x:row>
    <x:row r="70" spans="1:17" x14ac:dyDescent="0.25">
      <x:c r="D70" s="147" t="n">
        <x:v>10128600</x:v>
      </x:c>
      <x:c r="E70" s="147" t="s">
        <x:v>114</x:v>
      </x:c>
      <x:c r="O70" s="147" t="s">
        <x:v>1271</x:v>
      </x:c>
    </x:row>
    <x:row r="71" spans="1:17">
      <x:c r="D71" s="147" t="n">
        <x:v>10128579</x:v>
      </x:c>
      <x:c r="E71" s="147" t="s">
        <x:v>154</x:v>
      </x:c>
    </x:row>
    <x:row r="72" spans="1:17">
      <x:c r="D72" s="147" t="n">
        <x:v>10128580</x:v>
      </x:c>
      <x:c r="E72" s="147" t="s">
        <x:v>114</x:v>
      </x:c>
    </x:row>
    <x:row r="73" spans="1:17">
      <x:c r="D73" s="147" t="n">
        <x:v>10128581</x:v>
      </x:c>
      <x:c r="E73" s="147" t="s">
        <x:v>114</x:v>
      </x:c>
    </x:row>
    <x:row r="74" spans="1:17">
      <x:c r="D74" s="147" t="n">
        <x:v>10128582</x:v>
      </x:c>
      <x:c r="E74" s="147" t="s">
        <x:v>132</x:v>
      </x:c>
    </x:row>
    <x:row r="75" spans="1:17">
      <x:c r="D75" s="147" t="n">
        <x:v>10128595</x:v>
      </x:c>
      <x:c r="E75" s="147" t="s">
        <x:v>132</x:v>
      </x:c>
    </x:row>
    <x:row r="76" spans="1:17">
      <x:c r="D76" s="147" t="n">
        <x:v>10128596</x:v>
      </x:c>
      <x:c r="E76" s="147" t="s">
        <x:v>56</x:v>
      </x:c>
    </x:row>
    <x:row r="77" spans="1:17">
      <x:c r="D77" s="147" t="n">
        <x:v>10128597</x:v>
      </x:c>
      <x:c r="E77" s="147" t="s">
        <x:v>114</x:v>
      </x:c>
    </x:row>
    <x:row r="78" spans="1:17">
      <x:c r="D78" s="147" t="n">
        <x:v>10128598</x:v>
      </x:c>
      <x:c r="E78" s="147" t="s">
        <x:v>132</x:v>
      </x:c>
    </x:row>
    <x:row r="79" spans="1:17">
      <x:c r="D79" s="147" t="n">
        <x:v>10128599</x:v>
      </x:c>
      <x:c r="E79" s="147" t="s">
        <x:v>154</x:v>
      </x:c>
    </x:row>
    <x:row r="80" spans="1:17">
      <x:c r="D80" s="147" t="n">
        <x:v>10128600</x:v>
      </x:c>
      <x:c r="E80" s="147" t="s">
        <x:v>114</x:v>
      </x:c>
    </x:row>
    <x:row r="81" spans="1:17">
      <x:c r="D81" s="147" t="n">
        <x:v>10128579</x:v>
      </x:c>
      <x:c r="E81" s="147" t="s">
        <x:v>154</x:v>
      </x:c>
    </x:row>
    <x:row r="82" spans="1:17">
      <x:c r="D82" s="147" t="n">
        <x:v>10128580</x:v>
      </x:c>
      <x:c r="E82" s="147" t="s">
        <x:v>114</x:v>
      </x:c>
    </x:row>
    <x:row r="83" spans="1:17">
      <x:c r="D83" s="147" t="n">
        <x:v>10128581</x:v>
      </x:c>
      <x:c r="E83" s="147" t="s">
        <x:v>114</x:v>
      </x:c>
    </x:row>
    <x:row r="84" spans="1:17">
      <x:c r="D84" s="147" t="n">
        <x:v>10128582</x:v>
      </x:c>
      <x:c r="E84" s="147" t="s">
        <x:v>132</x:v>
      </x:c>
    </x:row>
    <x:row r="85" spans="1:17">
      <x:c r="D85" s="147" t="n">
        <x:v>10128595</x:v>
      </x:c>
      <x:c r="E85" s="147" t="s">
        <x:v>132</x:v>
      </x:c>
    </x:row>
    <x:row r="86" spans="1:17">
      <x:c r="D86" s="147" t="n">
        <x:v>10128596</x:v>
      </x:c>
      <x:c r="E86" s="147" t="s">
        <x:v>56</x:v>
      </x:c>
    </x:row>
    <x:row r="87" spans="1:17">
      <x:c r="D87" s="147" t="n">
        <x:v>10128597</x:v>
      </x:c>
      <x:c r="E87" s="147" t="s">
        <x:v>114</x:v>
      </x:c>
    </x:row>
    <x:row r="88" spans="1:17">
      <x:c r="D88" s="147" t="n">
        <x:v>10128598</x:v>
      </x:c>
      <x:c r="E88" s="147" t="s">
        <x:v>132</x:v>
      </x:c>
    </x:row>
    <x:row r="89" spans="1:17">
      <x:c r="D89" s="147" t="n">
        <x:v>10128599</x:v>
      </x:c>
      <x:c r="E89" s="147" t="s">
        <x:v>154</x:v>
      </x:c>
    </x:row>
    <x:row r="90" spans="1:17">
      <x:c r="D90" s="147" t="n">
        <x:v>10128600</x:v>
      </x:c>
      <x:c r="E90" s="147" t="s">
        <x:v>114</x:v>
      </x:c>
    </x:row>
    <x:row r="91" spans="1:17">
      <x:c r="D91" s="147" t="n">
        <x:v>10128579</x:v>
      </x:c>
      <x:c r="E91" s="147" t="s">
        <x:v>154</x:v>
      </x:c>
    </x:row>
    <x:row r="92" spans="1:17">
      <x:c r="D92" s="147" t="n">
        <x:v>10128580</x:v>
      </x:c>
      <x:c r="E92" s="147" t="s">
        <x:v>114</x:v>
      </x:c>
    </x:row>
    <x:row r="93" spans="1:17">
      <x:c r="D93" s="147" t="n">
        <x:v>10128581</x:v>
      </x:c>
      <x:c r="E93" s="147" t="s">
        <x:v>114</x:v>
      </x:c>
    </x:row>
    <x:row r="94" spans="1:17">
      <x:c r="D94" s="147" t="n">
        <x:v>10128582</x:v>
      </x:c>
      <x:c r="E94" s="147" t="s">
        <x:v>132</x:v>
      </x:c>
    </x:row>
    <x:row r="95" spans="1:17">
      <x:c r="D95" s="147" t="n">
        <x:v>10128595</x:v>
      </x:c>
      <x:c r="E95" s="147" t="s">
        <x:v>132</x:v>
      </x:c>
    </x:row>
    <x:row r="96" spans="1:17">
      <x:c r="D96" s="147" t="n">
        <x:v>10128596</x:v>
      </x:c>
      <x:c r="E96" s="147" t="s">
        <x:v>56</x:v>
      </x:c>
    </x:row>
    <x:row r="97" spans="1:17">
      <x:c r="D97" s="147" t="n">
        <x:v>10128597</x:v>
      </x:c>
      <x:c r="E97" s="147" t="s">
        <x:v>114</x:v>
      </x:c>
    </x:row>
    <x:row r="98" spans="1:17">
      <x:c r="D98" s="147" t="n">
        <x:v>10128598</x:v>
      </x:c>
      <x:c r="E98" s="147" t="s">
        <x:v>132</x:v>
      </x:c>
    </x:row>
    <x:row r="99" spans="1:17">
      <x:c r="D99" s="147" t="n">
        <x:v>10128599</x:v>
      </x:c>
      <x:c r="E99" s="147" t="s">
        <x:v>154</x:v>
      </x:c>
    </x:row>
    <x:row r="100" spans="1:17">
      <x:c r="D100" s="147" t="n">
        <x:v>10128600</x:v>
      </x:c>
      <x:c r="E100" s="147" t="s">
        <x:v>114</x:v>
      </x:c>
    </x:row>
    <x:row r="101" spans="1:17">
      <x:c r="D101" s="147" t="n">
        <x:v>10128579</x:v>
      </x:c>
      <x:c r="E101" s="147" t="s">
        <x:v>154</x:v>
      </x:c>
    </x:row>
    <x:row r="102" spans="1:17">
      <x:c r="D102" s="147" t="n">
        <x:v>10128580</x:v>
      </x:c>
      <x:c r="E102" s="147" t="s">
        <x:v>114</x:v>
      </x:c>
    </x:row>
    <x:row r="103" spans="1:17">
      <x:c r="D103" s="147" t="n">
        <x:v>10128581</x:v>
      </x:c>
      <x:c r="E103" s="147" t="s">
        <x:v>114</x:v>
      </x:c>
    </x:row>
    <x:row r="104" spans="1:17">
      <x:c r="D104" s="147" t="n">
        <x:v>10128582</x:v>
      </x:c>
      <x:c r="E104" s="147" t="s">
        <x:v>132</x:v>
      </x:c>
    </x:row>
    <x:row r="105" spans="1:17">
      <x:c r="D105" s="147" t="n">
        <x:v>10128595</x:v>
      </x:c>
      <x:c r="E105" s="147" t="s">
        <x:v>132</x:v>
      </x:c>
    </x:row>
    <x:row r="106" spans="1:17">
      <x:c r="D106" s="147" t="n">
        <x:v>10128596</x:v>
      </x:c>
      <x:c r="E106" s="147" t="s">
        <x:v>56</x:v>
      </x:c>
    </x:row>
    <x:row r="107" spans="1:17">
      <x:c r="D107" s="147" t="n">
        <x:v>10128597</x:v>
      </x:c>
      <x:c r="E107" s="147" t="s">
        <x:v>114</x:v>
      </x:c>
    </x:row>
    <x:row r="108" spans="1:17">
      <x:c r="D108" s="147" t="n">
        <x:v>10128598</x:v>
      </x:c>
      <x:c r="E108" s="147" t="s">
        <x:v>132</x:v>
      </x:c>
    </x:row>
    <x:row r="109" spans="1:17">
      <x:c r="D109" s="147" t="n">
        <x:v>10128599</x:v>
      </x:c>
      <x:c r="E109" s="147" t="s">
        <x:v>154</x:v>
      </x:c>
    </x:row>
    <x:row r="110" spans="1:17">
      <x:c r="D110" s="147" t="n">
        <x:v>10128600</x:v>
      </x:c>
      <x:c r="E110" s="147" t="s">
        <x:v>114</x:v>
      </x:c>
    </x:row>
    <x:row r="111" spans="1:17">
      <x:c r="D111" s="147" t="n">
        <x:v>10128579</x:v>
      </x:c>
      <x:c r="E111" s="147" t="s">
        <x:v>154</x:v>
      </x:c>
    </x:row>
    <x:row r="112" spans="1:17">
      <x:c r="D112" s="147" t="n">
        <x:v>10128580</x:v>
      </x:c>
      <x:c r="E112" s="147" t="s">
        <x:v>114</x:v>
      </x:c>
    </x:row>
    <x:row r="113" spans="1:17">
      <x:c r="D113" s="147" t="n">
        <x:v>10128581</x:v>
      </x:c>
      <x:c r="E113" s="147" t="s">
        <x:v>114</x:v>
      </x:c>
    </x:row>
    <x:row r="114" spans="1:17">
      <x:c r="D114" s="147" t="n">
        <x:v>10128582</x:v>
      </x:c>
      <x:c r="E114" s="147" t="s">
        <x:v>132</x:v>
      </x:c>
    </x:row>
    <x:row r="115" spans="1:17">
      <x:c r="D115" s="147" t="n">
        <x:v>10128595</x:v>
      </x:c>
      <x:c r="E115" s="147" t="s">
        <x:v>132</x:v>
      </x:c>
    </x:row>
    <x:row r="116" spans="1:17">
      <x:c r="D116" s="147" t="n">
        <x:v>10128596</x:v>
      </x:c>
      <x:c r="E116" s="147" t="s">
        <x:v>56</x:v>
      </x:c>
    </x:row>
    <x:row r="117" spans="1:17">
      <x:c r="D117" s="147" t="n">
        <x:v>10128597</x:v>
      </x:c>
      <x:c r="E117" s="147" t="s">
        <x:v>114</x:v>
      </x:c>
    </x:row>
    <x:row r="118" spans="1:17">
      <x:c r="D118" s="147" t="n">
        <x:v>10128598</x:v>
      </x:c>
      <x:c r="E118" s="147" t="s">
        <x:v>132</x:v>
      </x:c>
    </x:row>
    <x:row r="119" spans="1:17">
      <x:c r="D119" s="147" t="n">
        <x:v>10128599</x:v>
      </x:c>
      <x:c r="E119" s="147" t="s">
        <x:v>154</x:v>
      </x:c>
    </x:row>
    <x:row r="120" spans="1:17">
      <x:c r="D120" s="147" t="n">
        <x:v>10128600</x:v>
      </x:c>
      <x:c r="E120" s="147" t="s">
        <x:v>114</x:v>
      </x:c>
    </x:row>
    <x:row r="121" spans="1:17">
      <x:c r="D121" s="147" t="n">
        <x:v>10128579</x:v>
      </x:c>
      <x:c r="E121" s="147" t="s">
        <x:v>154</x:v>
      </x:c>
    </x:row>
    <x:row r="122" spans="1:17">
      <x:c r="D122" s="147" t="n">
        <x:v>10128580</x:v>
      </x:c>
      <x:c r="E122" s="147" t="s">
        <x:v>114</x:v>
      </x:c>
    </x:row>
    <x:row r="123" spans="1:17">
      <x:c r="D123" s="147" t="n">
        <x:v>10128581</x:v>
      </x:c>
      <x:c r="E123" s="147" t="s">
        <x:v>114</x:v>
      </x:c>
    </x:row>
    <x:row r="124" spans="1:17">
      <x:c r="D124" s="147" t="n">
        <x:v>10128582</x:v>
      </x:c>
      <x:c r="E124" s="147" t="s">
        <x:v>132</x:v>
      </x:c>
    </x:row>
    <x:row r="125" spans="1:17">
      <x:c r="D125" s="147" t="n">
        <x:v>10128595</x:v>
      </x:c>
      <x:c r="E125" s="147" t="s">
        <x:v>132</x:v>
      </x:c>
    </x:row>
    <x:row r="126" spans="1:17">
      <x:c r="D126" s="147" t="n">
        <x:v>10128596</x:v>
      </x:c>
      <x:c r="E126" s="147" t="s">
        <x:v>56</x:v>
      </x:c>
    </x:row>
    <x:row r="127" spans="1:17">
      <x:c r="D127" s="147" t="n">
        <x:v>10128597</x:v>
      </x:c>
      <x:c r="E127" s="147" t="s">
        <x:v>114</x:v>
      </x:c>
    </x:row>
    <x:row r="128" spans="1:17">
      <x:c r="D128" s="147" t="n">
        <x:v>10128598</x:v>
      </x:c>
      <x:c r="E128" s="147" t="s">
        <x:v>132</x:v>
      </x:c>
    </x:row>
    <x:row r="129" spans="1:17">
      <x:c r="D129" s="147" t="n">
        <x:v>10128599</x:v>
      </x:c>
      <x:c r="E129" s="147" t="s">
        <x:v>154</x:v>
      </x:c>
    </x:row>
    <x:row r="130" spans="1:17">
      <x:c r="D130" s="147" t="n">
        <x:v>10128600</x:v>
      </x:c>
      <x:c r="E130" s="147" t="s">
        <x:v>114</x:v>
      </x:c>
    </x:row>
    <x:row r="131" spans="1:17">
      <x:c r="D131" s="147" t="n">
        <x:v>10128579</x:v>
      </x:c>
      <x:c r="E131" s="147" t="s">
        <x:v>154</x:v>
      </x:c>
    </x:row>
    <x:row r="132" spans="1:17">
      <x:c r="D132" s="147" t="n">
        <x:v>10128580</x:v>
      </x:c>
      <x:c r="E132" s="147" t="s">
        <x:v>114</x:v>
      </x:c>
    </x:row>
    <x:row r="133" spans="1:17">
      <x:c r="D133" s="147" t="n">
        <x:v>10128581</x:v>
      </x:c>
      <x:c r="E133" s="147" t="s">
        <x:v>114</x:v>
      </x:c>
    </x:row>
    <x:row r="134" spans="1:17">
      <x:c r="D134" s="147" t="n">
        <x:v>10128582</x:v>
      </x:c>
      <x:c r="E134" s="147" t="s">
        <x:v>132</x:v>
      </x:c>
    </x:row>
    <x:row r="135" spans="1:17">
      <x:c r="D135" s="147" t="n">
        <x:v>10128595</x:v>
      </x:c>
      <x:c r="E135" s="147" t="s">
        <x:v>132</x:v>
      </x:c>
    </x:row>
    <x:row r="136" spans="1:17">
      <x:c r="D136" s="147" t="n">
        <x:v>10128596</x:v>
      </x:c>
      <x:c r="E136" s="147" t="s">
        <x:v>56</x:v>
      </x:c>
    </x:row>
    <x:row r="137" spans="1:17">
      <x:c r="D137" s="147" t="n">
        <x:v>10128597</x:v>
      </x:c>
      <x:c r="E137" s="147" t="s">
        <x:v>114</x:v>
      </x:c>
    </x:row>
    <x:row r="138" spans="1:17">
      <x:c r="D138" s="147" t="n">
        <x:v>10128598</x:v>
      </x:c>
      <x:c r="E138" s="147" t="s">
        <x:v>132</x:v>
      </x:c>
    </x:row>
    <x:row r="139" spans="1:17">
      <x:c r="D139" s="147" t="n">
        <x:v>10128599</x:v>
      </x:c>
      <x:c r="E139" s="147" t="s">
        <x:v>154</x:v>
      </x:c>
    </x:row>
    <x:row r="140" spans="1:17">
      <x:c r="D140" s="147" t="n">
        <x:v>10128600</x:v>
      </x:c>
      <x:c r="E140" s="147" t="s">
        <x:v>114</x:v>
      </x:c>
    </x:row>
    <x:row r="141" spans="1:17">
      <x:c r="D141" s="147" t="n">
        <x:v>10128579</x:v>
      </x:c>
      <x:c r="E141" s="147" t="s">
        <x:v>154</x:v>
      </x:c>
    </x:row>
    <x:row r="142" spans="1:17">
      <x:c r="D142" s="147" t="n">
        <x:v>10128580</x:v>
      </x:c>
      <x:c r="E142" s="147" t="s">
        <x:v>114</x:v>
      </x:c>
    </x:row>
    <x:row r="143" spans="1:17">
      <x:c r="D143" s="147" t="n">
        <x:v>10128581</x:v>
      </x:c>
      <x:c r="E143" s="147" t="s">
        <x:v>114</x:v>
      </x:c>
    </x:row>
    <x:row r="144" spans="1:17">
      <x:c r="D144" s="147" t="n">
        <x:v>10128582</x:v>
      </x:c>
      <x:c r="E144" s="147" t="s">
        <x:v>132</x:v>
      </x:c>
    </x:row>
    <x:row r="145" spans="1:17">
      <x:c r="D145" s="147" t="n">
        <x:v>10128595</x:v>
      </x:c>
      <x:c r="E145" s="147" t="s">
        <x:v>132</x:v>
      </x:c>
    </x:row>
    <x:row r="146" spans="1:17">
      <x:c r="D146" s="147" t="n">
        <x:v>10128596</x:v>
      </x:c>
      <x:c r="E146" s="147" t="s">
        <x:v>56</x:v>
      </x:c>
    </x:row>
    <x:row r="147" spans="1:17">
      <x:c r="D147" s="147" t="n">
        <x:v>10128597</x:v>
      </x:c>
      <x:c r="E147" s="147" t="s">
        <x:v>114</x:v>
      </x:c>
    </x:row>
    <x:row r="148" spans="1:17">
      <x:c r="D148" s="147" t="n">
        <x:v>10128598</x:v>
      </x:c>
      <x:c r="E148" s="147" t="s">
        <x:v>132</x:v>
      </x:c>
    </x:row>
    <x:row r="149" spans="1:17">
      <x:c r="D149" s="147" t="n">
        <x:v>10128599</x:v>
      </x:c>
      <x:c r="E149" s="147" t="s">
        <x:v>154</x:v>
      </x:c>
    </x:row>
    <x:row r="150" spans="1:17">
      <x:c r="D150" s="147" t="n">
        <x:v>10128600</x:v>
      </x:c>
      <x:c r="E150" s="147" t="s">
        <x:v>114</x:v>
      </x:c>
    </x:row>
    <x:row r="151" spans="1:17">
      <x:c r="D151" s="147" t="n">
        <x:v>10128579</x:v>
      </x:c>
      <x:c r="E151" s="147" t="s">
        <x:v>154</x:v>
      </x:c>
    </x:row>
    <x:row r="152" spans="1:17">
      <x:c r="D152" s="147" t="n">
        <x:v>10128580</x:v>
      </x:c>
      <x:c r="E152" s="147" t="s">
        <x:v>114</x:v>
      </x:c>
    </x:row>
    <x:row r="153" spans="1:17">
      <x:c r="D153" s="147" t="n">
        <x:v>10128581</x:v>
      </x:c>
      <x:c r="E153" s="147" t="s">
        <x:v>114</x:v>
      </x:c>
    </x:row>
    <x:row r="154" spans="1:17">
      <x:c r="D154" s="147" t="n">
        <x:v>10128582</x:v>
      </x:c>
      <x:c r="E154" s="147" t="s">
        <x:v>132</x:v>
      </x:c>
    </x:row>
    <x:row r="155" spans="1:17">
      <x:c r="D155" s="147" t="n">
        <x:v>10128595</x:v>
      </x:c>
      <x:c r="E155" s="147" t="s">
        <x:v>132</x:v>
      </x:c>
    </x:row>
    <x:row r="156" spans="1:17">
      <x:c r="D156" s="147" t="n">
        <x:v>10128596</x:v>
      </x:c>
      <x:c r="E156" s="147" t="s">
        <x:v>56</x:v>
      </x:c>
    </x:row>
    <x:row r="157" spans="1:17">
      <x:c r="D157" s="147" t="n">
        <x:v>10128597</x:v>
      </x:c>
      <x:c r="E157" s="147" t="s">
        <x:v>114</x:v>
      </x:c>
    </x:row>
    <x:row r="158" spans="1:17">
      <x:c r="D158" s="147" t="n">
        <x:v>10128598</x:v>
      </x:c>
      <x:c r="E158" s="147" t="s">
        <x:v>132</x:v>
      </x:c>
    </x:row>
    <x:row r="159" spans="1:17">
      <x:c r="D159" s="147" t="n">
        <x:v>10128599</x:v>
      </x:c>
      <x:c r="E159" s="147" t="s">
        <x:v>154</x:v>
      </x:c>
    </x:row>
    <x:row r="160" spans="1:17">
      <x:c r="D160" s="147" t="n">
        <x:v>10128600</x:v>
      </x:c>
      <x:c r="E160" s="147" t="s">
        <x:v>114</x:v>
      </x:c>
    </x:row>
    <x:row r="161" spans="1:17">
      <x:c r="D161" s="147" t="n">
        <x:v>10128579</x:v>
      </x:c>
      <x:c r="E161" s="147" t="s">
        <x:v>154</x:v>
      </x:c>
    </x:row>
    <x:row r="162" spans="1:17">
      <x:c r="D162" s="147" t="n">
        <x:v>10128580</x:v>
      </x:c>
      <x:c r="E162" s="147" t="s">
        <x:v>114</x:v>
      </x:c>
    </x:row>
    <x:row r="163" spans="1:17">
      <x:c r="D163" s="147" t="n">
        <x:v>10128581</x:v>
      </x:c>
      <x:c r="E163" s="147" t="s">
        <x:v>114</x:v>
      </x:c>
    </x:row>
    <x:row r="164" spans="1:17">
      <x:c r="D164" s="147" t="n">
        <x:v>10128582</x:v>
      </x:c>
      <x:c r="E164" s="147" t="s">
        <x:v>132</x:v>
      </x:c>
    </x:row>
    <x:row r="165" spans="1:17">
      <x:c r="D165" s="147" t="n">
        <x:v>10128595</x:v>
      </x:c>
      <x:c r="E165" s="147" t="s">
        <x:v>132</x:v>
      </x:c>
    </x:row>
    <x:row r="166" spans="1:17">
      <x:c r="D166" s="147" t="n">
        <x:v>10128596</x:v>
      </x:c>
      <x:c r="E166" s="147" t="s">
        <x:v>56</x:v>
      </x:c>
    </x:row>
    <x:row r="167" spans="1:17">
      <x:c r="D167" s="147" t="n">
        <x:v>10128597</x:v>
      </x:c>
      <x:c r="E167" s="147" t="s">
        <x:v>114</x:v>
      </x:c>
    </x:row>
    <x:row r="168" spans="1:17">
      <x:c r="D168" s="147" t="n">
        <x:v>10128598</x:v>
      </x:c>
      <x:c r="E168" s="147" t="s">
        <x:v>132</x:v>
      </x:c>
    </x:row>
    <x:row r="169" spans="1:17">
      <x:c r="D169" s="147" t="n">
        <x:v>10128599</x:v>
      </x:c>
      <x:c r="E169" s="147" t="s">
        <x:v>154</x:v>
      </x:c>
    </x:row>
    <x:row r="170" spans="1:17">
      <x:c r="D170" s="147" t="n">
        <x:v>10128600</x:v>
      </x:c>
      <x:c r="E170" s="147" t="s">
        <x:v>114</x:v>
      </x:c>
    </x:row>
    <x:row r="171" spans="1:17">
      <x:c r="D171" s="147" t="n">
        <x:v>10128579</x:v>
      </x:c>
      <x:c r="E171" s="147" t="s">
        <x:v>154</x:v>
      </x:c>
    </x:row>
    <x:row r="172" spans="1:17">
      <x:c r="D172" s="147" t="n">
        <x:v>10128580</x:v>
      </x:c>
      <x:c r="E172" s="147" t="s">
        <x:v>114</x:v>
      </x:c>
    </x:row>
    <x:row r="173" spans="1:17">
      <x:c r="D173" s="147" t="n">
        <x:v>10128581</x:v>
      </x:c>
      <x:c r="E173" s="147" t="s">
        <x:v>114</x:v>
      </x:c>
    </x:row>
    <x:row r="174" spans="1:17">
      <x:c r="D174" s="147" t="n">
        <x:v>10128582</x:v>
      </x:c>
      <x:c r="E174" s="147" t="s">
        <x:v>132</x:v>
      </x:c>
    </x:row>
    <x:row r="175" spans="1:17">
      <x:c r="D175" s="147" t="n">
        <x:v>10128595</x:v>
      </x:c>
      <x:c r="E175" s="147" t="s">
        <x:v>132</x:v>
      </x:c>
    </x:row>
    <x:row r="176" spans="1:17">
      <x:c r="D176" s="147" t="n">
        <x:v>10128596</x:v>
      </x:c>
      <x:c r="E176" s="147" t="s">
        <x:v>56</x:v>
      </x:c>
    </x:row>
    <x:row r="177" spans="1:17">
      <x:c r="D177" s="147" t="n">
        <x:v>10128597</x:v>
      </x:c>
      <x:c r="E177" s="147" t="s">
        <x:v>114</x:v>
      </x:c>
    </x:row>
    <x:row r="178" spans="1:17">
      <x:c r="D178" s="147" t="n">
        <x:v>10128598</x:v>
      </x:c>
      <x:c r="E178" s="147" t="s">
        <x:v>132</x:v>
      </x:c>
    </x:row>
    <x:row r="179" spans="1:17">
      <x:c r="D179" s="147" t="n">
        <x:v>10128599</x:v>
      </x:c>
      <x:c r="E179" s="147" t="s">
        <x:v>154</x:v>
      </x:c>
    </x:row>
    <x:row r="180" spans="1:17">
      <x:c r="D180" s="147" t="n">
        <x:v>10128600</x:v>
      </x:c>
      <x:c r="E180" s="147" t="s">
        <x:v>114</x:v>
      </x:c>
    </x:row>
    <x:row r="181" spans="1:17">
      <x:c r="D181" s="147" t="n">
        <x:v>10128579</x:v>
      </x:c>
      <x:c r="E181" s="147" t="s">
        <x:v>154</x:v>
      </x:c>
    </x:row>
    <x:row r="182" spans="1:17">
      <x:c r="D182" s="147" t="n">
        <x:v>10128580</x:v>
      </x:c>
      <x:c r="E182" s="147" t="s">
        <x:v>114</x:v>
      </x:c>
    </x:row>
    <x:row r="183" spans="1:17">
      <x:c r="D183" s="147" t="n">
        <x:v>10128581</x:v>
      </x:c>
      <x:c r="E183" s="147" t="s">
        <x:v>114</x:v>
      </x:c>
    </x:row>
    <x:row r="184" spans="1:17">
      <x:c r="D184" s="147" t="n">
        <x:v>10128582</x:v>
      </x:c>
      <x:c r="E184" s="147" t="s">
        <x:v>132</x:v>
      </x:c>
    </x:row>
    <x:row r="185" spans="1:17">
      <x:c r="D185" s="147" t="n">
        <x:v>10128595</x:v>
      </x:c>
      <x:c r="E185" s="147" t="s">
        <x:v>132</x:v>
      </x:c>
    </x:row>
    <x:row r="186" spans="1:17">
      <x:c r="D186" s="147" t="n">
        <x:v>10128596</x:v>
      </x:c>
      <x:c r="E186" s="147" t="s">
        <x:v>56</x:v>
      </x:c>
    </x:row>
    <x:row r="187" spans="1:17">
      <x:c r="D187" s="147" t="n">
        <x:v>10128597</x:v>
      </x:c>
      <x:c r="E187" s="147" t="s">
        <x:v>114</x:v>
      </x:c>
    </x:row>
    <x:row r="188" spans="1:17">
      <x:c r="D188" s="147" t="n">
        <x:v>10128598</x:v>
      </x:c>
      <x:c r="E188" s="147" t="s">
        <x:v>132</x:v>
      </x:c>
    </x:row>
    <x:row r="189" spans="1:17">
      <x:c r="D189" s="147" t="n">
        <x:v>10128599</x:v>
      </x:c>
      <x:c r="E189" s="147" t="s">
        <x:v>154</x:v>
      </x:c>
    </x:row>
    <x:row r="190" spans="1:17">
      <x:c r="D190" s="147" t="n">
        <x:v>10128600</x:v>
      </x:c>
      <x:c r="E190" s="147" t="s">
        <x:v>114</x:v>
      </x:c>
    </x:row>
    <x:row r="191" spans="1:17">
      <x:c r="D191" s="147" t="n">
        <x:v>10128579</x:v>
      </x:c>
      <x:c r="E191" s="147" t="s">
        <x:v>154</x:v>
      </x:c>
    </x:row>
    <x:row r="192" spans="1:17">
      <x:c r="D192" s="147" t="n">
        <x:v>10128580</x:v>
      </x:c>
      <x:c r="E192" s="147" t="s">
        <x:v>114</x:v>
      </x:c>
    </x:row>
    <x:row r="193" spans="1:17">
      <x:c r="D193" s="147" t="n">
        <x:v>10128581</x:v>
      </x:c>
      <x:c r="E193" s="147" t="s">
        <x:v>114</x:v>
      </x:c>
    </x:row>
    <x:row r="194" spans="1:17">
      <x:c r="D194" s="147" t="n">
        <x:v>10128582</x:v>
      </x:c>
      <x:c r="E194" s="147" t="s">
        <x:v>132</x:v>
      </x:c>
    </x:row>
    <x:row r="195" spans="1:17">
      <x:c r="D195" s="147" t="n">
        <x:v>10128595</x:v>
      </x:c>
      <x:c r="E195" s="147" t="s">
        <x:v>132</x:v>
      </x:c>
    </x:row>
    <x:row r="196" spans="1:17">
      <x:c r="D196" s="147" t="n">
        <x:v>10128596</x:v>
      </x:c>
      <x:c r="E196" s="147" t="s">
        <x:v>56</x:v>
      </x:c>
    </x:row>
    <x:row r="197" spans="1:17">
      <x:c r="D197" s="147" t="n">
        <x:v>10128597</x:v>
      </x:c>
      <x:c r="E197" s="147" t="s">
        <x:v>114</x:v>
      </x:c>
    </x:row>
    <x:row r="198" spans="1:17">
      <x:c r="D198" s="147" t="n">
        <x:v>10128598</x:v>
      </x:c>
      <x:c r="E198" s="147" t="s">
        <x:v>132</x:v>
      </x:c>
    </x:row>
    <x:row r="199" spans="1:17">
      <x:c r="D199" s="147" t="n">
        <x:v>10128599</x:v>
      </x:c>
      <x:c r="E199" s="147" t="s">
        <x:v>154</x:v>
      </x:c>
    </x:row>
    <x:row r="200" spans="1:17">
      <x:c r="D200" s="147" t="n">
        <x:v>10128600</x:v>
      </x:c>
      <x:c r="E200" s="147" t="s">
        <x:v>114</x:v>
      </x:c>
    </x:row>
    <x:row r="201" spans="1:17">
      <x:c r="D201" s="147" t="n">
        <x:v>10128579</x:v>
      </x:c>
      <x:c r="E201" s="147" t="s">
        <x:v>154</x:v>
      </x:c>
    </x:row>
    <x:row r="202" spans="1:17">
      <x:c r="D202" s="147" t="n">
        <x:v>10128580</x:v>
      </x:c>
      <x:c r="E202" s="147" t="s">
        <x:v>114</x:v>
      </x:c>
    </x:row>
    <x:row r="203" spans="1:17">
      <x:c r="D203" s="147" t="n">
        <x:v>10128581</x:v>
      </x:c>
      <x:c r="E203" s="147" t="s">
        <x:v>114</x:v>
      </x:c>
    </x:row>
    <x:row r="204" spans="1:17">
      <x:c r="D204" s="147" t="n">
        <x:v>10128582</x:v>
      </x:c>
      <x:c r="E204" s="147" t="s">
        <x:v>132</x:v>
      </x:c>
    </x:row>
    <x:row r="205" spans="1:17">
      <x:c r="D205" s="147" t="n">
        <x:v>10128595</x:v>
      </x:c>
      <x:c r="E205" s="147" t="s">
        <x:v>132</x:v>
      </x:c>
    </x:row>
    <x:row r="206" spans="1:17">
      <x:c r="D206" s="147" t="n">
        <x:v>10128596</x:v>
      </x:c>
      <x:c r="E206" s="147" t="s">
        <x:v>56</x:v>
      </x:c>
    </x:row>
    <x:row r="207" spans="1:17">
      <x:c r="D207" s="147" t="n">
        <x:v>10128597</x:v>
      </x:c>
      <x:c r="E207" s="147" t="s">
        <x:v>114</x:v>
      </x:c>
    </x:row>
    <x:row r="208" spans="1:17">
      <x:c r="D208" s="147" t="n">
        <x:v>10128598</x:v>
      </x:c>
      <x:c r="E208" s="147" t="s">
        <x:v>132</x:v>
      </x:c>
    </x:row>
    <x:row r="209" spans="1:17">
      <x:c r="D209" s="147" t="n">
        <x:v>10128599</x:v>
      </x:c>
      <x:c r="E209" s="147" t="s">
        <x:v>154</x:v>
      </x:c>
    </x:row>
    <x:row r="210" spans="1:17">
      <x:c r="D210" s="147" t="n">
        <x:v>10128600</x:v>
      </x:c>
      <x:c r="E210" s="147" t="s">
        <x:v>114</x:v>
      </x:c>
    </x:row>
    <x:row r="211" spans="1:17">
      <x:c r="D211" s="147" t="n">
        <x:v>10128579</x:v>
      </x:c>
      <x:c r="E211" s="147" t="s">
        <x:v>154</x:v>
      </x:c>
    </x:row>
    <x:row r="212" spans="1:17">
      <x:c r="D212" s="147" t="n">
        <x:v>10128580</x:v>
      </x:c>
      <x:c r="E212" s="147" t="s">
        <x:v>114</x:v>
      </x:c>
    </x:row>
    <x:row r="213" spans="1:17">
      <x:c r="D213" s="147" t="n">
        <x:v>10128581</x:v>
      </x:c>
      <x:c r="E213" s="147" t="s">
        <x:v>114</x:v>
      </x:c>
    </x:row>
    <x:row r="214" spans="1:17">
      <x:c r="D214" s="147" t="n">
        <x:v>10128582</x:v>
      </x:c>
      <x:c r="E214" s="147" t="s">
        <x:v>132</x:v>
      </x:c>
    </x:row>
    <x:row r="215" spans="1:17">
      <x:c r="D215" s="147" t="n">
        <x:v>10128595</x:v>
      </x:c>
      <x:c r="E215" s="147" t="s">
        <x:v>132</x:v>
      </x:c>
    </x:row>
    <x:row r="216" spans="1:17">
      <x:c r="D216" s="147" t="n">
        <x:v>10128596</x:v>
      </x:c>
      <x:c r="E216" s="147" t="s">
        <x:v>56</x:v>
      </x:c>
    </x:row>
    <x:row r="217" spans="1:17">
      <x:c r="D217" s="147" t="n">
        <x:v>10128597</x:v>
      </x:c>
      <x:c r="E217" s="147" t="s">
        <x:v>114</x:v>
      </x:c>
    </x:row>
    <x:row r="218" spans="1:17">
      <x:c r="D218" s="147" t="n">
        <x:v>10128598</x:v>
      </x:c>
      <x:c r="E218" s="147" t="s">
        <x:v>132</x:v>
      </x:c>
    </x:row>
    <x:row r="219" spans="1:17">
      <x:c r="D219" s="147" t="n">
        <x:v>10128599</x:v>
      </x:c>
      <x:c r="E219" s="147" t="s">
        <x:v>154</x:v>
      </x:c>
    </x:row>
    <x:row r="220" spans="1:17">
      <x:c r="D220" s="147" t="n">
        <x:v>10128600</x:v>
      </x:c>
      <x:c r="E220" s="147" t="s">
        <x:v>114</x:v>
      </x:c>
    </x:row>
    <x:row r="221" spans="1:17">
      <x:c r="D221" s="147" t="n">
        <x:v>10128579</x:v>
      </x:c>
      <x:c r="E221" s="147" t="s">
        <x:v>154</x:v>
      </x:c>
    </x:row>
    <x:row r="222" spans="1:17">
      <x:c r="D222" s="147" t="n">
        <x:v>10128580</x:v>
      </x:c>
      <x:c r="E222" s="147" t="s">
        <x:v>114</x:v>
      </x:c>
    </x:row>
    <x:row r="223" spans="1:17">
      <x:c r="D223" s="147" t="n">
        <x:v>10128581</x:v>
      </x:c>
      <x:c r="E223" s="147" t="s">
        <x:v>114</x:v>
      </x:c>
    </x:row>
    <x:row r="224" spans="1:17">
      <x:c r="D224" s="147" t="n">
        <x:v>10128582</x:v>
      </x:c>
      <x:c r="E224" s="147" t="s">
        <x:v>132</x:v>
      </x:c>
    </x:row>
    <x:row r="225" spans="1:17">
      <x:c r="D225" s="147" t="n">
        <x:v>10128595</x:v>
      </x:c>
      <x:c r="E225" s="147" t="s">
        <x:v>132</x:v>
      </x:c>
    </x:row>
    <x:row r="226" spans="1:17">
      <x:c r="D226" s="147" t="n">
        <x:v>10128596</x:v>
      </x:c>
      <x:c r="E226" s="147" t="s">
        <x:v>56</x:v>
      </x:c>
    </x:row>
    <x:row r="227" spans="1:17">
      <x:c r="D227" s="147" t="n">
        <x:v>10128597</x:v>
      </x:c>
      <x:c r="E227" s="147" t="s">
        <x:v>114</x:v>
      </x:c>
    </x:row>
    <x:row r="228" spans="1:17">
      <x:c r="D228" s="147" t="n">
        <x:v>10128598</x:v>
      </x:c>
      <x:c r="E228" s="147" t="s">
        <x:v>132</x:v>
      </x:c>
    </x:row>
    <x:row r="229" spans="1:17">
      <x:c r="D229" s="147" t="n">
        <x:v>10128599</x:v>
      </x:c>
      <x:c r="E229" s="147" t="s">
        <x:v>154</x:v>
      </x:c>
    </x:row>
    <x:row r="230" spans="1:17">
      <x:c r="D230" s="147" t="n">
        <x:v>10128600</x:v>
      </x:c>
      <x:c r="E230" s="147" t="s">
        <x:v>114</x:v>
      </x:c>
    </x:row>
    <x:row r="231" spans="1:17">
      <x:c r="D231" s="147" t="n">
        <x:v>10128579</x:v>
      </x:c>
      <x:c r="E231" s="147" t="s">
        <x:v>154</x:v>
      </x:c>
    </x:row>
    <x:row r="232" spans="1:17">
      <x:c r="D232" s="147" t="n">
        <x:v>10128580</x:v>
      </x:c>
      <x:c r="E232" s="147" t="s">
        <x:v>114</x:v>
      </x:c>
    </x:row>
    <x:row r="233" spans="1:17">
      <x:c r="D233" s="147" t="n">
        <x:v>10128581</x:v>
      </x:c>
      <x:c r="E233" s="147" t="s">
        <x:v>114</x:v>
      </x:c>
    </x:row>
    <x:row r="234" spans="1:17">
      <x:c r="D234" s="147" t="n">
        <x:v>10128582</x:v>
      </x:c>
      <x:c r="E234" s="147" t="s">
        <x:v>132</x:v>
      </x:c>
    </x:row>
    <x:row r="235" spans="1:17">
      <x:c r="D235" s="147" t="n">
        <x:v>10128595</x:v>
      </x:c>
      <x:c r="E235" s="147" t="s">
        <x:v>132</x:v>
      </x:c>
    </x:row>
    <x:row r="236" spans="1:17">
      <x:c r="D236" s="147" t="n">
        <x:v>10128596</x:v>
      </x:c>
      <x:c r="E236" s="147" t="s">
        <x:v>56</x:v>
      </x:c>
    </x:row>
    <x:row r="237" spans="1:17">
      <x:c r="D237" s="147" t="n">
        <x:v>10128597</x:v>
      </x:c>
      <x:c r="E237" s="147" t="s">
        <x:v>114</x:v>
      </x:c>
    </x:row>
    <x:row r="238" spans="1:17">
      <x:c r="D238" s="147" t="n">
        <x:v>10128598</x:v>
      </x:c>
      <x:c r="E238" s="147" t="s">
        <x:v>132</x:v>
      </x:c>
    </x:row>
    <x:row r="239" spans="1:17">
      <x:c r="D239" s="147" t="n">
        <x:v>10128599</x:v>
      </x:c>
      <x:c r="E239" s="147" t="s">
        <x:v>154</x:v>
      </x:c>
    </x:row>
    <x:row r="240" spans="1:17">
      <x:c r="D240" s="147" t="n">
        <x:v>10128600</x:v>
      </x:c>
      <x:c r="E240" s="147" t="s">
        <x:v>114</x:v>
      </x:c>
    </x:row>
    <x:row r="241" spans="1:17">
      <x:c r="D241" s="147" t="n">
        <x:v>10128579</x:v>
      </x:c>
      <x:c r="E241" s="147" t="s">
        <x:v>154</x:v>
      </x:c>
    </x:row>
    <x:row r="242" spans="1:17">
      <x:c r="D242" s="147" t="n">
        <x:v>10128580</x:v>
      </x:c>
      <x:c r="E242" s="147" t="s">
        <x:v>114</x:v>
      </x:c>
    </x:row>
    <x:row r="243" spans="1:17">
      <x:c r="D243" s="147" t="n">
        <x:v>10128581</x:v>
      </x:c>
      <x:c r="E243" s="147" t="s">
        <x:v>114</x:v>
      </x:c>
    </x:row>
    <x:row r="244" spans="1:17">
      <x:c r="D244" s="147" t="n">
        <x:v>10128582</x:v>
      </x:c>
      <x:c r="E244" s="147" t="s">
        <x:v>132</x:v>
      </x:c>
    </x:row>
    <x:row r="245" spans="1:17">
      <x:c r="D245" s="147" t="n">
        <x:v>10128595</x:v>
      </x:c>
      <x:c r="E245" s="147" t="s">
        <x:v>132</x:v>
      </x:c>
    </x:row>
    <x:row r="246" spans="1:17">
      <x:c r="D246" s="147" t="n">
        <x:v>10128596</x:v>
      </x:c>
      <x:c r="E246" s="147" t="s">
        <x:v>56</x:v>
      </x:c>
    </x:row>
    <x:row r="247" spans="1:17">
      <x:c r="D247" s="147" t="n">
        <x:v>10128597</x:v>
      </x:c>
      <x:c r="E247" s="147" t="s">
        <x:v>114</x:v>
      </x:c>
    </x:row>
    <x:row r="248" spans="1:17">
      <x:c r="D248" s="147" t="n">
        <x:v>10128598</x:v>
      </x:c>
      <x:c r="E248" s="147" t="s">
        <x:v>132</x:v>
      </x:c>
    </x:row>
    <x:row r="249" spans="1:17">
      <x:c r="D249" s="147" t="n">
        <x:v>10128599</x:v>
      </x:c>
      <x:c r="E249" s="147" t="s">
        <x:v>154</x:v>
      </x:c>
    </x:row>
    <x:row r="250" spans="1:17">
      <x:c r="D250" s="147" t="n">
        <x:v>10128600</x:v>
      </x:c>
      <x:c r="E250" s="147" t="s">
        <x:v>114</x:v>
      </x:c>
    </x:row>
    <x:row r="251" spans="1:17">
      <x:c r="D251" s="147" t="n">
        <x:v>10128579</x:v>
      </x:c>
      <x:c r="E251" s="147" t="s">
        <x:v>154</x:v>
      </x:c>
    </x:row>
    <x:row r="252" spans="1:17">
      <x:c r="D252" s="147" t="n">
        <x:v>10128580</x:v>
      </x:c>
      <x:c r="E252" s="147" t="s">
        <x:v>114</x:v>
      </x:c>
    </x:row>
    <x:row r="253" spans="1:17">
      <x:c r="D253" s="147" t="n">
        <x:v>10128581</x:v>
      </x:c>
      <x:c r="E253" s="147" t="s">
        <x:v>114</x:v>
      </x:c>
    </x:row>
    <x:row r="254" spans="1:17">
      <x:c r="D254" s="147" t="n">
        <x:v>10128582</x:v>
      </x:c>
      <x:c r="E254" s="147" t="s">
        <x:v>132</x:v>
      </x:c>
    </x:row>
    <x:row r="255" spans="1:17">
      <x:c r="D255" s="147" t="n">
        <x:v>10128595</x:v>
      </x:c>
      <x:c r="E255" s="147" t="s">
        <x:v>132</x:v>
      </x:c>
    </x:row>
    <x:row r="256" spans="1:17">
      <x:c r="D256" s="147" t="n">
        <x:v>10128596</x:v>
      </x:c>
      <x:c r="E256" s="147" t="s">
        <x:v>56</x:v>
      </x:c>
    </x:row>
    <x:row r="257" spans="1:17">
      <x:c r="D257" s="147" t="n">
        <x:v>10128597</x:v>
      </x:c>
      <x:c r="E257" s="147" t="s">
        <x:v>114</x:v>
      </x:c>
    </x:row>
    <x:row r="258" spans="1:17">
      <x:c r="D258" s="147" t="n">
        <x:v>10128598</x:v>
      </x:c>
      <x:c r="E258" s="147" t="s">
        <x:v>132</x:v>
      </x:c>
    </x:row>
    <x:row r="259" spans="1:17">
      <x:c r="D259" s="147" t="n">
        <x:v>10128599</x:v>
      </x:c>
      <x:c r="E259" s="147" t="s">
        <x:v>154</x:v>
      </x:c>
    </x:row>
    <x:row r="260" spans="1:17">
      <x:c r="D260" s="147" t="n">
        <x:v>10128600</x:v>
      </x:c>
      <x:c r="E260" s="147" t="s">
        <x:v>114</x:v>
      </x:c>
    </x:row>
    <x:row r="261" spans="1:17">
      <x:c r="D261" s="147" t="n">
        <x:v>10128579</x:v>
      </x:c>
      <x:c r="E261" s="147" t="s">
        <x:v>154</x:v>
      </x:c>
    </x:row>
    <x:row r="262" spans="1:17">
      <x:c r="D262" s="147" t="n">
        <x:v>10128580</x:v>
      </x:c>
      <x:c r="E262" s="147" t="s">
        <x:v>114</x:v>
      </x:c>
    </x:row>
    <x:row r="263" spans="1:17">
      <x:c r="D263" s="147" t="n">
        <x:v>10128581</x:v>
      </x:c>
      <x:c r="E263" s="147" t="s">
        <x:v>114</x:v>
      </x:c>
    </x:row>
    <x:row r="264" spans="1:17">
      <x:c r="D264" s="147" t="n">
        <x:v>10128582</x:v>
      </x:c>
      <x:c r="E264" s="147" t="s">
        <x:v>132</x:v>
      </x:c>
    </x:row>
    <x:row r="265" spans="1:17">
      <x:c r="D265" s="147" t="n">
        <x:v>10128595</x:v>
      </x:c>
      <x:c r="E265" s="147" t="s">
        <x:v>132</x:v>
      </x:c>
    </x:row>
    <x:row r="266" spans="1:17">
      <x:c r="D266" s="147" t="n">
        <x:v>10128596</x:v>
      </x:c>
      <x:c r="E266" s="147" t="s">
        <x:v>56</x:v>
      </x:c>
    </x:row>
    <x:row r="267" spans="1:17">
      <x:c r="D267" s="147" t="n">
        <x:v>10128597</x:v>
      </x:c>
      <x:c r="E267" s="147" t="s">
        <x:v>114</x:v>
      </x:c>
    </x:row>
    <x:row r="268" spans="1:17">
      <x:c r="D268" s="147" t="n">
        <x:v>10128598</x:v>
      </x:c>
      <x:c r="E268" s="147" t="s">
        <x:v>132</x:v>
      </x:c>
    </x:row>
    <x:row r="269" spans="1:17">
      <x:c r="D269" s="147" t="n">
        <x:v>10128599</x:v>
      </x:c>
      <x:c r="E269" s="147" t="s">
        <x:v>154</x:v>
      </x:c>
    </x:row>
    <x:row r="270" spans="1:17">
      <x:c r="D270" s="147" t="n">
        <x:v>10128600</x:v>
      </x:c>
      <x:c r="E270" s="147" t="s">
        <x:v>114</x:v>
      </x:c>
    </x:row>
    <x:row r="271" spans="1:17">
      <x:c r="D271" s="147" t="n">
        <x:v>10128579</x:v>
      </x:c>
      <x:c r="E271" s="147" t="s">
        <x:v>154</x:v>
      </x:c>
    </x:row>
    <x:row r="272" spans="1:17">
      <x:c r="D272" s="147" t="n">
        <x:v>10128580</x:v>
      </x:c>
      <x:c r="E272" s="147" t="s">
        <x:v>114</x:v>
      </x:c>
    </x:row>
    <x:row r="273" spans="1:17">
      <x:c r="D273" s="147" t="n">
        <x:v>10128581</x:v>
      </x:c>
      <x:c r="E273" s="147" t="s">
        <x:v>114</x:v>
      </x:c>
    </x:row>
    <x:row r="274" spans="1:17">
      <x:c r="D274" s="147" t="n">
        <x:v>10128582</x:v>
      </x:c>
      <x:c r="E274" s="147" t="s">
        <x:v>132</x:v>
      </x:c>
    </x:row>
    <x:row r="275" spans="1:17">
      <x:c r="D275" s="147" t="n">
        <x:v>10128595</x:v>
      </x:c>
      <x:c r="E275" s="147" t="s">
        <x:v>132</x:v>
      </x:c>
    </x:row>
    <x:row r="276" spans="1:17">
      <x:c r="D276" s="147" t="n">
        <x:v>10128596</x:v>
      </x:c>
      <x:c r="E276" s="147" t="s">
        <x:v>56</x:v>
      </x:c>
    </x:row>
    <x:row r="277" spans="1:17">
      <x:c r="D277" s="147" t="n">
        <x:v>10128597</x:v>
      </x:c>
      <x:c r="E277" s="147" t="s">
        <x:v>114</x:v>
      </x:c>
    </x:row>
    <x:row r="278" spans="1:17">
      <x:c r="D278" s="147" t="n">
        <x:v>10128598</x:v>
      </x:c>
      <x:c r="E278" s="147" t="s">
        <x:v>132</x:v>
      </x:c>
    </x:row>
    <x:row r="279" spans="1:17">
      <x:c r="D279" s="147" t="n">
        <x:v>10128599</x:v>
      </x:c>
      <x:c r="E279" s="147" t="s">
        <x:v>154</x:v>
      </x:c>
    </x:row>
    <x:row r="280" spans="1:17">
      <x:c r="D280" s="147" t="n">
        <x:v>10128600</x:v>
      </x:c>
      <x:c r="E280" s="147" t="s">
        <x:v>114</x:v>
      </x:c>
    </x:row>
    <x:row r="281" spans="1:17">
      <x:c r="D281" s="147" t="n">
        <x:v>10128579</x:v>
      </x:c>
      <x:c r="E281" s="147" t="s">
        <x:v>154</x:v>
      </x:c>
    </x:row>
    <x:row r="282" spans="1:17">
      <x:c r="D282" s="147" t="n">
        <x:v>10128580</x:v>
      </x:c>
      <x:c r="E282" s="147" t="s">
        <x:v>114</x:v>
      </x:c>
    </x:row>
    <x:row r="283" spans="1:17">
      <x:c r="D283" s="147" t="n">
        <x:v>10128581</x:v>
      </x:c>
      <x:c r="E283" s="147" t="s">
        <x:v>114</x:v>
      </x:c>
    </x:row>
    <x:row r="284" spans="1:17">
      <x:c r="D284" s="147" t="n">
        <x:v>10128582</x:v>
      </x:c>
      <x:c r="E284" s="147" t="s">
        <x:v>132</x:v>
      </x:c>
    </x:row>
    <x:row r="285" spans="1:17">
      <x:c r="D285" s="147" t="n">
        <x:v>10128595</x:v>
      </x:c>
      <x:c r="E285" s="147" t="s">
        <x:v>132</x:v>
      </x:c>
    </x:row>
    <x:row r="286" spans="1:17">
      <x:c r="D286" s="147" t="n">
        <x:v>10128596</x:v>
      </x:c>
      <x:c r="E286" s="147" t="s">
        <x:v>56</x:v>
      </x:c>
    </x:row>
    <x:row r="287" spans="1:17">
      <x:c r="D287" s="147" t="n">
        <x:v>10128597</x:v>
      </x:c>
      <x:c r="E287" s="147" t="s">
        <x:v>114</x:v>
      </x:c>
    </x:row>
    <x:row r="288" spans="1:17">
      <x:c r="D288" s="147" t="n">
        <x:v>10128598</x:v>
      </x:c>
      <x:c r="E288" s="147" t="s">
        <x:v>132</x:v>
      </x:c>
    </x:row>
    <x:row r="289" spans="1:17">
      <x:c r="D289" s="147" t="n">
        <x:v>10128599</x:v>
      </x:c>
      <x:c r="E289" s="147" t="s">
        <x:v>154</x:v>
      </x:c>
    </x:row>
    <x:row r="290" spans="1:17">
      <x:c r="D290" s="147" t="n">
        <x:v>10128600</x:v>
      </x:c>
      <x:c r="E290" s="147" t="s">
        <x:v>114</x:v>
      </x:c>
    </x:row>
    <x:row r="291" spans="1:17">
      <x:c r="D291" s="147" t="n">
        <x:v>10128579</x:v>
      </x:c>
      <x:c r="E291" s="147" t="s">
        <x:v>154</x:v>
      </x:c>
    </x:row>
    <x:row r="292" spans="1:17">
      <x:c r="D292" s="147" t="n">
        <x:v>10128580</x:v>
      </x:c>
      <x:c r="E292" s="147" t="s">
        <x:v>114</x:v>
      </x:c>
    </x:row>
    <x:row r="293" spans="1:17">
      <x:c r="D293" s="147" t="n">
        <x:v>10128581</x:v>
      </x:c>
      <x:c r="E293" s="147" t="s">
        <x:v>114</x:v>
      </x:c>
    </x:row>
    <x:row r="294" spans="1:17">
      <x:c r="D294" s="147" t="n">
        <x:v>10128582</x:v>
      </x:c>
      <x:c r="E294" s="147" t="s">
        <x:v>132</x:v>
      </x:c>
    </x:row>
    <x:row r="295" spans="1:17">
      <x:c r="D295" s="147" t="n">
        <x:v>10128595</x:v>
      </x:c>
      <x:c r="E295" s="147" t="s">
        <x:v>132</x:v>
      </x:c>
    </x:row>
    <x:row r="296" spans="1:17">
      <x:c r="D296" s="147" t="n">
        <x:v>10128596</x:v>
      </x:c>
      <x:c r="E296" s="147" t="s">
        <x:v>56</x:v>
      </x:c>
    </x:row>
    <x:row r="297" spans="1:17">
      <x:c r="D297" s="147" t="n">
        <x:v>10128597</x:v>
      </x:c>
      <x:c r="E297" s="147" t="s">
        <x:v>114</x:v>
      </x:c>
    </x:row>
    <x:row r="298" spans="1:17">
      <x:c r="D298" s="147" t="n">
        <x:v>10128598</x:v>
      </x:c>
      <x:c r="E298" s="147" t="s">
        <x:v>132</x:v>
      </x:c>
    </x:row>
    <x:row r="299" spans="1:17">
      <x:c r="D299" s="147" t="n">
        <x:v>10128599</x:v>
      </x:c>
      <x:c r="E299" s="147" t="s">
        <x:v>154</x:v>
      </x:c>
    </x:row>
    <x:row r="300" spans="1:17">
      <x:c r="D300" s="147" t="n">
        <x:v>10128600</x:v>
      </x:c>
      <x:c r="E300" s="147" t="s">
        <x:v>114</x:v>
      </x:c>
    </x:row>
    <x:row r="301" spans="1:17">
      <x:c r="D301" s="147" t="n">
        <x:v>10128579</x:v>
      </x:c>
      <x:c r="E301" s="147" t="s">
        <x:v>154</x:v>
      </x:c>
    </x:row>
    <x:row r="302" spans="1:17">
      <x:c r="D302" s="147" t="n">
        <x:v>10128580</x:v>
      </x:c>
      <x:c r="E302" s="147" t="s">
        <x:v>114</x:v>
      </x:c>
    </x:row>
    <x:row r="303" spans="1:17">
      <x:c r="D303" s="147" t="n">
        <x:v>10128581</x:v>
      </x:c>
      <x:c r="E303" s="147" t="s">
        <x:v>114</x:v>
      </x:c>
    </x:row>
    <x:row r="304" spans="1:17">
      <x:c r="D304" s="147" t="n">
        <x:v>10128582</x:v>
      </x:c>
      <x:c r="E304" s="147" t="s">
        <x:v>132</x:v>
      </x:c>
    </x:row>
    <x:row r="305" spans="1:17">
      <x:c r="D305" s="147" t="n">
        <x:v>10128595</x:v>
      </x:c>
      <x:c r="E305" s="147" t="s">
        <x:v>132</x:v>
      </x:c>
    </x:row>
    <x:row r="306" spans="1:17">
      <x:c r="D306" s="147" t="n">
        <x:v>10128596</x:v>
      </x:c>
      <x:c r="E306" s="147" t="s">
        <x:v>56</x:v>
      </x:c>
    </x:row>
    <x:row r="307" spans="1:17">
      <x:c r="D307" s="147" t="n">
        <x:v>10128597</x:v>
      </x:c>
      <x:c r="E307" s="147" t="s">
        <x:v>114</x:v>
      </x:c>
    </x:row>
    <x:row r="308" spans="1:17">
      <x:c r="D308" s="147" t="n">
        <x:v>10128598</x:v>
      </x:c>
      <x:c r="E308" s="147" t="s">
        <x:v>132</x:v>
      </x:c>
    </x:row>
    <x:row r="309" spans="1:17">
      <x:c r="D309" s="147" t="n">
        <x:v>10128599</x:v>
      </x:c>
      <x:c r="E309" s="147" t="s">
        <x:v>154</x:v>
      </x:c>
    </x:row>
    <x:row r="310" spans="1:17">
      <x:c r="D310" s="147" t="n">
        <x:v>10128600</x:v>
      </x:c>
      <x:c r="E310" s="147" t="s">
        <x:v>114</x:v>
      </x:c>
    </x:row>
    <x:row r="311" spans="1:17">
      <x:c r="D311" s="147" t="n">
        <x:v>10128579</x:v>
      </x:c>
      <x:c r="E311" s="147" t="s">
        <x:v>154</x:v>
      </x:c>
    </x:row>
    <x:row r="312" spans="1:17">
      <x:c r="D312" s="147" t="n">
        <x:v>10128580</x:v>
      </x:c>
      <x:c r="E312" s="147" t="s">
        <x:v>114</x:v>
      </x:c>
    </x:row>
    <x:row r="313" spans="1:17">
      <x:c r="D313" s="147" t="n">
        <x:v>10128581</x:v>
      </x:c>
      <x:c r="E313" s="147" t="s">
        <x:v>114</x:v>
      </x:c>
    </x:row>
    <x:row r="314" spans="1:17">
      <x:c r="D314" s="147" t="n">
        <x:v>10128582</x:v>
      </x:c>
      <x:c r="E314" s="147" t="s">
        <x:v>132</x:v>
      </x:c>
    </x:row>
    <x:row r="315" spans="1:17">
      <x:c r="D315" s="147" t="n">
        <x:v>10128595</x:v>
      </x:c>
      <x:c r="E315" s="147" t="s">
        <x:v>132</x:v>
      </x:c>
    </x:row>
    <x:row r="316" spans="1:17">
      <x:c r="D316" s="147" t="n">
        <x:v>10128596</x:v>
      </x:c>
      <x:c r="E316" s="147" t="s">
        <x:v>56</x:v>
      </x:c>
    </x:row>
    <x:row r="317" spans="1:17">
      <x:c r="D317" s="147" t="n">
        <x:v>10128597</x:v>
      </x:c>
      <x:c r="E317" s="147" t="s">
        <x:v>114</x:v>
      </x:c>
    </x:row>
    <x:row r="318" spans="1:17">
      <x:c r="D318" s="147" t="n">
        <x:v>10128598</x:v>
      </x:c>
      <x:c r="E318" s="147" t="s">
        <x:v>132</x:v>
      </x:c>
    </x:row>
    <x:row r="319" spans="1:17">
      <x:c r="D319" s="147" t="n">
        <x:v>10128599</x:v>
      </x:c>
      <x:c r="E319" s="147" t="s">
        <x:v>154</x:v>
      </x:c>
    </x:row>
    <x:row r="320" spans="1:17">
      <x:c r="D320" s="147" t="n">
        <x:v>10128600</x:v>
      </x:c>
      <x:c r="E320" s="147" t="s">
        <x:v>114</x:v>
      </x:c>
    </x:row>
    <x:row r="321" spans="1:17">
      <x:c r="D321" s="147" t="n">
        <x:v>10128579</x:v>
      </x:c>
      <x:c r="E321" s="147" t="s">
        <x:v>154</x:v>
      </x:c>
    </x:row>
    <x:row r="322" spans="1:17">
      <x:c r="D322" s="147" t="n">
        <x:v>10128580</x:v>
      </x:c>
      <x:c r="E322" s="147" t="s">
        <x:v>114</x:v>
      </x:c>
    </x:row>
    <x:row r="323" spans="1:17">
      <x:c r="D323" s="147" t="n">
        <x:v>10128581</x:v>
      </x:c>
      <x:c r="E323" s="147" t="s">
        <x:v>114</x:v>
      </x:c>
    </x:row>
    <x:row r="324" spans="1:17">
      <x:c r="D324" s="147" t="n">
        <x:v>10128582</x:v>
      </x:c>
      <x:c r="E324" s="147" t="s">
        <x:v>132</x:v>
      </x:c>
    </x:row>
    <x:row r="325" spans="1:17">
      <x:c r="D325" s="147" t="n">
        <x:v>10128595</x:v>
      </x:c>
      <x:c r="E325" s="147" t="s">
        <x:v>132</x:v>
      </x:c>
    </x:row>
    <x:row r="326" spans="1:17">
      <x:c r="D326" s="147" t="n">
        <x:v>10128596</x:v>
      </x:c>
      <x:c r="E326" s="147" t="s">
        <x:v>56</x:v>
      </x:c>
    </x:row>
    <x:row r="327" spans="1:17">
      <x:c r="D327" s="147" t="n">
        <x:v>10128597</x:v>
      </x:c>
      <x:c r="E327" s="147" t="s">
        <x:v>114</x:v>
      </x:c>
    </x:row>
    <x:row r="328" spans="1:17">
      <x:c r="D328" s="147" t="n">
        <x:v>10128598</x:v>
      </x:c>
      <x:c r="E328" s="147" t="s">
        <x:v>132</x:v>
      </x:c>
    </x:row>
    <x:row r="329" spans="1:17">
      <x:c r="D329" s="147" t="n">
        <x:v>10128599</x:v>
      </x:c>
      <x:c r="E329" s="147" t="s">
        <x:v>154</x:v>
      </x:c>
    </x:row>
    <x:row r="330" spans="1:17">
      <x:c r="D330" s="147" t="n">
        <x:v>10128600</x:v>
      </x:c>
      <x:c r="E330" s="147" t="s">
        <x:v>114</x:v>
      </x:c>
    </x:row>
    <x:row r="331" spans="1:17">
      <x:c r="D331" s="147" t="n">
        <x:v>10128579</x:v>
      </x:c>
      <x:c r="E331" s="147" t="s">
        <x:v>154</x:v>
      </x:c>
    </x:row>
    <x:row r="332" spans="1:17">
      <x:c r="D332" s="147" t="n">
        <x:v>10128580</x:v>
      </x:c>
      <x:c r="E332" s="147" t="s">
        <x:v>114</x:v>
      </x:c>
    </x:row>
    <x:row r="333" spans="1:17">
      <x:c r="D333" s="147" t="n">
        <x:v>10128581</x:v>
      </x:c>
      <x:c r="E333" s="147" t="s">
        <x:v>114</x:v>
      </x:c>
    </x:row>
    <x:row r="334" spans="1:17">
      <x:c r="D334" s="147" t="n">
        <x:v>10128582</x:v>
      </x:c>
      <x:c r="E334" s="147" t="s">
        <x:v>132</x:v>
      </x:c>
    </x:row>
    <x:row r="335" spans="1:17">
      <x:c r="D335" s="147" t="n">
        <x:v>10128595</x:v>
      </x:c>
      <x:c r="E335" s="147" t="s">
        <x:v>132</x:v>
      </x:c>
    </x:row>
    <x:row r="336" spans="1:17">
      <x:c r="D336" s="147" t="n">
        <x:v>10128596</x:v>
      </x:c>
      <x:c r="E336" s="147" t="s">
        <x:v>56</x:v>
      </x:c>
    </x:row>
    <x:row r="337" spans="1:17">
      <x:c r="D337" s="147" t="n">
        <x:v>10128597</x:v>
      </x:c>
      <x:c r="E337" s="147" t="s">
        <x:v>114</x:v>
      </x:c>
    </x:row>
    <x:row r="338" spans="1:17">
      <x:c r="D338" s="147" t="n">
        <x:v>10128598</x:v>
      </x:c>
      <x:c r="E338" s="147" t="s">
        <x:v>132</x:v>
      </x:c>
    </x:row>
    <x:row r="339" spans="1:17">
      <x:c r="D339" s="147" t="n">
        <x:v>10128599</x:v>
      </x:c>
      <x:c r="E339" s="147" t="s">
        <x:v>154</x:v>
      </x:c>
    </x:row>
    <x:row r="340" spans="1:17">
      <x:c r="D340" s="147" t="n">
        <x:v>10128600</x:v>
      </x:c>
      <x:c r="E340" s="147" t="s">
        <x:v>114</x:v>
      </x:c>
    </x:row>
    <x:row r="341" spans="1:17">
      <x:c r="D341" s="147" t="n">
        <x:v>10128579</x:v>
      </x:c>
      <x:c r="E341" s="147" t="s">
        <x:v>154</x:v>
      </x:c>
    </x:row>
    <x:row r="342" spans="1:17">
      <x:c r="D342" s="147" t="n">
        <x:v>10128580</x:v>
      </x:c>
      <x:c r="E342" s="147" t="s">
        <x:v>114</x:v>
      </x:c>
    </x:row>
    <x:row r="343" spans="1:17">
      <x:c r="D343" s="147" t="n">
        <x:v>10128581</x:v>
      </x:c>
      <x:c r="E343" s="147" t="s">
        <x:v>114</x:v>
      </x:c>
    </x:row>
    <x:row r="344" spans="1:17">
      <x:c r="D344" s="147" t="n">
        <x:v>10128582</x:v>
      </x:c>
      <x:c r="E344" s="147" t="s">
        <x:v>132</x:v>
      </x:c>
    </x:row>
    <x:row r="345" spans="1:17">
      <x:c r="D345" s="147" t="n">
        <x:v>10128595</x:v>
      </x:c>
      <x:c r="E345" s="147" t="s">
        <x:v>132</x:v>
      </x:c>
    </x:row>
    <x:row r="346" spans="1:17">
      <x:c r="D346" s="147" t="n">
        <x:v>10128596</x:v>
      </x:c>
      <x:c r="E346" s="147" t="s">
        <x:v>56</x:v>
      </x:c>
    </x:row>
    <x:row r="347" spans="1:17">
      <x:c r="D347" s="147" t="n">
        <x:v>10128597</x:v>
      </x:c>
      <x:c r="E347" s="147" t="s">
        <x:v>114</x:v>
      </x:c>
    </x:row>
    <x:row r="348" spans="1:17">
      <x:c r="D348" s="147" t="n">
        <x:v>10128598</x:v>
      </x:c>
      <x:c r="E348" s="147" t="s">
        <x:v>132</x:v>
      </x:c>
    </x:row>
    <x:row r="349" spans="1:17">
      <x:c r="D349" s="147" t="n">
        <x:v>10128599</x:v>
      </x:c>
      <x:c r="E349" s="147" t="s">
        <x:v>154</x:v>
      </x:c>
    </x:row>
    <x:row r="350" spans="1:17">
      <x:c r="D350" s="147" t="n">
        <x:v>10128600</x:v>
      </x:c>
      <x:c r="E350" s="147" t="s">
        <x:v>114</x:v>
      </x:c>
    </x:row>
    <x:row r="351" spans="1:17">
      <x:c r="D351" s="147" t="n">
        <x:v>10128579</x:v>
      </x:c>
      <x:c r="E351" s="147" t="s">
        <x:v>154</x:v>
      </x:c>
    </x:row>
    <x:row r="352" spans="1:17">
      <x:c r="D352" s="147" t="n">
        <x:v>10128580</x:v>
      </x:c>
      <x:c r="E352" s="147" t="s">
        <x:v>114</x:v>
      </x:c>
    </x:row>
    <x:row r="353" spans="1:17">
      <x:c r="D353" s="147" t="n">
        <x:v>10128581</x:v>
      </x:c>
      <x:c r="E353" s="147" t="s">
        <x:v>114</x:v>
      </x:c>
    </x:row>
    <x:row r="354" spans="1:17">
      <x:c r="D354" s="147" t="n">
        <x:v>10128582</x:v>
      </x:c>
      <x:c r="E354" s="147" t="s">
        <x:v>132</x:v>
      </x:c>
    </x:row>
    <x:row r="355" spans="1:17">
      <x:c r="D355" s="147" t="n">
        <x:v>10128595</x:v>
      </x:c>
      <x:c r="E355" s="147" t="s">
        <x:v>132</x:v>
      </x:c>
    </x:row>
    <x:row r="356" spans="1:17">
      <x:c r="D356" s="147" t="n">
        <x:v>10128596</x:v>
      </x:c>
      <x:c r="E356" s="147" t="s">
        <x:v>56</x:v>
      </x:c>
    </x:row>
    <x:row r="357" spans="1:17">
      <x:c r="D357" s="147" t="n">
        <x:v>10128597</x:v>
      </x:c>
      <x:c r="E357" s="147" t="s">
        <x:v>114</x:v>
      </x:c>
    </x:row>
    <x:row r="358" spans="1:17">
      <x:c r="D358" s="147" t="n">
        <x:v>10128598</x:v>
      </x:c>
      <x:c r="E358" s="147" t="s">
        <x:v>132</x:v>
      </x:c>
    </x:row>
    <x:row r="359" spans="1:17">
      <x:c r="D359" s="147" t="n">
        <x:v>10128599</x:v>
      </x:c>
      <x:c r="E359" s="147" t="s">
        <x:v>154</x:v>
      </x:c>
    </x:row>
    <x:row r="360" spans="1:17">
      <x:c r="D360" s="147" t="n">
        <x:v>10128600</x:v>
      </x:c>
      <x:c r="E360" s="147" t="s">
        <x:v>114</x:v>
      </x:c>
    </x:row>
    <x:row r="361" spans="1:17">
      <x:c r="D361" s="147" t="n">
        <x:v>10128579</x:v>
      </x:c>
      <x:c r="E361" s="147" t="s">
        <x:v>154</x:v>
      </x:c>
    </x:row>
    <x:row r="362" spans="1:17">
      <x:c r="D362" s="147" t="n">
        <x:v>10128580</x:v>
      </x:c>
      <x:c r="E362" s="147" t="s">
        <x:v>114</x:v>
      </x:c>
    </x:row>
    <x:row r="363" spans="1:17">
      <x:c r="D363" s="147" t="n">
        <x:v>10128581</x:v>
      </x:c>
      <x:c r="E363" s="147" t="s">
        <x:v>114</x:v>
      </x:c>
    </x:row>
    <x:row r="364" spans="1:17">
      <x:c r="D364" s="147" t="n">
        <x:v>10128582</x:v>
      </x:c>
      <x:c r="E364" s="147" t="s">
        <x:v>132</x:v>
      </x:c>
    </x:row>
    <x:row r="365" spans="1:17">
      <x:c r="D365" s="147" t="n">
        <x:v>10128595</x:v>
      </x:c>
      <x:c r="E365" s="147" t="s">
        <x:v>132</x:v>
      </x:c>
    </x:row>
    <x:row r="366" spans="1:17">
      <x:c r="D366" s="147" t="n">
        <x:v>10128596</x:v>
      </x:c>
      <x:c r="E366" s="147" t="s">
        <x:v>56</x:v>
      </x:c>
    </x:row>
    <x:row r="367" spans="1:17">
      <x:c r="D367" s="147" t="n">
        <x:v>10128597</x:v>
      </x:c>
      <x:c r="E367" s="147" t="s">
        <x:v>114</x:v>
      </x:c>
    </x:row>
    <x:row r="368" spans="1:17">
      <x:c r="D368" s="147" t="n">
        <x:v>10128598</x:v>
      </x:c>
      <x:c r="E368" s="147" t="s">
        <x:v>132</x:v>
      </x:c>
    </x:row>
    <x:row r="369" spans="1:17">
      <x:c r="D369" s="147" t="n">
        <x:v>10128599</x:v>
      </x:c>
      <x:c r="E369" s="147" t="s">
        <x:v>154</x:v>
      </x:c>
    </x:row>
    <x:row r="370" spans="1:17">
      <x:c r="D370" s="147" t="n">
        <x:v>10128600</x:v>
      </x:c>
      <x:c r="E370" s="147" t="s">
        <x:v>114</x:v>
      </x:c>
    </x:row>
    <x:row r="371" spans="1:17">
      <x:c r="D371" s="147" t="n">
        <x:v>10128579</x:v>
      </x:c>
      <x:c r="E371" s="147" t="s">
        <x:v>154</x:v>
      </x:c>
    </x:row>
    <x:row r="372" spans="1:17">
      <x:c r="D372" s="147" t="n">
        <x:v>10128580</x:v>
      </x:c>
      <x:c r="E372" s="147" t="s">
        <x:v>114</x:v>
      </x:c>
    </x:row>
    <x:row r="373" spans="1:17">
      <x:c r="D373" s="147" t="n">
        <x:v>10128581</x:v>
      </x:c>
      <x:c r="E373" s="147" t="s">
        <x:v>114</x:v>
      </x:c>
    </x:row>
    <x:row r="374" spans="1:17">
      <x:c r="D374" s="147" t="n">
        <x:v>10128582</x:v>
      </x:c>
      <x:c r="E374" s="147" t="s">
        <x:v>132</x:v>
      </x:c>
    </x:row>
    <x:row r="375" spans="1:17">
      <x:c r="D375" s="147" t="n">
        <x:v>10128595</x:v>
      </x:c>
      <x:c r="E375" s="147" t="s">
        <x:v>132</x:v>
      </x:c>
    </x:row>
    <x:row r="376" spans="1:17">
      <x:c r="D376" s="147" t="n">
        <x:v>10128596</x:v>
      </x:c>
      <x:c r="E376" s="147" t="s">
        <x:v>56</x:v>
      </x:c>
    </x:row>
    <x:row r="377" spans="1:17">
      <x:c r="D377" s="147" t="n">
        <x:v>10128597</x:v>
      </x:c>
      <x:c r="E377" s="147" t="s">
        <x:v>114</x:v>
      </x:c>
    </x:row>
    <x:row r="378" spans="1:17">
      <x:c r="D378" s="147" t="n">
        <x:v>10128598</x:v>
      </x:c>
      <x:c r="E378" s="147" t="s">
        <x:v>132</x:v>
      </x:c>
    </x:row>
    <x:row r="379" spans="1:17">
      <x:c r="D379" s="147" t="n">
        <x:v>10128599</x:v>
      </x:c>
      <x:c r="E379" s="147" t="s">
        <x:v>154</x:v>
      </x:c>
    </x:row>
    <x:row r="380" spans="1:17">
      <x:c r="D380" s="147" t="n">
        <x:v>10128600</x:v>
      </x:c>
      <x:c r="E380" s="147" t="s">
        <x:v>114</x:v>
      </x:c>
    </x:row>
    <x:row r="381" spans="1:17">
      <x:c r="D381" s="147" t="n">
        <x:v>10128579</x:v>
      </x:c>
      <x:c r="E381" s="147" t="s">
        <x:v>154</x:v>
      </x:c>
    </x:row>
    <x:row r="382" spans="1:17">
      <x:c r="D382" s="147" t="n">
        <x:v>10128580</x:v>
      </x:c>
      <x:c r="E382" s="147" t="s">
        <x:v>114</x:v>
      </x:c>
    </x:row>
    <x:row r="383" spans="1:17">
      <x:c r="D383" s="147" t="n">
        <x:v>10128581</x:v>
      </x:c>
      <x:c r="E383" s="147" t="s">
        <x:v>114</x:v>
      </x:c>
    </x:row>
    <x:row r="384" spans="1:17">
      <x:c r="D384" s="147" t="n">
        <x:v>10128582</x:v>
      </x:c>
      <x:c r="E384" s="147" t="s">
        <x:v>132</x:v>
      </x:c>
    </x:row>
    <x:row r="385" spans="1:17">
      <x:c r="D385" s="147" t="n">
        <x:v>10128595</x:v>
      </x:c>
      <x:c r="E385" s="147" t="s">
        <x:v>132</x:v>
      </x:c>
    </x:row>
    <x:row r="386" spans="1:17">
      <x:c r="D386" s="147" t="n">
        <x:v>10128596</x:v>
      </x:c>
      <x:c r="E386" s="147" t="s">
        <x:v>56</x:v>
      </x:c>
    </x:row>
    <x:row r="387" spans="1:17">
      <x:c r="D387" s="147" t="n">
        <x:v>10128597</x:v>
      </x:c>
      <x:c r="E387" s="147" t="s">
        <x:v>114</x:v>
      </x:c>
    </x:row>
    <x:row r="388" spans="1:17">
      <x:c r="D388" s="147" t="n">
        <x:v>10128598</x:v>
      </x:c>
      <x:c r="E388" s="147" t="s">
        <x:v>132</x:v>
      </x:c>
    </x:row>
    <x:row r="389" spans="1:17">
      <x:c r="D389" s="147" t="n">
        <x:v>10128599</x:v>
      </x:c>
      <x:c r="E389" s="147" t="s">
        <x:v>154</x:v>
      </x:c>
    </x:row>
    <x:row r="390" spans="1:17">
      <x:c r="D390" s="147" t="n">
        <x:v>10128600</x:v>
      </x:c>
      <x:c r="E390" s="147" t="s">
        <x:v>114</x:v>
      </x:c>
    </x:row>
    <x:row r="391" spans="1:17">
      <x:c r="D391" s="147" t="n">
        <x:v>10128579</x:v>
      </x:c>
      <x:c r="E391" s="147" t="s">
        <x:v>154</x:v>
      </x:c>
    </x:row>
    <x:row r="392" spans="1:17">
      <x:c r="D392" s="147" t="n">
        <x:v>10128580</x:v>
      </x:c>
      <x:c r="E392" s="147" t="s">
        <x:v>114</x:v>
      </x:c>
    </x:row>
    <x:row r="393" spans="1:17">
      <x:c r="D393" s="147" t="n">
        <x:v>10128581</x:v>
      </x:c>
      <x:c r="E393" s="147" t="s">
        <x:v>114</x:v>
      </x:c>
    </x:row>
    <x:row r="394" spans="1:17">
      <x:c r="D394" s="147" t="n">
        <x:v>10128582</x:v>
      </x:c>
      <x:c r="E394" s="147" t="s">
        <x:v>132</x:v>
      </x:c>
    </x:row>
    <x:row r="395" spans="1:17">
      <x:c r="D395" s="147" t="n">
        <x:v>10128595</x:v>
      </x:c>
      <x:c r="E395" s="147" t="s">
        <x:v>132</x:v>
      </x:c>
    </x:row>
    <x:row r="396" spans="1:17">
      <x:c r="D396" s="147" t="n">
        <x:v>10128596</x:v>
      </x:c>
      <x:c r="E396" s="147" t="s">
        <x:v>56</x:v>
      </x:c>
    </x:row>
    <x:row r="397" spans="1:17">
      <x:c r="D397" s="147" t="n">
        <x:v>10128597</x:v>
      </x:c>
      <x:c r="E397" s="147" t="s">
        <x:v>114</x:v>
      </x:c>
    </x:row>
    <x:row r="398" spans="1:17">
      <x:c r="D398" s="147" t="n">
        <x:v>10128598</x:v>
      </x:c>
      <x:c r="E398" s="147" t="s">
        <x:v>132</x:v>
      </x:c>
    </x:row>
    <x:row r="399" spans="1:17">
      <x:c r="D399" s="147" t="n">
        <x:v>10128599</x:v>
      </x:c>
      <x:c r="E399" s="147" t="s">
        <x:v>154</x:v>
      </x:c>
    </x:row>
    <x:row r="400" spans="1:17">
      <x:c r="D400" s="147" t="n">
        <x:v>10128600</x:v>
      </x:c>
      <x:c r="E400" s="147" t="s">
        <x:v>114</x:v>
      </x:c>
    </x:row>
    <x:row r="401" spans="1:17">
      <x:c r="D401" s="147" t="n">
        <x:v>10128579</x:v>
      </x:c>
      <x:c r="E401" s="147" t="s">
        <x:v>154</x:v>
      </x:c>
    </x:row>
    <x:row r="402" spans="1:17">
      <x:c r="D402" s="147" t="n">
        <x:v>10128580</x:v>
      </x:c>
      <x:c r="E402" s="147" t="s">
        <x:v>114</x:v>
      </x:c>
    </x:row>
    <x:row r="403" spans="1:17">
      <x:c r="D403" s="147" t="n">
        <x:v>10128581</x:v>
      </x:c>
      <x:c r="E403" s="147" t="s">
        <x:v>114</x:v>
      </x:c>
    </x:row>
    <x:row r="404" spans="1:17">
      <x:c r="D404" s="147" t="n">
        <x:v>10128582</x:v>
      </x:c>
      <x:c r="E404" s="147" t="s">
        <x:v>132</x:v>
      </x:c>
    </x:row>
    <x:row r="405" spans="1:17">
      <x:c r="D405" s="147" t="n">
        <x:v>10128595</x:v>
      </x:c>
      <x:c r="E405" s="147" t="s">
        <x:v>132</x:v>
      </x:c>
    </x:row>
    <x:row r="406" spans="1:17">
      <x:c r="D406" s="147" t="n">
        <x:v>10128596</x:v>
      </x:c>
      <x:c r="E406" s="147" t="s">
        <x:v>56</x:v>
      </x:c>
    </x:row>
    <x:row r="407" spans="1:17">
      <x:c r="D407" s="147" t="n">
        <x:v>10128597</x:v>
      </x:c>
      <x:c r="E407" s="147" t="s">
        <x:v>114</x:v>
      </x:c>
    </x:row>
    <x:row r="408" spans="1:17">
      <x:c r="D408" s="147" t="n">
        <x:v>10128598</x:v>
      </x:c>
      <x:c r="E408" s="147" t="s">
        <x:v>132</x:v>
      </x:c>
    </x:row>
    <x:row r="409" spans="1:17">
      <x:c r="D409" s="147" t="n">
        <x:v>10128599</x:v>
      </x:c>
      <x:c r="E409" s="147" t="s">
        <x:v>154</x:v>
      </x:c>
    </x:row>
    <x:row r="410" spans="1:17">
      <x:c r="D410" s="147" t="n">
        <x:v>10128600</x:v>
      </x:c>
      <x:c r="E410" s="147" t="s">
        <x:v>114</x:v>
      </x:c>
    </x:row>
    <x:row r="411" spans="1:17">
      <x:c r="D411" s="147" t="n">
        <x:v>10128579</x:v>
      </x:c>
      <x:c r="E411" s="147" t="s">
        <x:v>154</x:v>
      </x:c>
    </x:row>
    <x:row r="412" spans="1:17">
      <x:c r="D412" s="147" t="n">
        <x:v>10128580</x:v>
      </x:c>
      <x:c r="E412" s="147" t="s">
        <x:v>114</x:v>
      </x:c>
    </x:row>
    <x:row r="413" spans="1:17">
      <x:c r="D413" s="147" t="n">
        <x:v>10128581</x:v>
      </x:c>
      <x:c r="E413" s="147" t="s">
        <x:v>114</x:v>
      </x:c>
    </x:row>
    <x:row r="414" spans="1:17">
      <x:c r="D414" s="147" t="n">
        <x:v>10128582</x:v>
      </x:c>
      <x:c r="E414" s="147" t="s">
        <x:v>132</x:v>
      </x:c>
    </x:row>
    <x:row r="415" spans="1:17">
      <x:c r="D415" s="147" t="n">
        <x:v>10128595</x:v>
      </x:c>
      <x:c r="E415" s="147" t="s">
        <x:v>132</x:v>
      </x:c>
    </x:row>
    <x:row r="416" spans="1:17">
      <x:c r="D416" s="147" t="n">
        <x:v>10128596</x:v>
      </x:c>
      <x:c r="E416" s="147" t="s">
        <x:v>56</x:v>
      </x:c>
    </x:row>
    <x:row r="417" spans="1:17">
      <x:c r="D417" s="147" t="n">
        <x:v>10128597</x:v>
      </x:c>
      <x:c r="E417" s="147" t="s">
        <x:v>114</x:v>
      </x:c>
    </x:row>
    <x:row r="418" spans="1:17">
      <x:c r="D418" s="147" t="n">
        <x:v>10128598</x:v>
      </x:c>
      <x:c r="E418" s="147" t="s">
        <x:v>132</x:v>
      </x:c>
    </x:row>
    <x:row r="419" spans="1:17">
      <x:c r="D419" s="147" t="n">
        <x:v>10128599</x:v>
      </x:c>
      <x:c r="E419" s="147" t="s">
        <x:v>154</x:v>
      </x:c>
    </x:row>
    <x:row r="420" spans="1:17">
      <x:c r="D420" s="147" t="n">
        <x:v>10128600</x:v>
      </x:c>
      <x:c r="E420" s="147" t="s">
        <x:v>114</x:v>
      </x:c>
    </x:row>
    <x:row r="421" spans="1:17">
      <x:c r="D421" s="147" t="n">
        <x:v>10128579</x:v>
      </x:c>
      <x:c r="E421" s="147" t="s">
        <x:v>154</x:v>
      </x:c>
    </x:row>
    <x:row r="422" spans="1:17">
      <x:c r="D422" s="147" t="n">
        <x:v>10128580</x:v>
      </x:c>
      <x:c r="E422" s="147" t="s">
        <x:v>114</x:v>
      </x:c>
    </x:row>
    <x:row r="423" spans="1:17">
      <x:c r="D423" s="147" t="n">
        <x:v>10128581</x:v>
      </x:c>
      <x:c r="E423" s="147" t="s">
        <x:v>114</x:v>
      </x:c>
    </x:row>
    <x:row r="424" spans="1:17">
      <x:c r="D424" s="147" t="n">
        <x:v>10128582</x:v>
      </x:c>
      <x:c r="E424" s="147" t="s">
        <x:v>132</x:v>
      </x:c>
    </x:row>
    <x:row r="425" spans="1:17">
      <x:c r="D425" s="147" t="n">
        <x:v>10128595</x:v>
      </x:c>
      <x:c r="E425" s="147" t="s">
        <x:v>132</x:v>
      </x:c>
    </x:row>
    <x:row r="426" spans="1:17">
      <x:c r="D426" s="147" t="n">
        <x:v>10128596</x:v>
      </x:c>
      <x:c r="E426" s="147" t="s">
        <x:v>56</x:v>
      </x:c>
    </x:row>
    <x:row r="427" spans="1:17">
      <x:c r="D427" s="147" t="n">
        <x:v>10128597</x:v>
      </x:c>
      <x:c r="E427" s="147" t="s">
        <x:v>114</x:v>
      </x:c>
    </x:row>
    <x:row r="428" spans="1:17">
      <x:c r="D428" s="147" t="n">
        <x:v>10128598</x:v>
      </x:c>
      <x:c r="E428" s="147" t="s">
        <x:v>132</x:v>
      </x:c>
    </x:row>
    <x:row r="429" spans="1:17">
      <x:c r="D429" s="147" t="n">
        <x:v>10128599</x:v>
      </x:c>
      <x:c r="E429" s="147" t="s">
        <x:v>154</x:v>
      </x:c>
    </x:row>
    <x:row r="430" spans="1:17">
      <x:c r="D430" s="147" t="n">
        <x:v>10128600</x:v>
      </x:c>
      <x:c r="E430" s="147" t="s">
        <x:v>114</x:v>
      </x:c>
    </x:row>
    <x:row r="431" spans="1:17">
      <x:c r="D431" s="147" t="n">
        <x:v>10128579</x:v>
      </x:c>
      <x:c r="E431" s="147" t="s">
        <x:v>154</x:v>
      </x:c>
    </x:row>
    <x:row r="432" spans="1:17">
      <x:c r="D432" s="147" t="n">
        <x:v>10128580</x:v>
      </x:c>
      <x:c r="E432" s="147" t="s">
        <x:v>114</x:v>
      </x:c>
    </x:row>
    <x:row r="433" spans="1:17">
      <x:c r="D433" s="147" t="n">
        <x:v>10128581</x:v>
      </x:c>
      <x:c r="E433" s="147" t="s">
        <x:v>114</x:v>
      </x:c>
    </x:row>
    <x:row r="434" spans="1:17">
      <x:c r="D434" s="147" t="n">
        <x:v>10128582</x:v>
      </x:c>
      <x:c r="E434" s="147" t="s">
        <x:v>132</x:v>
      </x:c>
    </x:row>
    <x:row r="435" spans="1:17">
      <x:c r="D435" s="147" t="n">
        <x:v>10128595</x:v>
      </x:c>
      <x:c r="E435" s="147" t="s">
        <x:v>132</x:v>
      </x:c>
    </x:row>
    <x:row r="436" spans="1:17">
      <x:c r="D436" s="147" t="n">
        <x:v>10128596</x:v>
      </x:c>
      <x:c r="E436" s="147" t="s">
        <x:v>56</x:v>
      </x:c>
    </x:row>
    <x:row r="437" spans="1:17">
      <x:c r="D437" s="147" t="n">
        <x:v>10128597</x:v>
      </x:c>
      <x:c r="E437" s="147" t="s">
        <x:v>114</x:v>
      </x:c>
    </x:row>
    <x:row r="438" spans="1:17">
      <x:c r="D438" s="147" t="n">
        <x:v>10128598</x:v>
      </x:c>
      <x:c r="E438" s="147" t="s">
        <x:v>132</x:v>
      </x:c>
    </x:row>
    <x:row r="439" spans="1:17">
      <x:c r="D439" s="147" t="n">
        <x:v>10128599</x:v>
      </x:c>
      <x:c r="E439" s="147" t="s">
        <x:v>154</x:v>
      </x:c>
    </x:row>
    <x:row r="440" spans="1:17">
      <x:c r="D440" s="147" t="n">
        <x:v>10128600</x:v>
      </x:c>
      <x:c r="E440" s="147" t="s">
        <x:v>114</x:v>
      </x:c>
    </x:row>
    <x:row r="441" spans="1:17">
      <x:c r="D441" s="147" t="n">
        <x:v>10128579</x:v>
      </x:c>
      <x:c r="E441" s="147" t="s">
        <x:v>154</x:v>
      </x:c>
    </x:row>
    <x:row r="442" spans="1:17">
      <x:c r="D442" s="147" t="n">
        <x:v>10128580</x:v>
      </x:c>
      <x:c r="E442" s="147" t="s">
        <x:v>114</x:v>
      </x:c>
    </x:row>
    <x:row r="443" spans="1:17">
      <x:c r="D443" s="147" t="n">
        <x:v>10128581</x:v>
      </x:c>
      <x:c r="E443" s="147" t="s">
        <x:v>114</x:v>
      </x:c>
    </x:row>
    <x:row r="444" spans="1:17">
      <x:c r="D444" s="147" t="n">
        <x:v>10128582</x:v>
      </x:c>
      <x:c r="E444" s="147" t="s">
        <x:v>132</x:v>
      </x:c>
    </x:row>
    <x:row r="445" spans="1:17">
      <x:c r="D445" s="147" t="n">
        <x:v>10128595</x:v>
      </x:c>
      <x:c r="E445" s="147" t="s">
        <x:v>132</x:v>
      </x:c>
    </x:row>
    <x:row r="446" spans="1:17">
      <x:c r="D446" s="147" t="n">
        <x:v>10128596</x:v>
      </x:c>
      <x:c r="E446" s="147" t="s">
        <x:v>56</x:v>
      </x:c>
    </x:row>
    <x:row r="447" spans="1:17">
      <x:c r="D447" s="147" t="n">
        <x:v>10128597</x:v>
      </x:c>
      <x:c r="E447" s="147" t="s">
        <x:v>114</x:v>
      </x:c>
    </x:row>
    <x:row r="448" spans="1:17">
      <x:c r="D448" s="147" t="n">
        <x:v>10128598</x:v>
      </x:c>
      <x:c r="E448" s="147" t="s">
        <x:v>132</x:v>
      </x:c>
    </x:row>
    <x:row r="449" spans="1:17">
      <x:c r="D449" s="147" t="n">
        <x:v>10128599</x:v>
      </x:c>
      <x:c r="E449" s="147" t="s">
        <x:v>154</x:v>
      </x:c>
    </x:row>
    <x:row r="450" spans="1:17">
      <x:c r="D450" s="147" t="n">
        <x:v>10128600</x:v>
      </x:c>
      <x:c r="E450" s="147" t="s">
        <x:v>114</x:v>
      </x:c>
    </x:row>
    <x:row r="451" spans="1:17">
      <x:c r="D451" s="147" t="n">
        <x:v>10128579</x:v>
      </x:c>
      <x:c r="E451" s="147" t="s">
        <x:v>154</x:v>
      </x:c>
    </x:row>
    <x:row r="452" spans="1:17">
      <x:c r="D452" s="147" t="n">
        <x:v>10128580</x:v>
      </x:c>
      <x:c r="E452" s="147" t="s">
        <x:v>114</x:v>
      </x:c>
    </x:row>
    <x:row r="453" spans="1:17">
      <x:c r="D453" s="147" t="n">
        <x:v>10128581</x:v>
      </x:c>
      <x:c r="E453" s="147" t="s">
        <x:v>114</x:v>
      </x:c>
    </x:row>
    <x:row r="454" spans="1:17">
      <x:c r="D454" s="147" t="n">
        <x:v>10128582</x:v>
      </x:c>
      <x:c r="E454" s="147" t="s">
        <x:v>132</x:v>
      </x:c>
    </x:row>
    <x:row r="455" spans="1:17">
      <x:c r="D455" s="147" t="n">
        <x:v>10128595</x:v>
      </x:c>
      <x:c r="E455" s="147" t="s">
        <x:v>132</x:v>
      </x:c>
    </x:row>
    <x:row r="456" spans="1:17">
      <x:c r="D456" s="147" t="n">
        <x:v>10128596</x:v>
      </x:c>
      <x:c r="E456" s="147" t="s">
        <x:v>56</x:v>
      </x:c>
    </x:row>
    <x:row r="457" spans="1:17">
      <x:c r="D457" s="147" t="n">
        <x:v>10128597</x:v>
      </x:c>
      <x:c r="E457" s="147" t="s">
        <x:v>114</x:v>
      </x:c>
    </x:row>
    <x:row r="458" spans="1:17">
      <x:c r="D458" s="147" t="n">
        <x:v>10128598</x:v>
      </x:c>
      <x:c r="E458" s="147" t="s">
        <x:v>132</x:v>
      </x:c>
    </x:row>
    <x:row r="459" spans="1:17">
      <x:c r="D459" s="147" t="n">
        <x:v>10128599</x:v>
      </x:c>
      <x:c r="E459" s="147" t="s">
        <x:v>154</x:v>
      </x:c>
    </x:row>
    <x:row r="460" spans="1:17">
      <x:c r="D460" s="147" t="n">
        <x:v>10128600</x:v>
      </x:c>
      <x:c r="E460" s="147" t="s">
        <x:v>114</x:v>
      </x:c>
    </x:row>
    <x:row r="461" spans="1:17">
      <x:c r="D461" s="147" t="n">
        <x:v>10128579</x:v>
      </x:c>
      <x:c r="E461" s="147" t="s">
        <x:v>154</x:v>
      </x:c>
    </x:row>
    <x:row r="462" spans="1:17">
      <x:c r="D462" s="147" t="n">
        <x:v>10128580</x:v>
      </x:c>
      <x:c r="E462" s="147" t="s">
        <x:v>114</x:v>
      </x:c>
    </x:row>
    <x:row r="463" spans="1:17">
      <x:c r="D463" s="147" t="n">
        <x:v>10128581</x:v>
      </x:c>
      <x:c r="E463" s="147" t="s">
        <x:v>114</x:v>
      </x:c>
    </x:row>
    <x:row r="464" spans="1:17">
      <x:c r="D464" s="147" t="n">
        <x:v>10128582</x:v>
      </x:c>
      <x:c r="E464" s="147" t="s">
        <x:v>132</x:v>
      </x:c>
    </x:row>
    <x:row r="465" spans="1:17">
      <x:c r="D465" s="147" t="n">
        <x:v>10128595</x:v>
      </x:c>
      <x:c r="E465" s="147" t="s">
        <x:v>132</x:v>
      </x:c>
    </x:row>
    <x:row r="466" spans="1:17">
      <x:c r="D466" s="147" t="n">
        <x:v>10128596</x:v>
      </x:c>
      <x:c r="E466" s="147" t="s">
        <x:v>56</x:v>
      </x:c>
    </x:row>
    <x:row r="467" spans="1:17">
      <x:c r="D467" s="147" t="n">
        <x:v>10128597</x:v>
      </x:c>
      <x:c r="E467" s="147" t="s">
        <x:v>114</x:v>
      </x:c>
    </x:row>
    <x:row r="468" spans="1:17">
      <x:c r="D468" s="147" t="n">
        <x:v>10128598</x:v>
      </x:c>
      <x:c r="E468" s="147" t="s">
        <x:v>132</x:v>
      </x:c>
    </x:row>
    <x:row r="469" spans="1:17">
      <x:c r="D469" s="147" t="n">
        <x:v>10128599</x:v>
      </x:c>
      <x:c r="E469" s="147" t="s">
        <x:v>154</x:v>
      </x:c>
    </x:row>
    <x:row r="470" spans="1:17">
      <x:c r="D470" s="147" t="n">
        <x:v>10128600</x:v>
      </x:c>
      <x:c r="E470" s="147" t="s">
        <x:v>114</x:v>
      </x:c>
    </x:row>
    <x:row r="471" spans="1:17">
      <x:c r="D471" s="147" t="n">
        <x:v>10128579</x:v>
      </x:c>
      <x:c r="E471" s="147" t="s">
        <x:v>154</x:v>
      </x:c>
    </x:row>
    <x:row r="472" spans="1:17">
      <x:c r="D472" s="147" t="n">
        <x:v>10128580</x:v>
      </x:c>
      <x:c r="E472" s="147" t="s">
        <x:v>114</x:v>
      </x:c>
    </x:row>
    <x:row r="473" spans="1:17">
      <x:c r="D473" s="147" t="n">
        <x:v>10128581</x:v>
      </x:c>
      <x:c r="E473" s="147" t="s">
        <x:v>114</x:v>
      </x:c>
    </x:row>
    <x:row r="474" spans="1:17">
      <x:c r="D474" s="147" t="n">
        <x:v>10128582</x:v>
      </x:c>
      <x:c r="E474" s="147" t="s">
        <x:v>132</x:v>
      </x:c>
    </x:row>
    <x:row r="475" spans="1:17">
      <x:c r="D475" s="147" t="n">
        <x:v>10128595</x:v>
      </x:c>
      <x:c r="E475" s="147" t="s">
        <x:v>132</x:v>
      </x:c>
    </x:row>
    <x:row r="476" spans="1:17">
      <x:c r="D476" s="147" t="n">
        <x:v>10128596</x:v>
      </x:c>
      <x:c r="E476" s="147" t="s">
        <x:v>56</x:v>
      </x:c>
    </x:row>
    <x:row r="477" spans="1:17">
      <x:c r="D477" s="147" t="n">
        <x:v>10128597</x:v>
      </x:c>
      <x:c r="E477" s="147" t="s">
        <x:v>114</x:v>
      </x:c>
    </x:row>
    <x:row r="478" spans="1:17">
      <x:c r="D478" s="147" t="n">
        <x:v>10128598</x:v>
      </x:c>
      <x:c r="E478" s="147" t="s">
        <x:v>132</x:v>
      </x:c>
    </x:row>
    <x:row r="479" spans="1:17">
      <x:c r="D479" s="147" t="n">
        <x:v>10128599</x:v>
      </x:c>
      <x:c r="E479" s="147" t="s">
        <x:v>154</x:v>
      </x:c>
    </x:row>
    <x:row r="480" spans="1:17">
      <x:c r="D480" s="147" t="n">
        <x:v>10128600</x:v>
      </x:c>
      <x:c r="E480" s="147" t="s">
        <x:v>114</x:v>
      </x:c>
    </x:row>
    <x:row r="481" spans="1:17">
      <x:c r="D481" s="147" t="n">
        <x:v>10128579</x:v>
      </x:c>
      <x:c r="E481" s="147" t="s">
        <x:v>154</x:v>
      </x:c>
    </x:row>
    <x:row r="482" spans="1:17">
      <x:c r="D482" s="147" t="n">
        <x:v>10128580</x:v>
      </x:c>
      <x:c r="E482" s="147" t="s">
        <x:v>114</x:v>
      </x:c>
    </x:row>
    <x:row r="483" spans="1:17">
      <x:c r="D483" s="147" t="n">
        <x:v>10128581</x:v>
      </x:c>
      <x:c r="E483" s="147" t="s">
        <x:v>114</x:v>
      </x:c>
    </x:row>
    <x:row r="484" spans="1:17">
      <x:c r="D484" s="147" t="n">
        <x:v>10128582</x:v>
      </x:c>
      <x:c r="E484" s="147" t="s">
        <x:v>132</x:v>
      </x:c>
    </x:row>
    <x:row r="485" spans="1:17">
      <x:c r="D485" s="147" t="n">
        <x:v>10128595</x:v>
      </x:c>
      <x:c r="E485" s="147" t="s">
        <x:v>132</x:v>
      </x:c>
    </x:row>
    <x:row r="486" spans="1:17">
      <x:c r="D486" s="147" t="n">
        <x:v>10128596</x:v>
      </x:c>
      <x:c r="E486" s="147" t="s">
        <x:v>56</x:v>
      </x:c>
    </x:row>
    <x:row r="487" spans="1:17">
      <x:c r="D487" s="147" t="n">
        <x:v>10128597</x:v>
      </x:c>
      <x:c r="E487" s="147" t="s">
        <x:v>114</x:v>
      </x:c>
    </x:row>
    <x:row r="488" spans="1:17">
      <x:c r="D488" s="147" t="n">
        <x:v>10128598</x:v>
      </x:c>
      <x:c r="E488" s="147" t="s">
        <x:v>132</x:v>
      </x:c>
    </x:row>
    <x:row r="489" spans="1:17">
      <x:c r="D489" s="147" t="n">
        <x:v>10128599</x:v>
      </x:c>
      <x:c r="E489" s="147" t="s">
        <x:v>154</x:v>
      </x:c>
    </x:row>
    <x:row r="490" spans="1:17">
      <x:c r="D490" s="147" t="n">
        <x:v>10128600</x:v>
      </x:c>
      <x:c r="E490" s="147" t="s">
        <x:v>114</x:v>
      </x:c>
    </x:row>
    <x:row r="491" spans="1:17">
      <x:c r="D491" s="147" t="n">
        <x:v>10128579</x:v>
      </x:c>
      <x:c r="E491" s="147" t="s">
        <x:v>154</x:v>
      </x:c>
    </x:row>
    <x:row r="492" spans="1:17">
      <x:c r="D492" s="147" t="n">
        <x:v>10128580</x:v>
      </x:c>
      <x:c r="E492" s="147" t="s">
        <x:v>114</x:v>
      </x:c>
    </x:row>
    <x:row r="493" spans="1:17">
      <x:c r="D493" s="147" t="n">
        <x:v>10128581</x:v>
      </x:c>
      <x:c r="E493" s="147" t="s">
        <x:v>114</x:v>
      </x:c>
    </x:row>
    <x:row r="494" spans="1:17">
      <x:c r="D494" s="147" t="n">
        <x:v>10128582</x:v>
      </x:c>
      <x:c r="E494" s="147" t="s">
        <x:v>132</x:v>
      </x:c>
    </x:row>
    <x:row r="495" spans="1:17">
      <x:c r="D495" s="147" t="n">
        <x:v>10128595</x:v>
      </x:c>
      <x:c r="E495" s="147" t="s">
        <x:v>132</x:v>
      </x:c>
    </x:row>
    <x:row r="496" spans="1:17">
      <x:c r="D496" s="147" t="n">
        <x:v>10128596</x:v>
      </x:c>
      <x:c r="E496" s="147" t="s">
        <x:v>56</x:v>
      </x:c>
    </x:row>
    <x:row r="497" spans="1:17">
      <x:c r="D497" s="147" t="n">
        <x:v>10128597</x:v>
      </x:c>
      <x:c r="E497" s="147" t="s">
        <x:v>114</x:v>
      </x:c>
    </x:row>
    <x:row r="498" spans="1:17">
      <x:c r="D498" s="147" t="n">
        <x:v>10128598</x:v>
      </x:c>
      <x:c r="E498" s="147" t="s">
        <x:v>132</x:v>
      </x:c>
    </x:row>
    <x:row r="499" spans="1:17">
      <x:c r="D499" s="147" t="n">
        <x:v>10128599</x:v>
      </x:c>
      <x:c r="E499" s="147" t="s">
        <x:v>154</x:v>
      </x:c>
    </x:row>
    <x:row r="500" spans="1:17">
      <x:c r="D500" s="147" t="n">
        <x:v>10128600</x:v>
      </x:c>
      <x:c r="E500" s="147" t="s">
        <x:v>114</x:v>
      </x:c>
    </x:row>
    <x:row r="501" spans="1:17">
      <x:c r="D501" s="147" t="n">
        <x:v>10128579</x:v>
      </x:c>
      <x:c r="E501" s="147" t="s">
        <x:v>154</x:v>
      </x:c>
    </x:row>
    <x:row r="502" spans="1:17">
      <x:c r="D502" s="147" t="n">
        <x:v>10128580</x:v>
      </x:c>
      <x:c r="E502" s="147" t="s">
        <x:v>114</x:v>
      </x:c>
    </x:row>
    <x:row r="503" spans="1:17">
      <x:c r="D503" s="147" t="n">
        <x:v>10128581</x:v>
      </x:c>
      <x:c r="E503" s="147" t="s">
        <x:v>114</x:v>
      </x:c>
    </x:row>
    <x:row r="504" spans="1:17">
      <x:c r="D504" s="147" t="n">
        <x:v>10128582</x:v>
      </x:c>
      <x:c r="E504" s="147" t="s">
        <x:v>132</x:v>
      </x:c>
    </x:row>
    <x:row r="505" spans="1:17">
      <x:c r="D505" s="147" t="n">
        <x:v>10128595</x:v>
      </x:c>
      <x:c r="E505" s="147" t="s">
        <x:v>132</x:v>
      </x:c>
    </x:row>
    <x:row r="506" spans="1:17">
      <x:c r="D506" s="147" t="n">
        <x:v>10128596</x:v>
      </x:c>
      <x:c r="E506" s="147" t="s">
        <x:v>56</x:v>
      </x:c>
    </x:row>
    <x:row r="507" spans="1:17">
      <x:c r="D507" s="147" t="n">
        <x:v>10128597</x:v>
      </x:c>
      <x:c r="E507" s="147" t="s">
        <x:v>114</x:v>
      </x:c>
    </x:row>
    <x:row r="508" spans="1:17">
      <x:c r="D508" s="147" t="n">
        <x:v>10128598</x:v>
      </x:c>
      <x:c r="E508" s="147" t="s">
        <x:v>132</x:v>
      </x:c>
    </x:row>
    <x:row r="509" spans="1:17">
      <x:c r="D509" s="147" t="n">
        <x:v>10128599</x:v>
      </x:c>
      <x:c r="E509" s="147" t="s">
        <x:v>154</x:v>
      </x:c>
    </x:row>
    <x:row r="510" spans="1:17">
      <x:c r="D510" s="147" t="n">
        <x:v>10128600</x:v>
      </x:c>
      <x:c r="E510" s="147" t="s">
        <x:v>114</x:v>
      </x:c>
    </x:row>
    <x:row r="511" spans="1:17">
      <x:c r="D511" s="147" t="n">
        <x:v>10128579</x:v>
      </x:c>
      <x:c r="E511" s="147" t="s">
        <x:v>154</x:v>
      </x:c>
    </x:row>
    <x:row r="512" spans="1:17">
      <x:c r="D512" s="147" t="n">
        <x:v>10128580</x:v>
      </x:c>
      <x:c r="E512" s="147" t="s">
        <x:v>114</x:v>
      </x:c>
    </x:row>
    <x:row r="513" spans="1:17">
      <x:c r="D513" s="147" t="n">
        <x:v>10128581</x:v>
      </x:c>
      <x:c r="E513" s="147" t="s">
        <x:v>114</x:v>
      </x:c>
    </x:row>
    <x:row r="514" spans="1:17">
      <x:c r="D514" s="147" t="n">
        <x:v>10128582</x:v>
      </x:c>
      <x:c r="E514" s="147" t="s">
        <x:v>132</x:v>
      </x:c>
    </x:row>
    <x:row r="515" spans="1:17">
      <x:c r="D515" s="147" t="n">
        <x:v>10128595</x:v>
      </x:c>
      <x:c r="E515" s="147" t="s">
        <x:v>132</x:v>
      </x:c>
    </x:row>
    <x:row r="516" spans="1:17">
      <x:c r="D516" s="147" t="n">
        <x:v>10128596</x:v>
      </x:c>
      <x:c r="E516" s="147" t="s">
        <x:v>56</x:v>
      </x:c>
    </x:row>
    <x:row r="517" spans="1:17">
      <x:c r="D517" s="147" t="n">
        <x:v>10128597</x:v>
      </x:c>
      <x:c r="E517" s="147" t="s">
        <x:v>114</x:v>
      </x:c>
    </x:row>
    <x:row r="518" spans="1:17">
      <x:c r="D518" s="147" t="n">
        <x:v>10128598</x:v>
      </x:c>
      <x:c r="E518" s="147" t="s">
        <x:v>132</x:v>
      </x:c>
    </x:row>
    <x:row r="519" spans="1:17">
      <x:c r="D519" s="147" t="n">
        <x:v>10128599</x:v>
      </x:c>
      <x:c r="E519" s="147" t="s">
        <x:v>154</x:v>
      </x:c>
    </x:row>
    <x:row r="520" spans="1:17">
      <x:c r="D520" s="147" t="n">
        <x:v>10128600</x:v>
      </x:c>
      <x:c r="E520" s="147" t="s">
        <x:v>114</x:v>
      </x:c>
    </x:row>
    <x:row r="521" spans="1:17">
      <x:c r="D521" s="147" t="n">
        <x:v>10128579</x:v>
      </x:c>
      <x:c r="E521" s="147" t="s">
        <x:v>154</x:v>
      </x:c>
    </x:row>
    <x:row r="522" spans="1:17">
      <x:c r="D522" s="147" t="n">
        <x:v>10128580</x:v>
      </x:c>
      <x:c r="E522" s="147" t="s">
        <x:v>114</x:v>
      </x:c>
    </x:row>
    <x:row r="523" spans="1:17">
      <x:c r="D523" s="147" t="n">
        <x:v>10128581</x:v>
      </x:c>
      <x:c r="E523" s="147" t="s">
        <x:v>114</x:v>
      </x:c>
    </x:row>
    <x:row r="524" spans="1:17">
      <x:c r="D524" s="147" t="n">
        <x:v>10128582</x:v>
      </x:c>
      <x:c r="E524" s="147" t="s">
        <x:v>132</x:v>
      </x:c>
    </x:row>
    <x:row r="525" spans="1:17">
      <x:c r="D525" s="147" t="n">
        <x:v>10128595</x:v>
      </x:c>
      <x:c r="E525" s="147" t="s">
        <x:v>132</x:v>
      </x:c>
    </x:row>
    <x:row r="526" spans="1:17">
      <x:c r="D526" s="147" t="n">
        <x:v>10128596</x:v>
      </x:c>
      <x:c r="E526" s="147" t="s">
        <x:v>56</x:v>
      </x:c>
    </x:row>
    <x:row r="527" spans="1:17">
      <x:c r="D527" s="147" t="n">
        <x:v>10128597</x:v>
      </x:c>
      <x:c r="E527" s="147" t="s">
        <x:v>114</x:v>
      </x:c>
    </x:row>
    <x:row r="528" spans="1:17">
      <x:c r="D528" s="147" t="n">
        <x:v>10128598</x:v>
      </x:c>
      <x:c r="E528" s="147" t="s">
        <x:v>132</x:v>
      </x:c>
    </x:row>
    <x:row r="529" spans="1:17">
      <x:c r="D529" s="147" t="n">
        <x:v>10128599</x:v>
      </x:c>
      <x:c r="E529" s="147" t="s">
        <x:v>154</x:v>
      </x:c>
    </x:row>
    <x:row r="530" spans="1:17">
      <x:c r="D530" s="147" t="n">
        <x:v>10128600</x:v>
      </x:c>
      <x:c r="E530" s="147" t="s">
        <x:v>114</x:v>
      </x:c>
    </x:row>
    <x:row r="531" spans="1:17">
      <x:c r="D531" s="147" t="n">
        <x:v>10128579</x:v>
      </x:c>
      <x:c r="E531" s="147" t="s">
        <x:v>154</x:v>
      </x:c>
    </x:row>
    <x:row r="532" spans="1:17">
      <x:c r="D532" s="147" t="n">
        <x:v>10128580</x:v>
      </x:c>
      <x:c r="E532" s="147" t="s">
        <x:v>114</x:v>
      </x:c>
    </x:row>
    <x:row r="533" spans="1:17">
      <x:c r="D533" s="147" t="n">
        <x:v>10128581</x:v>
      </x:c>
      <x:c r="E533" s="147" t="s">
        <x:v>114</x:v>
      </x:c>
    </x:row>
    <x:row r="534" spans="1:17">
      <x:c r="D534" s="147" t="n">
        <x:v>10128582</x:v>
      </x:c>
      <x:c r="E534" s="147" t="s">
        <x:v>132</x:v>
      </x:c>
    </x:row>
    <x:row r="535" spans="1:17">
      <x:c r="D535" s="147" t="n">
        <x:v>10128595</x:v>
      </x:c>
      <x:c r="E535" s="147" t="s">
        <x:v>132</x:v>
      </x:c>
    </x:row>
    <x:row r="536" spans="1:17">
      <x:c r="D536" s="147" t="n">
        <x:v>10128596</x:v>
      </x:c>
      <x:c r="E536" s="147" t="s">
        <x:v>56</x:v>
      </x:c>
    </x:row>
    <x:row r="537" spans="1:17">
      <x:c r="D537" s="147" t="n">
        <x:v>10128597</x:v>
      </x:c>
      <x:c r="E537" s="147" t="s">
        <x:v>114</x:v>
      </x:c>
    </x:row>
    <x:row r="538" spans="1:17">
      <x:c r="D538" s="147" t="n">
        <x:v>10128598</x:v>
      </x:c>
      <x:c r="E538" s="147" t="s">
        <x:v>132</x:v>
      </x:c>
    </x:row>
    <x:row r="539" spans="1:17">
      <x:c r="D539" s="147" t="n">
        <x:v>10128599</x:v>
      </x:c>
      <x:c r="E539" s="147" t="s">
        <x:v>154</x:v>
      </x:c>
    </x:row>
    <x:row r="540" spans="1:17">
      <x:c r="D540" s="147" t="n">
        <x:v>10128600</x:v>
      </x:c>
      <x:c r="E540" s="147" t="s">
        <x:v>114</x:v>
      </x:c>
    </x:row>
    <x:row r="541" spans="1:17">
      <x:c r="D541" s="147" t="n">
        <x:v>10128579</x:v>
      </x:c>
      <x:c r="E541" s="147" t="s">
        <x:v>154</x:v>
      </x:c>
    </x:row>
    <x:row r="542" spans="1:17">
      <x:c r="D542" s="147" t="n">
        <x:v>10128580</x:v>
      </x:c>
      <x:c r="E542" s="147" t="s">
        <x:v>114</x:v>
      </x:c>
    </x:row>
    <x:row r="543" spans="1:17">
      <x:c r="D543" s="147" t="n">
        <x:v>10128581</x:v>
      </x:c>
      <x:c r="E543" s="147" t="s">
        <x:v>114</x:v>
      </x:c>
    </x:row>
    <x:row r="544" spans="1:17">
      <x:c r="D544" s="147" t="n">
        <x:v>10128582</x:v>
      </x:c>
      <x:c r="E544" s="147" t="s">
        <x:v>132</x:v>
      </x:c>
    </x:row>
    <x:row r="545" spans="1:17">
      <x:c r="D545" s="147" t="n">
        <x:v>10128595</x:v>
      </x:c>
      <x:c r="E545" s="147" t="s">
        <x:v>132</x:v>
      </x:c>
    </x:row>
    <x:row r="546" spans="1:17">
      <x:c r="D546" s="147" t="n">
        <x:v>10128596</x:v>
      </x:c>
      <x:c r="E546" s="147" t="s">
        <x:v>56</x:v>
      </x:c>
    </x:row>
    <x:row r="547" spans="1:17">
      <x:c r="D547" s="147" t="n">
        <x:v>10128597</x:v>
      </x:c>
      <x:c r="E547" s="147" t="s">
        <x:v>114</x:v>
      </x:c>
    </x:row>
    <x:row r="548" spans="1:17">
      <x:c r="D548" s="147" t="n">
        <x:v>10128598</x:v>
      </x:c>
      <x:c r="E548" s="147" t="s">
        <x:v>132</x:v>
      </x:c>
    </x:row>
    <x:row r="549" spans="1:17">
      <x:c r="D549" s="147" t="n">
        <x:v>10128599</x:v>
      </x:c>
      <x:c r="E549" s="147" t="s">
        <x:v>154</x:v>
      </x:c>
    </x:row>
    <x:row r="550" spans="1:17">
      <x:c r="D550" s="147" t="n">
        <x:v>10128600</x:v>
      </x:c>
      <x:c r="E550" s="147" t="s">
        <x:v>114</x:v>
      </x:c>
    </x:row>
    <x:row r="551" spans="1:17">
      <x:c r="D551" s="147" t="n">
        <x:v>10128579</x:v>
      </x:c>
      <x:c r="E551" s="147" t="s">
        <x:v>154</x:v>
      </x:c>
    </x:row>
    <x:row r="552" spans="1:17">
      <x:c r="D552" s="147" t="n">
        <x:v>10128580</x:v>
      </x:c>
      <x:c r="E552" s="147" t="s">
        <x:v>114</x:v>
      </x:c>
    </x:row>
    <x:row r="553" spans="1:17">
      <x:c r="D553" s="147" t="n">
        <x:v>10128581</x:v>
      </x:c>
      <x:c r="E553" s="147" t="s">
        <x:v>114</x:v>
      </x:c>
    </x:row>
    <x:row r="554" spans="1:17">
      <x:c r="D554" s="147" t="n">
        <x:v>10128582</x:v>
      </x:c>
      <x:c r="E554" s="147" t="s">
        <x:v>132</x:v>
      </x:c>
    </x:row>
    <x:row r="555" spans="1:17">
      <x:c r="D555" s="147" t="n">
        <x:v>10128595</x:v>
      </x:c>
      <x:c r="E555" s="147" t="s">
        <x:v>132</x:v>
      </x:c>
    </x:row>
    <x:row r="556" spans="1:17">
      <x:c r="D556" s="147" t="n">
        <x:v>10128596</x:v>
      </x:c>
      <x:c r="E556" s="147" t="s">
        <x:v>56</x:v>
      </x:c>
    </x:row>
    <x:row r="557" spans="1:17">
      <x:c r="D557" s="147" t="n">
        <x:v>10128597</x:v>
      </x:c>
      <x:c r="E557" s="147" t="s">
        <x:v>114</x:v>
      </x:c>
    </x:row>
    <x:row r="558" spans="1:17">
      <x:c r="D558" s="147" t="n">
        <x:v>10128598</x:v>
      </x:c>
      <x:c r="E558" s="147" t="s">
        <x:v>132</x:v>
      </x:c>
    </x:row>
    <x:row r="559" spans="1:17">
      <x:c r="D559" s="147" t="n">
        <x:v>10128599</x:v>
      </x:c>
      <x:c r="E559" s="147" t="s">
        <x:v>154</x:v>
      </x:c>
    </x:row>
    <x:row r="560" spans="1:17">
      <x:c r="D560" s="147" t="n">
        <x:v>10128600</x:v>
      </x:c>
      <x:c r="E560" s="147" t="s">
        <x:v>114</x:v>
      </x:c>
    </x:row>
    <x:row r="561" spans="1:17">
      <x:c r="D561" s="147" t="n">
        <x:v>10128579</x:v>
      </x:c>
      <x:c r="E561" s="147" t="s">
        <x:v>154</x:v>
      </x:c>
    </x:row>
    <x:row r="562" spans="1:17">
      <x:c r="D562" s="147" t="n">
        <x:v>10128580</x:v>
      </x:c>
      <x:c r="E562" s="147" t="s">
        <x:v>114</x:v>
      </x:c>
    </x:row>
    <x:row r="563" spans="1:17">
      <x:c r="D563" s="147" t="n">
        <x:v>10128581</x:v>
      </x:c>
      <x:c r="E563" s="147" t="s">
        <x:v>114</x:v>
      </x:c>
    </x:row>
    <x:row r="564" spans="1:17">
      <x:c r="D564" s="147" t="n">
        <x:v>10128582</x:v>
      </x:c>
      <x:c r="E564" s="147" t="s">
        <x:v>132</x:v>
      </x:c>
    </x:row>
    <x:row r="565" spans="1:17">
      <x:c r="D565" s="147" t="n">
        <x:v>10128595</x:v>
      </x:c>
      <x:c r="E565" s="147" t="s">
        <x:v>132</x:v>
      </x:c>
    </x:row>
    <x:row r="566" spans="1:17">
      <x:c r="D566" s="147" t="n">
        <x:v>10128596</x:v>
      </x:c>
      <x:c r="E566" s="147" t="s">
        <x:v>56</x:v>
      </x:c>
    </x:row>
    <x:row r="567" spans="1:17">
      <x:c r="D567" s="147" t="n">
        <x:v>10128597</x:v>
      </x:c>
      <x:c r="E567" s="147" t="s">
        <x:v>114</x:v>
      </x:c>
    </x:row>
    <x:row r="568" spans="1:17">
      <x:c r="D568" s="147" t="n">
        <x:v>10128598</x:v>
      </x:c>
      <x:c r="E568" s="147" t="s">
        <x:v>132</x:v>
      </x:c>
    </x:row>
    <x:row r="569" spans="1:17">
      <x:c r="D569" s="147" t="n">
        <x:v>10128599</x:v>
      </x:c>
      <x:c r="E569" s="147" t="s">
        <x:v>154</x:v>
      </x:c>
    </x:row>
    <x:row r="570" spans="1:17">
      <x:c r="D570" s="147" t="n">
        <x:v>10128600</x:v>
      </x:c>
      <x:c r="E570" s="147" t="s">
        <x:v>114</x:v>
      </x:c>
    </x:row>
    <x:row r="571" spans="1:17">
      <x:c r="D571" s="147" t="n">
        <x:v>10128579</x:v>
      </x:c>
      <x:c r="E571" s="147" t="s">
        <x:v>154</x:v>
      </x:c>
    </x:row>
    <x:row r="572" spans="1:17">
      <x:c r="D572" s="147" t="n">
        <x:v>10128580</x:v>
      </x:c>
      <x:c r="E572" s="147" t="s">
        <x:v>114</x:v>
      </x:c>
    </x:row>
    <x:row r="573" spans="1:17">
      <x:c r="D573" s="147" t="n">
        <x:v>10128581</x:v>
      </x:c>
      <x:c r="E573" s="147" t="s">
        <x:v>114</x:v>
      </x:c>
    </x:row>
    <x:row r="574" spans="1:17">
      <x:c r="D574" s="147" t="n">
        <x:v>10128582</x:v>
      </x:c>
      <x:c r="E574" s="147" t="s">
        <x:v>132</x:v>
      </x:c>
    </x:row>
    <x:row r="575" spans="1:17">
      <x:c r="D575" s="147" t="n">
        <x:v>10128595</x:v>
      </x:c>
      <x:c r="E575" s="147" t="s">
        <x:v>132</x:v>
      </x:c>
    </x:row>
    <x:row r="576" spans="1:17">
      <x:c r="D576" s="147" t="n">
        <x:v>10128596</x:v>
      </x:c>
      <x:c r="E576" s="147" t="s">
        <x:v>56</x:v>
      </x:c>
    </x:row>
    <x:row r="577" spans="1:17">
      <x:c r="D577" s="147" t="n">
        <x:v>10128597</x:v>
      </x:c>
      <x:c r="E577" s="147" t="s">
        <x:v>114</x:v>
      </x:c>
    </x:row>
    <x:row r="578" spans="1:17">
      <x:c r="D578" s="147" t="n">
        <x:v>10128598</x:v>
      </x:c>
      <x:c r="E578" s="147" t="s">
        <x:v>132</x:v>
      </x:c>
    </x:row>
    <x:row r="579" spans="1:17">
      <x:c r="D579" s="147" t="n">
        <x:v>10128599</x:v>
      </x:c>
      <x:c r="E579" s="147" t="s">
        <x:v>154</x:v>
      </x:c>
    </x:row>
    <x:row r="580" spans="1:17">
      <x:c r="D580" s="147" t="n">
        <x:v>10128600</x:v>
      </x:c>
      <x:c r="E580" s="147" t="s">
        <x:v>114</x:v>
      </x:c>
    </x:row>
    <x:row r="581" spans="1:17">
      <x:c r="D581" s="147" t="n">
        <x:v>10128579</x:v>
      </x:c>
      <x:c r="E581" s="147" t="s">
        <x:v>154</x:v>
      </x:c>
    </x:row>
    <x:row r="582" spans="1:17">
      <x:c r="D582" s="147" t="n">
        <x:v>10128580</x:v>
      </x:c>
      <x:c r="E582" s="147" t="s">
        <x:v>114</x:v>
      </x:c>
    </x:row>
    <x:row r="583" spans="1:17">
      <x:c r="D583" s="147" t="n">
        <x:v>10128581</x:v>
      </x:c>
      <x:c r="E583" s="147" t="s">
        <x:v>114</x:v>
      </x:c>
    </x:row>
    <x:row r="584" spans="1:17">
      <x:c r="D584" s="147" t="n">
        <x:v>10128582</x:v>
      </x:c>
      <x:c r="E584" s="147" t="s">
        <x:v>132</x:v>
      </x:c>
    </x:row>
    <x:row r="585" spans="1:17">
      <x:c r="D585" s="147" t="n">
        <x:v>10128595</x:v>
      </x:c>
      <x:c r="E585" s="147" t="s">
        <x:v>132</x:v>
      </x:c>
    </x:row>
    <x:row r="586" spans="1:17">
      <x:c r="D586" s="147" t="n">
        <x:v>10128596</x:v>
      </x:c>
      <x:c r="E586" s="147" t="s">
        <x:v>56</x:v>
      </x:c>
    </x:row>
    <x:row r="587" spans="1:17">
      <x:c r="D587" s="147" t="n">
        <x:v>10128597</x:v>
      </x:c>
      <x:c r="E587" s="147" t="s">
        <x:v>114</x:v>
      </x:c>
    </x:row>
    <x:row r="588" spans="1:17">
      <x:c r="D588" s="147" t="n">
        <x:v>10128598</x:v>
      </x:c>
      <x:c r="E588" s="147" t="s">
        <x:v>132</x:v>
      </x:c>
    </x:row>
    <x:row r="589" spans="1:17">
      <x:c r="D589" s="147" t="n">
        <x:v>10128599</x:v>
      </x:c>
      <x:c r="E589" s="147" t="s">
        <x:v>154</x:v>
      </x:c>
    </x:row>
    <x:row r="590" spans="1:17">
      <x:c r="D590" s="147" t="n">
        <x:v>10128600</x:v>
      </x:c>
      <x:c r="E590" s="147" t="s">
        <x:v>114</x:v>
      </x:c>
    </x:row>
    <x:row r="591" spans="1:17">
      <x:c r="D591" s="147" t="n">
        <x:v>10128579</x:v>
      </x:c>
      <x:c r="E591" s="147" t="s">
        <x:v>154</x:v>
      </x:c>
    </x:row>
    <x:row r="592" spans="1:17">
      <x:c r="D592" s="147" t="n">
        <x:v>10128580</x:v>
      </x:c>
      <x:c r="E592" s="147" t="s">
        <x:v>114</x:v>
      </x:c>
    </x:row>
    <x:row r="593" spans="1:17">
      <x:c r="D593" s="147" t="n">
        <x:v>10128581</x:v>
      </x:c>
      <x:c r="E593" s="147" t="s">
        <x:v>114</x:v>
      </x:c>
    </x:row>
    <x:row r="594" spans="1:17">
      <x:c r="D594" s="147" t="n">
        <x:v>10128582</x:v>
      </x:c>
      <x:c r="E594" s="147" t="s">
        <x:v>132</x:v>
      </x:c>
    </x:row>
    <x:row r="595" spans="1:17">
      <x:c r="D595" s="147" t="n">
        <x:v>10128595</x:v>
      </x:c>
      <x:c r="E595" s="147" t="s">
        <x:v>132</x:v>
      </x:c>
    </x:row>
    <x:row r="596" spans="1:17">
      <x:c r="D596" s="147" t="n">
        <x:v>10128596</x:v>
      </x:c>
      <x:c r="E596" s="147" t="s">
        <x:v>56</x:v>
      </x:c>
    </x:row>
    <x:row r="597" spans="1:17">
      <x:c r="D597" s="147" t="n">
        <x:v>10128597</x:v>
      </x:c>
      <x:c r="E597" s="147" t="s">
        <x:v>114</x:v>
      </x:c>
    </x:row>
    <x:row r="598" spans="1:17">
      <x:c r="D598" s="147" t="n">
        <x:v>10128598</x:v>
      </x:c>
      <x:c r="E598" s="147" t="s">
        <x:v>132</x:v>
      </x:c>
    </x:row>
    <x:row r="599" spans="1:17">
      <x:c r="D599" s="147" t="n">
        <x:v>10128599</x:v>
      </x:c>
      <x:c r="E599" s="147" t="s">
        <x:v>154</x:v>
      </x:c>
    </x:row>
    <x:row r="600" spans="1:17">
      <x:c r="D600" s="147" t="n">
        <x:v>10128600</x:v>
      </x:c>
      <x:c r="E600" s="147" t="s">
        <x:v>114</x:v>
      </x:c>
    </x:row>
    <x:row r="601" spans="1:17">
      <x:c r="D601" s="147" t="n">
        <x:v>10128579</x:v>
      </x:c>
      <x:c r="E601" s="147" t="s">
        <x:v>154</x:v>
      </x:c>
    </x:row>
    <x:row r="602" spans="1:17">
      <x:c r="D602" s="147" t="n">
        <x:v>10128580</x:v>
      </x:c>
      <x:c r="E602" s="147" t="s">
        <x:v>114</x:v>
      </x:c>
    </x:row>
    <x:row r="603" spans="1:17">
      <x:c r="D603" s="147" t="n">
        <x:v>10128581</x:v>
      </x:c>
      <x:c r="E603" s="147" t="s">
        <x:v>114</x:v>
      </x:c>
    </x:row>
    <x:row r="604" spans="1:17">
      <x:c r="D604" s="147" t="n">
        <x:v>10128582</x:v>
      </x:c>
      <x:c r="E604" s="147" t="s">
        <x:v>132</x:v>
      </x:c>
    </x:row>
    <x:row r="605" spans="1:17">
      <x:c r="D605" s="147" t="n">
        <x:v>10128595</x:v>
      </x:c>
      <x:c r="E605" s="147" t="s">
        <x:v>132</x:v>
      </x:c>
    </x:row>
    <x:row r="606" spans="1:17">
      <x:c r="D606" s="147" t="n">
        <x:v>10128596</x:v>
      </x:c>
      <x:c r="E606" s="147" t="s">
        <x:v>56</x:v>
      </x:c>
    </x:row>
    <x:row r="607" spans="1:17">
      <x:c r="D607" s="147" t="n">
        <x:v>10128597</x:v>
      </x:c>
      <x:c r="E607" s="147" t="s">
        <x:v>114</x:v>
      </x:c>
    </x:row>
    <x:row r="608" spans="1:17">
      <x:c r="D608" s="147" t="n">
        <x:v>10128598</x:v>
      </x:c>
      <x:c r="E608" s="147" t="s">
        <x:v>132</x:v>
      </x:c>
    </x:row>
    <x:row r="609" spans="1:17">
      <x:c r="D609" s="147" t="n">
        <x:v>10128599</x:v>
      </x:c>
      <x:c r="E609" s="147" t="s">
        <x:v>154</x:v>
      </x:c>
    </x:row>
    <x:row r="610" spans="1:17">
      <x:c r="D610" s="147" t="n">
        <x:v>10128600</x:v>
      </x:c>
      <x:c r="E610" s="147" t="s">
        <x:v>114</x:v>
      </x:c>
    </x:row>
    <x:row r="611" spans="1:17">
      <x:c r="D611" s="147" t="n">
        <x:v>10128579</x:v>
      </x:c>
      <x:c r="E611" s="147" t="s">
        <x:v>154</x:v>
      </x:c>
    </x:row>
    <x:row r="612" spans="1:17">
      <x:c r="D612" s="147" t="n">
        <x:v>10128580</x:v>
      </x:c>
      <x:c r="E612" s="147" t="s">
        <x:v>114</x:v>
      </x:c>
    </x:row>
    <x:row r="613" spans="1:17">
      <x:c r="D613" s="147" t="n">
        <x:v>10128581</x:v>
      </x:c>
      <x:c r="E613" s="147" t="s">
        <x:v>114</x:v>
      </x:c>
    </x:row>
    <x:row r="614" spans="1:17">
      <x:c r="D614" s="147" t="n">
        <x:v>10128582</x:v>
      </x:c>
      <x:c r="E614" s="147" t="s">
        <x:v>132</x:v>
      </x:c>
    </x:row>
    <x:row r="615" spans="1:17">
      <x:c r="D615" s="147" t="n">
        <x:v>10128595</x:v>
      </x:c>
      <x:c r="E615" s="147" t="s">
        <x:v>132</x:v>
      </x:c>
    </x:row>
    <x:row r="616" spans="1:17">
      <x:c r="D616" s="147" t="n">
        <x:v>10128596</x:v>
      </x:c>
      <x:c r="E616" s="147" t="s">
        <x:v>56</x:v>
      </x:c>
    </x:row>
    <x:row r="617" spans="1:17">
      <x:c r="D617" s="147" t="n">
        <x:v>10128597</x:v>
      </x:c>
      <x:c r="E617" s="147" t="s">
        <x:v>114</x:v>
      </x:c>
    </x:row>
    <x:row r="618" spans="1:17">
      <x:c r="D618" s="147" t="n">
        <x:v>10128598</x:v>
      </x:c>
      <x:c r="E618" s="147" t="s">
        <x:v>132</x:v>
      </x:c>
    </x:row>
    <x:row r="619" spans="1:17">
      <x:c r="D619" s="147" t="n">
        <x:v>10128599</x:v>
      </x:c>
      <x:c r="E619" s="147" t="s">
        <x:v>154</x:v>
      </x:c>
    </x:row>
    <x:row r="620" spans="1:17">
      <x:c r="D620" s="147" t="n">
        <x:v>10128600</x:v>
      </x:c>
      <x:c r="E620" s="147" t="s">
        <x:v>114</x:v>
      </x:c>
    </x:row>
    <x:row r="621" spans="1:17">
      <x:c r="D621" s="147" t="n">
        <x:v>10128579</x:v>
      </x:c>
      <x:c r="E621" s="147" t="s">
        <x:v>154</x:v>
      </x:c>
    </x:row>
    <x:row r="622" spans="1:17">
      <x:c r="D622" s="147" t="n">
        <x:v>10128580</x:v>
      </x:c>
      <x:c r="E622" s="147" t="s">
        <x:v>114</x:v>
      </x:c>
    </x:row>
    <x:row r="623" spans="1:17">
      <x:c r="D623" s="147" t="n">
        <x:v>10128581</x:v>
      </x:c>
      <x:c r="E623" s="147" t="s">
        <x:v>114</x:v>
      </x:c>
    </x:row>
    <x:row r="624" spans="1:17">
      <x:c r="D624" s="147" t="n">
        <x:v>10128582</x:v>
      </x:c>
      <x:c r="E624" s="147" t="s">
        <x:v>132</x:v>
      </x:c>
    </x:row>
    <x:row r="625" spans="1:17">
      <x:c r="D625" s="147" t="n">
        <x:v>10128595</x:v>
      </x:c>
      <x:c r="E625" s="147" t="s">
        <x:v>132</x:v>
      </x:c>
    </x:row>
    <x:row r="626" spans="1:17">
      <x:c r="D626" s="147" t="n">
        <x:v>10128596</x:v>
      </x:c>
      <x:c r="E626" s="147" t="s">
        <x:v>56</x:v>
      </x:c>
    </x:row>
    <x:row r="627" spans="1:17">
      <x:c r="D627" s="147" t="n">
        <x:v>10128597</x:v>
      </x:c>
      <x:c r="E627" s="147" t="s">
        <x:v>114</x:v>
      </x:c>
    </x:row>
    <x:row r="628" spans="1:17">
      <x:c r="D628" s="147" t="n">
        <x:v>10128598</x:v>
      </x:c>
      <x:c r="E628" s="147" t="s">
        <x:v>132</x:v>
      </x:c>
    </x:row>
    <x:row r="629" spans="1:17">
      <x:c r="D629" s="147" t="n">
        <x:v>10128599</x:v>
      </x:c>
      <x:c r="E629" s="147" t="s">
        <x:v>154</x:v>
      </x:c>
    </x:row>
    <x:row r="630" spans="1:17">
      <x:c r="D630" s="147" t="n">
        <x:v>10128600</x:v>
      </x:c>
      <x:c r="E630" s="147" t="s">
        <x:v>114</x:v>
      </x:c>
    </x:row>
    <x:row r="631" spans="1:17">
      <x:c r="D631" s="147" t="n">
        <x:v>10128579</x:v>
      </x:c>
      <x:c r="E631" s="147" t="s">
        <x:v>154</x:v>
      </x:c>
    </x:row>
    <x:row r="632" spans="1:17">
      <x:c r="D632" s="147" t="n">
        <x:v>10128580</x:v>
      </x:c>
      <x:c r="E632" s="147" t="s">
        <x:v>114</x:v>
      </x:c>
    </x:row>
    <x:row r="633" spans="1:17">
      <x:c r="D633" s="147" t="n">
        <x:v>10128581</x:v>
      </x:c>
      <x:c r="E633" s="147" t="s">
        <x:v>114</x:v>
      </x:c>
    </x:row>
    <x:row r="634" spans="1:17">
      <x:c r="D634" s="147" t="n">
        <x:v>10128582</x:v>
      </x:c>
      <x:c r="E634" s="147" t="s">
        <x:v>132</x:v>
      </x:c>
    </x:row>
    <x:row r="635" spans="1:17">
      <x:c r="D635" s="147" t="n">
        <x:v>10128595</x:v>
      </x:c>
      <x:c r="E635" s="147" t="s">
        <x:v>132</x:v>
      </x:c>
    </x:row>
    <x:row r="636" spans="1:17">
      <x:c r="D636" s="147" t="n">
        <x:v>10128596</x:v>
      </x:c>
      <x:c r="E636" s="147" t="s">
        <x:v>56</x:v>
      </x:c>
    </x:row>
    <x:row r="637" spans="1:17">
      <x:c r="D637" s="147" t="n">
        <x:v>10128597</x:v>
      </x:c>
      <x:c r="E637" s="147" t="s">
        <x:v>114</x:v>
      </x:c>
    </x:row>
    <x:row r="638" spans="1:17">
      <x:c r="D638" s="147" t="n">
        <x:v>10128598</x:v>
      </x:c>
      <x:c r="E638" s="147" t="s">
        <x:v>132</x:v>
      </x:c>
    </x:row>
    <x:row r="639" spans="1:17">
      <x:c r="D639" s="147" t="n">
        <x:v>10128599</x:v>
      </x:c>
      <x:c r="E639" s="147" t="s">
        <x:v>154</x:v>
      </x:c>
    </x:row>
    <x:row r="640" spans="1:17">
      <x:c r="D640" s="147" t="n">
        <x:v>10128600</x:v>
      </x:c>
      <x:c r="E640" s="147" t="s">
        <x:v>114</x:v>
      </x:c>
    </x:row>
    <x:row r="641" spans="1:17">
      <x:c r="D641" s="147" t="n">
        <x:v>10128579</x:v>
      </x:c>
      <x:c r="E641" s="147" t="s">
        <x:v>154</x:v>
      </x:c>
    </x:row>
    <x:row r="642" spans="1:17">
      <x:c r="D642" s="147" t="n">
        <x:v>10128580</x:v>
      </x:c>
      <x:c r="E642" s="147" t="s">
        <x:v>114</x:v>
      </x:c>
    </x:row>
    <x:row r="643" spans="1:17">
      <x:c r="D643" s="147" t="n">
        <x:v>10128581</x:v>
      </x:c>
      <x:c r="E643" s="147" t="s">
        <x:v>114</x:v>
      </x:c>
    </x:row>
    <x:row r="644" spans="1:17">
      <x:c r="D644" s="147" t="n">
        <x:v>10128582</x:v>
      </x:c>
      <x:c r="E644" s="147" t="s">
        <x:v>132</x:v>
      </x:c>
    </x:row>
    <x:row r="645" spans="1:17">
      <x:c r="D645" s="147" t="n">
        <x:v>10128595</x:v>
      </x:c>
      <x:c r="E645" s="147" t="s">
        <x:v>132</x:v>
      </x:c>
    </x:row>
    <x:row r="646" spans="1:17">
      <x:c r="D646" s="147" t="n">
        <x:v>10128596</x:v>
      </x:c>
      <x:c r="E646" s="147" t="s">
        <x:v>56</x:v>
      </x:c>
    </x:row>
    <x:row r="647" spans="1:17">
      <x:c r="D647" s="147" t="n">
        <x:v>10128597</x:v>
      </x:c>
      <x:c r="E647" s="147" t="s">
        <x:v>114</x:v>
      </x:c>
    </x:row>
    <x:row r="648" spans="1:17">
      <x:c r="D648" s="147" t="n">
        <x:v>10128598</x:v>
      </x:c>
      <x:c r="E648" s="147" t="s">
        <x:v>132</x:v>
      </x:c>
    </x:row>
    <x:row r="649" spans="1:17">
      <x:c r="D649" s="147" t="n">
        <x:v>10128599</x:v>
      </x:c>
      <x:c r="E649" s="147" t="s">
        <x:v>154</x:v>
      </x:c>
    </x:row>
    <x:row r="650" spans="1:17">
      <x:c r="D650" s="147" t="n">
        <x:v>10128600</x:v>
      </x:c>
      <x:c r="E650" s="147" t="s">
        <x:v>114</x:v>
      </x:c>
    </x:row>
    <x:row r="651" spans="1:17">
      <x:c r="D651" s="147" t="n">
        <x:v>10128579</x:v>
      </x:c>
      <x:c r="E651" s="147" t="s">
        <x:v>154</x:v>
      </x:c>
    </x:row>
    <x:row r="652" spans="1:17">
      <x:c r="D652" s="147" t="n">
        <x:v>10128580</x:v>
      </x:c>
      <x:c r="E652" s="147" t="s">
        <x:v>114</x:v>
      </x:c>
    </x:row>
    <x:row r="653" spans="1:17">
      <x:c r="D653" s="147" t="n">
        <x:v>10128581</x:v>
      </x:c>
      <x:c r="E653" s="147" t="s">
        <x:v>114</x:v>
      </x:c>
    </x:row>
    <x:row r="654" spans="1:17">
      <x:c r="D654" s="147" t="n">
        <x:v>10128582</x:v>
      </x:c>
      <x:c r="E654" s="147" t="s">
        <x:v>132</x:v>
      </x:c>
    </x:row>
    <x:row r="655" spans="1:17">
      <x:c r="D655" s="147" t="n">
        <x:v>10128595</x:v>
      </x:c>
      <x:c r="E655" s="147" t="s">
        <x:v>132</x:v>
      </x:c>
    </x:row>
    <x:row r="656" spans="1:17">
      <x:c r="D656" s="147" t="n">
        <x:v>10128596</x:v>
      </x:c>
      <x:c r="E656" s="147" t="s">
        <x:v>56</x:v>
      </x:c>
    </x:row>
    <x:row r="657" spans="1:17">
      <x:c r="D657" s="147" t="n">
        <x:v>10128597</x:v>
      </x:c>
      <x:c r="E657" s="147" t="s">
        <x:v>114</x:v>
      </x:c>
    </x:row>
    <x:row r="658" spans="1:17">
      <x:c r="D658" s="147" t="n">
        <x:v>10128598</x:v>
      </x:c>
      <x:c r="E658" s="147" t="s">
        <x:v>132</x:v>
      </x:c>
    </x:row>
    <x:row r="659" spans="1:17">
      <x:c r="D659" s="147" t="n">
        <x:v>10128599</x:v>
      </x:c>
      <x:c r="E659" s="147" t="s">
        <x:v>154</x:v>
      </x:c>
    </x:row>
    <x:row r="660" spans="1:17">
      <x:c r="D660" s="147" t="n">
        <x:v>10128600</x:v>
      </x:c>
      <x:c r="E660" s="147" t="s">
        <x:v>114</x:v>
      </x:c>
    </x:row>
    <x:row r="661" spans="1:17">
      <x:c r="D661" s="147" t="n">
        <x:v>10128579</x:v>
      </x:c>
      <x:c r="E661" s="147" t="s">
        <x:v>154</x:v>
      </x:c>
    </x:row>
    <x:row r="662" spans="1:17">
      <x:c r="D662" s="147" t="n">
        <x:v>10128580</x:v>
      </x:c>
      <x:c r="E662" s="147" t="s">
        <x:v>114</x:v>
      </x:c>
    </x:row>
    <x:row r="663" spans="1:17">
      <x:c r="D663" s="147" t="n">
        <x:v>10128581</x:v>
      </x:c>
      <x:c r="E663" s="147" t="s">
        <x:v>114</x:v>
      </x:c>
    </x:row>
    <x:row r="664" spans="1:17">
      <x:c r="D664" s="147" t="n">
        <x:v>10128582</x:v>
      </x:c>
      <x:c r="E664" s="147" t="s">
        <x:v>132</x:v>
      </x:c>
    </x:row>
    <x:row r="665" spans="1:17">
      <x:c r="D665" s="147" t="n">
        <x:v>10128595</x:v>
      </x:c>
      <x:c r="E665" s="147" t="s">
        <x:v>132</x:v>
      </x:c>
    </x:row>
    <x:row r="666" spans="1:17">
      <x:c r="D666" s="147" t="n">
        <x:v>10128596</x:v>
      </x:c>
      <x:c r="E666" s="147" t="s">
        <x:v>56</x:v>
      </x:c>
    </x:row>
    <x:row r="667" spans="1:17">
      <x:c r="D667" s="147" t="n">
        <x:v>10128597</x:v>
      </x:c>
      <x:c r="E667" s="147" t="s">
        <x:v>114</x:v>
      </x:c>
    </x:row>
    <x:row r="668" spans="1:17">
      <x:c r="D668" s="147" t="n">
        <x:v>10128598</x:v>
      </x:c>
      <x:c r="E668" s="147" t="s">
        <x:v>132</x:v>
      </x:c>
    </x:row>
    <x:row r="669" spans="1:17">
      <x:c r="D669" s="147" t="n">
        <x:v>10128599</x:v>
      </x:c>
      <x:c r="E669" s="147" t="s">
        <x:v>154</x:v>
      </x:c>
    </x:row>
    <x:row r="670" spans="1:17">
      <x:c r="D670" s="147" t="n">
        <x:v>10128600</x:v>
      </x:c>
      <x:c r="E670" s="147" t="s">
        <x:v>114</x:v>
      </x:c>
    </x:row>
    <x:row r="671" spans="1:17">
      <x:c r="D671" s="147" t="n">
        <x:v>10128579</x:v>
      </x:c>
      <x:c r="E671" s="147" t="s">
        <x:v>154</x:v>
      </x:c>
    </x:row>
    <x:row r="672" spans="1:17">
      <x:c r="D672" s="147" t="n">
        <x:v>10128580</x:v>
      </x:c>
      <x:c r="E672" s="147" t="s">
        <x:v>114</x:v>
      </x:c>
    </x:row>
    <x:row r="673" spans="1:17">
      <x:c r="D673" s="147" t="n">
        <x:v>10128581</x:v>
      </x:c>
      <x:c r="E673" s="147" t="s">
        <x:v>114</x:v>
      </x:c>
    </x:row>
    <x:row r="674" spans="1:17">
      <x:c r="D674" s="147" t="n">
        <x:v>10128582</x:v>
      </x:c>
      <x:c r="E674" s="147" t="s">
        <x:v>132</x:v>
      </x:c>
    </x:row>
    <x:row r="675" spans="1:17">
      <x:c r="D675" s="147" t="n">
        <x:v>10128595</x:v>
      </x:c>
      <x:c r="E675" s="147" t="s">
        <x:v>132</x:v>
      </x:c>
    </x:row>
    <x:row r="676" spans="1:17">
      <x:c r="D676" s="147" t="n">
        <x:v>10128596</x:v>
      </x:c>
      <x:c r="E676" s="147" t="s">
        <x:v>56</x:v>
      </x:c>
    </x:row>
    <x:row r="677" spans="1:17">
      <x:c r="D677" s="147" t="n">
        <x:v>10128597</x:v>
      </x:c>
      <x:c r="E677" s="147" t="s">
        <x:v>114</x:v>
      </x:c>
    </x:row>
    <x:row r="678" spans="1:17">
      <x:c r="D678" s="147" t="n">
        <x:v>10128598</x:v>
      </x:c>
      <x:c r="E678" s="147" t="s">
        <x:v>132</x:v>
      </x:c>
    </x:row>
    <x:row r="679" spans="1:17">
      <x:c r="D679" s="147" t="n">
        <x:v>10128599</x:v>
      </x:c>
      <x:c r="E679" s="147" t="s">
        <x:v>154</x:v>
      </x:c>
    </x:row>
    <x:row r="680" spans="1:17">
      <x:c r="D680" s="147" t="n">
        <x:v>10128600</x:v>
      </x:c>
      <x:c r="E680" s="147" t="s">
        <x:v>114</x:v>
      </x:c>
    </x:row>
    <x:row r="681" spans="1:17">
      <x:c r="D681" s="147" t="n">
        <x:v>10128579</x:v>
      </x:c>
      <x:c r="E681" s="147" t="s">
        <x:v>154</x:v>
      </x:c>
    </x:row>
    <x:row r="682" spans="1:17">
      <x:c r="D682" s="147" t="n">
        <x:v>10128580</x:v>
      </x:c>
      <x:c r="E682" s="147" t="s">
        <x:v>114</x:v>
      </x:c>
    </x:row>
    <x:row r="683" spans="1:17">
      <x:c r="D683" s="147" t="n">
        <x:v>10128581</x:v>
      </x:c>
      <x:c r="E683" s="147" t="s">
        <x:v>114</x:v>
      </x:c>
    </x:row>
    <x:row r="684" spans="1:17">
      <x:c r="D684" s="147" t="n">
        <x:v>10128582</x:v>
      </x:c>
      <x:c r="E684" s="147" t="s">
        <x:v>132</x:v>
      </x:c>
    </x:row>
    <x:row r="685" spans="1:17">
      <x:c r="D685" s="147" t="n">
        <x:v>10128595</x:v>
      </x:c>
      <x:c r="E685" s="147" t="s">
        <x:v>132</x:v>
      </x:c>
    </x:row>
    <x:row r="686" spans="1:17">
      <x:c r="D686" s="147" t="n">
        <x:v>10128596</x:v>
      </x:c>
      <x:c r="E686" s="147" t="s">
        <x:v>56</x:v>
      </x:c>
    </x:row>
    <x:row r="687" spans="1:17">
      <x:c r="D687" s="147" t="n">
        <x:v>10128597</x:v>
      </x:c>
      <x:c r="E687" s="147" t="s">
        <x:v>114</x:v>
      </x:c>
    </x:row>
    <x:row r="688" spans="1:17">
      <x:c r="D688" s="147" t="n">
        <x:v>10128598</x:v>
      </x:c>
      <x:c r="E688" s="147" t="s">
        <x:v>132</x:v>
      </x:c>
    </x:row>
    <x:row r="689" spans="1:17">
      <x:c r="D689" s="147" t="n">
        <x:v>10128599</x:v>
      </x:c>
      <x:c r="E689" s="147" t="s">
        <x:v>154</x:v>
      </x:c>
    </x:row>
    <x:row r="690" spans="1:17">
      <x:c r="D690" s="147" t="n">
        <x:v>10128600</x:v>
      </x:c>
      <x:c r="E690" s="147" t="s">
        <x:v>114</x:v>
      </x:c>
    </x:row>
    <x:row r="691" spans="1:17">
      <x:c r="D691" s="147" t="n">
        <x:v>10128579</x:v>
      </x:c>
      <x:c r="E691" s="147" t="s">
        <x:v>154</x:v>
      </x:c>
    </x:row>
    <x:row r="692" spans="1:17">
      <x:c r="D692" s="147" t="n">
        <x:v>10128580</x:v>
      </x:c>
      <x:c r="E692" s="147" t="s">
        <x:v>114</x:v>
      </x:c>
    </x:row>
    <x:row r="693" spans="1:17">
      <x:c r="D693" s="147" t="n">
        <x:v>10128581</x:v>
      </x:c>
      <x:c r="E693" s="147" t="s">
        <x:v>114</x:v>
      </x:c>
    </x:row>
    <x:row r="694" spans="1:17">
      <x:c r="D694" s="147" t="n">
        <x:v>10128582</x:v>
      </x:c>
      <x:c r="E694" s="147" t="s">
        <x:v>132</x:v>
      </x:c>
    </x:row>
    <x:row r="695" spans="1:17">
      <x:c r="D695" s="147" t="n">
        <x:v>10128595</x:v>
      </x:c>
      <x:c r="E695" s="147" t="s">
        <x:v>132</x:v>
      </x:c>
    </x:row>
    <x:row r="696" spans="1:17">
      <x:c r="D696" s="147" t="n">
        <x:v>10128596</x:v>
      </x:c>
      <x:c r="E696" s="147" t="s">
        <x:v>56</x:v>
      </x:c>
    </x:row>
    <x:row r="697" spans="1:17">
      <x:c r="D697" s="147" t="n">
        <x:v>10128597</x:v>
      </x:c>
      <x:c r="E697" s="147" t="s">
        <x:v>114</x:v>
      </x:c>
    </x:row>
    <x:row r="698" spans="1:17">
      <x:c r="D698" s="147" t="n">
        <x:v>10128598</x:v>
      </x:c>
      <x:c r="E698" s="147" t="s">
        <x:v>132</x:v>
      </x:c>
    </x:row>
    <x:row r="699" spans="1:17">
      <x:c r="D699" s="147" t="n">
        <x:v>10128599</x:v>
      </x:c>
      <x:c r="E699" s="147" t="s">
        <x:v>154</x:v>
      </x:c>
    </x:row>
    <x:row r="700" spans="1:17">
      <x:c r="D700" s="147" t="n">
        <x:v>10128600</x:v>
      </x:c>
      <x:c r="E700" s="147" t="s">
        <x:v>114</x:v>
      </x:c>
    </x:row>
    <x:row r="701" spans="1:17">
      <x:c r="D701" s="147" t="n">
        <x:v>10128579</x:v>
      </x:c>
      <x:c r="E701" s="147" t="s">
        <x:v>154</x:v>
      </x:c>
    </x:row>
    <x:row r="702" spans="1:17">
      <x:c r="D702" s="147" t="n">
        <x:v>10128580</x:v>
      </x:c>
      <x:c r="E702" s="147" t="s">
        <x:v>114</x:v>
      </x:c>
    </x:row>
    <x:row r="703" spans="1:17">
      <x:c r="D703" s="147" t="n">
        <x:v>10128581</x:v>
      </x:c>
      <x:c r="E703" s="147" t="s">
        <x:v>114</x:v>
      </x:c>
    </x:row>
    <x:row r="704" spans="1:17">
      <x:c r="D704" s="147" t="n">
        <x:v>10128582</x:v>
      </x:c>
      <x:c r="E704" s="147" t="s">
        <x:v>132</x:v>
      </x:c>
    </x:row>
    <x:row r="705" spans="1:17">
      <x:c r="D705" s="147" t="n">
        <x:v>10128595</x:v>
      </x:c>
      <x:c r="E705" s="147" t="s">
        <x:v>132</x:v>
      </x:c>
    </x:row>
    <x:row r="706" spans="1:17">
      <x:c r="D706" s="147" t="n">
        <x:v>10128596</x:v>
      </x:c>
      <x:c r="E706" s="147" t="s">
        <x:v>56</x:v>
      </x:c>
    </x:row>
    <x:row r="707" spans="1:17">
      <x:c r="D707" s="147" t="n">
        <x:v>10128597</x:v>
      </x:c>
      <x:c r="E707" s="147" t="s">
        <x:v>114</x:v>
      </x:c>
    </x:row>
    <x:row r="708" spans="1:17">
      <x:c r="D708" s="147" t="n">
        <x:v>10128598</x:v>
      </x:c>
      <x:c r="E708" s="147" t="s">
        <x:v>132</x:v>
      </x:c>
    </x:row>
    <x:row r="709" spans="1:17">
      <x:c r="D709" s="147" t="n">
        <x:v>10128599</x:v>
      </x:c>
      <x:c r="E709" s="147" t="s">
        <x:v>154</x:v>
      </x:c>
    </x:row>
    <x:row r="710" spans="1:17">
      <x:c r="D710" s="147" t="n">
        <x:v>10128600</x:v>
      </x:c>
      <x:c r="E710" s="147" t="s">
        <x:v>114</x:v>
      </x:c>
    </x:row>
    <x:row r="711" spans="1:17">
      <x:c r="D711" s="147" t="n">
        <x:v>10128579</x:v>
      </x:c>
      <x:c r="E711" s="147" t="s">
        <x:v>154</x:v>
      </x:c>
    </x:row>
    <x:row r="712" spans="1:17">
      <x:c r="D712" s="147" t="n">
        <x:v>10128580</x:v>
      </x:c>
      <x:c r="E712" s="147" t="s">
        <x:v>114</x:v>
      </x:c>
    </x:row>
    <x:row r="713" spans="1:17">
      <x:c r="D713" s="147" t="n">
        <x:v>10128581</x:v>
      </x:c>
      <x:c r="E713" s="147" t="s">
        <x:v>114</x:v>
      </x:c>
    </x:row>
    <x:row r="714" spans="1:17">
      <x:c r="D714" s="147" t="n">
        <x:v>10128582</x:v>
      </x:c>
      <x:c r="E714" s="147" t="s">
        <x:v>132</x:v>
      </x:c>
    </x:row>
    <x:row r="715" spans="1:17">
      <x:c r="D715" s="147" t="n">
        <x:v>10128595</x:v>
      </x:c>
      <x:c r="E715" s="147" t="s">
        <x:v>132</x:v>
      </x:c>
    </x:row>
    <x:row r="716" spans="1:17">
      <x:c r="D716" s="147" t="n">
        <x:v>10128596</x:v>
      </x:c>
      <x:c r="E716" s="147" t="s">
        <x:v>56</x:v>
      </x:c>
    </x:row>
    <x:row r="717" spans="1:17">
      <x:c r="D717" s="147" t="n">
        <x:v>10128597</x:v>
      </x:c>
      <x:c r="E717" s="147" t="s">
        <x:v>114</x:v>
      </x:c>
    </x:row>
    <x:row r="718" spans="1:17">
      <x:c r="D718" s="147" t="n">
        <x:v>10128598</x:v>
      </x:c>
      <x:c r="E718" s="147" t="s">
        <x:v>132</x:v>
      </x:c>
    </x:row>
    <x:row r="719" spans="1:17">
      <x:c r="D719" s="147" t="n">
        <x:v>10128599</x:v>
      </x:c>
      <x:c r="E719" s="147" t="s">
        <x:v>154</x:v>
      </x:c>
    </x:row>
    <x:row r="720" spans="1:17">
      <x:c r="D720" s="147" t="n">
        <x:v>10128600</x:v>
      </x:c>
      <x:c r="E720" s="147" t="s">
        <x:v>114</x:v>
      </x:c>
    </x:row>
    <x:row r="721" spans="1:17">
      <x:c r="D721" s="147" t="n">
        <x:v>10128579</x:v>
      </x:c>
      <x:c r="E721" s="147" t="s">
        <x:v>154</x:v>
      </x:c>
    </x:row>
    <x:row r="722" spans="1:17">
      <x:c r="D722" s="147" t="n">
        <x:v>10128580</x:v>
      </x:c>
      <x:c r="E722" s="147" t="s">
        <x:v>114</x:v>
      </x:c>
    </x:row>
    <x:row r="723" spans="1:17">
      <x:c r="D723" s="147" t="n">
        <x:v>10128581</x:v>
      </x:c>
      <x:c r="E723" s="147" t="s">
        <x:v>114</x:v>
      </x:c>
    </x:row>
    <x:row r="724" spans="1:17">
      <x:c r="D724" s="147" t="n">
        <x:v>10128582</x:v>
      </x:c>
      <x:c r="E724" s="147" t="s">
        <x:v>132</x:v>
      </x:c>
    </x:row>
    <x:row r="725" spans="1:17">
      <x:c r="D725" s="147" t="n">
        <x:v>10128595</x:v>
      </x:c>
      <x:c r="E725" s="147" t="s">
        <x:v>132</x:v>
      </x:c>
    </x:row>
    <x:row r="726" spans="1:17">
      <x:c r="D726" s="147" t="n">
        <x:v>10128596</x:v>
      </x:c>
      <x:c r="E726" s="147" t="s">
        <x:v>56</x:v>
      </x:c>
    </x:row>
    <x:row r="727" spans="1:17">
      <x:c r="D727" s="147" t="n">
        <x:v>10128597</x:v>
      </x:c>
      <x:c r="E727" s="147" t="s">
        <x:v>114</x:v>
      </x:c>
    </x:row>
    <x:row r="728" spans="1:17">
      <x:c r="D728" s="147" t="n">
        <x:v>10128598</x:v>
      </x:c>
      <x:c r="E728" s="147" t="s">
        <x:v>132</x:v>
      </x:c>
    </x:row>
    <x:row r="729" spans="1:17">
      <x:c r="D729" s="147" t="n">
        <x:v>10128599</x:v>
      </x:c>
      <x:c r="E729" s="147" t="s">
        <x:v>154</x:v>
      </x:c>
    </x:row>
    <x:row r="730" spans="1:17">
      <x:c r="D730" s="147" t="n">
        <x:v>10128600</x:v>
      </x:c>
      <x:c r="E730" s="147" t="s">
        <x:v>114</x:v>
      </x:c>
    </x:row>
    <x:row r="731" spans="1:17">
      <x:c r="D731" s="147" t="n">
        <x:v>10128579</x:v>
      </x:c>
      <x:c r="E731" s="147" t="s">
        <x:v>154</x:v>
      </x:c>
    </x:row>
    <x:row r="732" spans="1:17">
      <x:c r="D732" s="147" t="n">
        <x:v>10128580</x:v>
      </x:c>
      <x:c r="E732" s="147" t="s">
        <x:v>114</x:v>
      </x:c>
    </x:row>
    <x:row r="733" spans="1:17">
      <x:c r="D733" s="147" t="n">
        <x:v>10128581</x:v>
      </x:c>
      <x:c r="E733" s="147" t="s">
        <x:v>114</x:v>
      </x:c>
    </x:row>
    <x:row r="734" spans="1:17">
      <x:c r="D734" s="147" t="n">
        <x:v>10128582</x:v>
      </x:c>
      <x:c r="E734" s="147" t="s">
        <x:v>132</x:v>
      </x:c>
    </x:row>
    <x:row r="735" spans="1:17">
      <x:c r="D735" s="147" t="n">
        <x:v>10128595</x:v>
      </x:c>
      <x:c r="E735" s="147" t="s">
        <x:v>132</x:v>
      </x:c>
    </x:row>
    <x:row r="736" spans="1:17">
      <x:c r="D736" s="147" t="n">
        <x:v>10128596</x:v>
      </x:c>
      <x:c r="E736" s="147" t="s">
        <x:v>56</x:v>
      </x:c>
    </x:row>
    <x:row r="737" spans="1:17">
      <x:c r="D737" s="147" t="n">
        <x:v>10128597</x:v>
      </x:c>
      <x:c r="E737" s="147" t="s">
        <x:v>114</x:v>
      </x:c>
    </x:row>
    <x:row r="738" spans="1:17">
      <x:c r="D738" s="147" t="n">
        <x:v>10128598</x:v>
      </x:c>
      <x:c r="E738" s="147" t="s">
        <x:v>132</x:v>
      </x:c>
    </x:row>
    <x:row r="739" spans="1:17">
      <x:c r="D739" s="147" t="n">
        <x:v>10128599</x:v>
      </x:c>
      <x:c r="E739" s="147" t="s">
        <x:v>154</x:v>
      </x:c>
    </x:row>
    <x:row r="740" spans="1:17">
      <x:c r="D740" s="147" t="n">
        <x:v>10128600</x:v>
      </x:c>
      <x:c r="E740" s="147" t="s">
        <x:v>114</x:v>
      </x:c>
    </x:row>
    <x:row r="741" spans="1:17">
      <x:c r="D741" s="147" t="n">
        <x:v>10128579</x:v>
      </x:c>
      <x:c r="E741" s="147" t="s">
        <x:v>154</x:v>
      </x:c>
    </x:row>
    <x:row r="742" spans="1:17">
      <x:c r="D742" s="147" t="n">
        <x:v>10128580</x:v>
      </x:c>
      <x:c r="E742" s="147" t="s">
        <x:v>114</x:v>
      </x:c>
    </x:row>
    <x:row r="743" spans="1:17">
      <x:c r="D743" s="147" t="n">
        <x:v>10128581</x:v>
      </x:c>
      <x:c r="E743" s="147" t="s">
        <x:v>114</x:v>
      </x:c>
    </x:row>
    <x:row r="744" spans="1:17">
      <x:c r="D744" s="147" t="n">
        <x:v>10128582</x:v>
      </x:c>
      <x:c r="E744" s="147" t="s">
        <x:v>132</x:v>
      </x:c>
    </x:row>
    <x:row r="745" spans="1:17">
      <x:c r="D745" s="147" t="n">
        <x:v>10128595</x:v>
      </x:c>
      <x:c r="E745" s="147" t="s">
        <x:v>132</x:v>
      </x:c>
    </x:row>
    <x:row r="746" spans="1:17">
      <x:c r="D746" s="147" t="n">
        <x:v>10128596</x:v>
      </x:c>
      <x:c r="E746" s="147" t="s">
        <x:v>56</x:v>
      </x:c>
    </x:row>
    <x:row r="747" spans="1:17">
      <x:c r="D747" s="147" t="n">
        <x:v>10128597</x:v>
      </x:c>
      <x:c r="E747" s="147" t="s">
        <x:v>114</x:v>
      </x:c>
    </x:row>
    <x:row r="748" spans="1:17">
      <x:c r="D748" s="147" t="n">
        <x:v>10128598</x:v>
      </x:c>
      <x:c r="E748" s="147" t="s">
        <x:v>132</x:v>
      </x:c>
    </x:row>
    <x:row r="749" spans="1:17">
      <x:c r="D749" s="147" t="n">
        <x:v>10128599</x:v>
      </x:c>
      <x:c r="E749" s="147" t="s">
        <x:v>154</x:v>
      </x:c>
    </x:row>
    <x:row r="750" spans="1:17">
      <x:c r="D750" s="147" t="n">
        <x:v>10128600</x:v>
      </x:c>
      <x:c r="E750" s="147" t="s">
        <x:v>114</x:v>
      </x:c>
    </x:row>
    <x:row r="751" spans="1:17">
      <x:c r="D751" s="147" t="n">
        <x:v>10128579</x:v>
      </x:c>
      <x:c r="E751" s="147" t="s">
        <x:v>154</x:v>
      </x:c>
    </x:row>
    <x:row r="752" spans="1:17">
      <x:c r="D752" s="147" t="n">
        <x:v>10128580</x:v>
      </x:c>
      <x:c r="E752" s="147" t="s">
        <x:v>114</x:v>
      </x:c>
    </x:row>
    <x:row r="753" spans="1:17">
      <x:c r="D753" s="147" t="n">
        <x:v>10128581</x:v>
      </x:c>
      <x:c r="E753" s="147" t="s">
        <x:v>114</x:v>
      </x:c>
    </x:row>
    <x:row r="754" spans="1:17">
      <x:c r="D754" s="147" t="n">
        <x:v>10128582</x:v>
      </x:c>
      <x:c r="E754" s="147" t="s">
        <x:v>132</x:v>
      </x:c>
    </x:row>
    <x:row r="755" spans="1:17">
      <x:c r="D755" s="147" t="n">
        <x:v>10128595</x:v>
      </x:c>
      <x:c r="E755" s="147" t="s">
        <x:v>132</x:v>
      </x:c>
    </x:row>
    <x:row r="756" spans="1:17">
      <x:c r="D756" s="147" t="n">
        <x:v>10128596</x:v>
      </x:c>
      <x:c r="E756" s="147" t="s">
        <x:v>56</x:v>
      </x:c>
    </x:row>
    <x:row r="757" spans="1:17">
      <x:c r="D757" s="147" t="n">
        <x:v>10128597</x:v>
      </x:c>
      <x:c r="E757" s="147" t="s">
        <x:v>114</x:v>
      </x:c>
    </x:row>
    <x:row r="758" spans="1:17">
      <x:c r="D758" s="147" t="n">
        <x:v>10128598</x:v>
      </x:c>
      <x:c r="E758" s="147" t="s">
        <x:v>132</x:v>
      </x:c>
    </x:row>
    <x:row r="759" spans="1:17">
      <x:c r="D759" s="147" t="n">
        <x:v>10128599</x:v>
      </x:c>
      <x:c r="E759" s="147" t="s">
        <x:v>154</x:v>
      </x:c>
    </x:row>
    <x:row r="760" spans="1:17">
      <x:c r="D760" s="147" t="n">
        <x:v>10128600</x:v>
      </x:c>
      <x:c r="E760" s="147" t="s">
        <x:v>114</x:v>
      </x:c>
    </x:row>
    <x:row r="761" spans="1:17">
      <x:c r="D761" s="147" t="n">
        <x:v>10128579</x:v>
      </x:c>
      <x:c r="E761" s="147" t="s">
        <x:v>154</x:v>
      </x:c>
    </x:row>
    <x:row r="762" spans="1:17">
      <x:c r="D762" s="147" t="n">
        <x:v>10128580</x:v>
      </x:c>
      <x:c r="E762" s="147" t="s">
        <x:v>114</x:v>
      </x:c>
    </x:row>
    <x:row r="763" spans="1:17">
      <x:c r="D763" s="147" t="n">
        <x:v>10128581</x:v>
      </x:c>
      <x:c r="E763" s="147" t="s">
        <x:v>114</x:v>
      </x:c>
    </x:row>
    <x:row r="764" spans="1:17">
      <x:c r="D764" s="147" t="n">
        <x:v>10128582</x:v>
      </x:c>
      <x:c r="E764" s="147" t="s">
        <x:v>132</x:v>
      </x:c>
    </x:row>
    <x:row r="765" spans="1:17">
      <x:c r="D765" s="147" t="n">
        <x:v>10128595</x:v>
      </x:c>
      <x:c r="E765" s="147" t="s">
        <x:v>132</x:v>
      </x:c>
    </x:row>
    <x:row r="766" spans="1:17">
      <x:c r="D766" s="147" t="n">
        <x:v>10128596</x:v>
      </x:c>
      <x:c r="E766" s="147" t="s">
        <x:v>56</x:v>
      </x:c>
    </x:row>
    <x:row r="767" spans="1:17">
      <x:c r="D767" s="147" t="n">
        <x:v>10128597</x:v>
      </x:c>
      <x:c r="E767" s="147" t="s">
        <x:v>114</x:v>
      </x:c>
    </x:row>
    <x:row r="768" spans="1:17">
      <x:c r="D768" s="147" t="n">
        <x:v>10128598</x:v>
      </x:c>
      <x:c r="E768" s="147" t="s">
        <x:v>132</x:v>
      </x:c>
    </x:row>
    <x:row r="769" spans="1:17">
      <x:c r="D769" s="147" t="n">
        <x:v>10128599</x:v>
      </x:c>
      <x:c r="E769" s="147" t="s">
        <x:v>154</x:v>
      </x:c>
    </x:row>
    <x:row r="770" spans="1:17">
      <x:c r="D770" s="147" t="n">
        <x:v>10128600</x:v>
      </x:c>
      <x:c r="E770" s="147" t="s">
        <x:v>114</x:v>
      </x:c>
    </x:row>
    <x:row r="771" spans="1:17">
      <x:c r="D771" s="147" t="n">
        <x:v>10128579</x:v>
      </x:c>
      <x:c r="E771" s="147" t="s">
        <x:v>154</x:v>
      </x:c>
    </x:row>
    <x:row r="772" spans="1:17">
      <x:c r="D772" s="147" t="n">
        <x:v>10128580</x:v>
      </x:c>
      <x:c r="E772" s="147" t="s">
        <x:v>114</x:v>
      </x:c>
    </x:row>
    <x:row r="773" spans="1:17">
      <x:c r="D773" s="147" t="n">
        <x:v>10128581</x:v>
      </x:c>
      <x:c r="E773" s="147" t="s">
        <x:v>114</x:v>
      </x:c>
    </x:row>
    <x:row r="774" spans="1:17">
      <x:c r="D774" s="147" t="n">
        <x:v>10128582</x:v>
      </x:c>
      <x:c r="E774" s="147" t="s">
        <x:v>132</x:v>
      </x:c>
    </x:row>
    <x:row r="775" spans="1:17">
      <x:c r="D775" s="147" t="n">
        <x:v>10128595</x:v>
      </x:c>
      <x:c r="E775" s="147" t="s">
        <x:v>132</x:v>
      </x:c>
    </x:row>
    <x:row r="776" spans="1:17">
      <x:c r="D776" s="147" t="n">
        <x:v>10128596</x:v>
      </x:c>
      <x:c r="E776" s="147" t="s">
        <x:v>56</x:v>
      </x:c>
    </x:row>
    <x:row r="777" spans="1:17">
      <x:c r="D777" s="147" t="n">
        <x:v>10128597</x:v>
      </x:c>
      <x:c r="E777" s="147" t="s">
        <x:v>114</x:v>
      </x:c>
    </x:row>
    <x:row r="778" spans="1:17">
      <x:c r="D778" s="147" t="n">
        <x:v>10128598</x:v>
      </x:c>
      <x:c r="E778" s="147" t="s">
        <x:v>132</x:v>
      </x:c>
    </x:row>
    <x:row r="779" spans="1:17">
      <x:c r="D779" s="147" t="n">
        <x:v>10128599</x:v>
      </x:c>
      <x:c r="E779" s="147" t="s">
        <x:v>154</x:v>
      </x:c>
    </x:row>
    <x:row r="780" spans="1:17">
      <x:c r="D780" s="147" t="n">
        <x:v>10128600</x:v>
      </x:c>
      <x:c r="E780" s="147" t="s">
        <x:v>114</x:v>
      </x:c>
    </x:row>
    <x:row r="781" spans="1:17">
      <x:c r="D781" s="147" t="n">
        <x:v>10128579</x:v>
      </x:c>
      <x:c r="E781" s="147" t="s">
        <x:v>154</x:v>
      </x:c>
    </x:row>
    <x:row r="782" spans="1:17">
      <x:c r="D782" s="147" t="n">
        <x:v>10128580</x:v>
      </x:c>
      <x:c r="E782" s="147" t="s">
        <x:v>114</x:v>
      </x:c>
    </x:row>
    <x:row r="783" spans="1:17">
      <x:c r="D783" s="147" t="n">
        <x:v>10128581</x:v>
      </x:c>
      <x:c r="E783" s="147" t="s">
        <x:v>114</x:v>
      </x:c>
    </x:row>
    <x:row r="784" spans="1:17">
      <x:c r="D784" s="147" t="n">
        <x:v>10128582</x:v>
      </x:c>
      <x:c r="E784" s="147" t="s">
        <x:v>132</x:v>
      </x:c>
    </x:row>
    <x:row r="785" spans="1:17">
      <x:c r="D785" s="147" t="n">
        <x:v>10128595</x:v>
      </x:c>
      <x:c r="E785" s="147" t="s">
        <x:v>132</x:v>
      </x:c>
    </x:row>
    <x:row r="786" spans="1:17">
      <x:c r="D786" s="147" t="n">
        <x:v>10128596</x:v>
      </x:c>
      <x:c r="E786" s="147" t="s">
        <x:v>56</x:v>
      </x:c>
    </x:row>
    <x:row r="787" spans="1:17">
      <x:c r="D787" s="147" t="n">
        <x:v>10128597</x:v>
      </x:c>
      <x:c r="E787" s="147" t="s">
        <x:v>114</x:v>
      </x:c>
    </x:row>
    <x:row r="788" spans="1:17">
      <x:c r="D788" s="147" t="n">
        <x:v>10128598</x:v>
      </x:c>
      <x:c r="E788" s="147" t="s">
        <x:v>132</x:v>
      </x:c>
    </x:row>
    <x:row r="789" spans="1:17">
      <x:c r="D789" s="147" t="n">
        <x:v>10128599</x:v>
      </x:c>
      <x:c r="E789" s="147" t="s">
        <x:v>154</x:v>
      </x:c>
    </x:row>
    <x:row r="790" spans="1:17">
      <x:c r="D790" s="147" t="n">
        <x:v>10128600</x:v>
      </x:c>
      <x:c r="E790" s="147" t="s">
        <x:v>114</x:v>
      </x:c>
    </x:row>
    <x:row r="791" spans="1:17">
      <x:c r="D791" s="147" t="n">
        <x:v>10128579</x:v>
      </x:c>
      <x:c r="E791" s="147" t="s">
        <x:v>154</x:v>
      </x:c>
    </x:row>
    <x:row r="792" spans="1:17">
      <x:c r="D792" s="147" t="n">
        <x:v>10128580</x:v>
      </x:c>
      <x:c r="E792" s="147" t="s">
        <x:v>114</x:v>
      </x:c>
    </x:row>
    <x:row r="793" spans="1:17">
      <x:c r="D793" s="147" t="n">
        <x:v>10128581</x:v>
      </x:c>
      <x:c r="E793" s="147" t="s">
        <x:v>114</x:v>
      </x:c>
    </x:row>
    <x:row r="794" spans="1:17">
      <x:c r="D794" s="147" t="n">
        <x:v>10128582</x:v>
      </x:c>
      <x:c r="E794" s="147" t="s">
        <x:v>132</x:v>
      </x:c>
    </x:row>
    <x:row r="795" spans="1:17">
      <x:c r="D795" s="147" t="n">
        <x:v>10128595</x:v>
      </x:c>
      <x:c r="E795" s="147" t="s">
        <x:v>132</x:v>
      </x:c>
    </x:row>
    <x:row r="796" spans="1:17">
      <x:c r="D796" s="147" t="n">
        <x:v>10128596</x:v>
      </x:c>
      <x:c r="E796" s="147" t="s">
        <x:v>56</x:v>
      </x:c>
    </x:row>
    <x:row r="797" spans="1:17">
      <x:c r="D797" s="147" t="n">
        <x:v>10128597</x:v>
      </x:c>
      <x:c r="E797" s="147" t="s">
        <x:v>114</x:v>
      </x:c>
    </x:row>
    <x:row r="798" spans="1:17">
      <x:c r="D798" s="147" t="n">
        <x:v>10128598</x:v>
      </x:c>
      <x:c r="E798" s="147" t="s">
        <x:v>132</x:v>
      </x:c>
    </x:row>
    <x:row r="799" spans="1:17">
      <x:c r="D799" s="147" t="n">
        <x:v>10128599</x:v>
      </x:c>
      <x:c r="E799" s="147" t="s">
        <x:v>154</x:v>
      </x:c>
    </x:row>
    <x:row r="800" spans="1:17">
      <x:c r="D800" s="147" t="n">
        <x:v>10128600</x:v>
      </x:c>
      <x:c r="E800" s="147" t="s">
        <x:v>114</x:v>
      </x:c>
    </x:row>
    <x:row r="801" spans="1:17">
      <x:c r="D801" s="147" t="n">
        <x:v>10128579</x:v>
      </x:c>
      <x:c r="E801" s="147" t="s">
        <x:v>154</x:v>
      </x:c>
    </x:row>
    <x:row r="802" spans="1:17">
      <x:c r="D802" s="147" t="n">
        <x:v>10128580</x:v>
      </x:c>
      <x:c r="E802" s="147" t="s">
        <x:v>114</x:v>
      </x:c>
    </x:row>
    <x:row r="803" spans="1:17">
      <x:c r="D803" s="147" t="n">
        <x:v>10128581</x:v>
      </x:c>
      <x:c r="E803" s="147" t="s">
        <x:v>114</x:v>
      </x:c>
    </x:row>
    <x:row r="804" spans="1:17">
      <x:c r="D804" s="147" t="n">
        <x:v>10128582</x:v>
      </x:c>
      <x:c r="E804" s="147" t="s">
        <x:v>132</x:v>
      </x:c>
    </x:row>
    <x:row r="805" spans="1:17">
      <x:c r="D805" s="147" t="n">
        <x:v>10128595</x:v>
      </x:c>
      <x:c r="E805" s="147" t="s">
        <x:v>132</x:v>
      </x:c>
    </x:row>
    <x:row r="806" spans="1:17">
      <x:c r="D806" s="147" t="n">
        <x:v>10128596</x:v>
      </x:c>
      <x:c r="E806" s="147" t="s">
        <x:v>56</x:v>
      </x:c>
    </x:row>
    <x:row r="807" spans="1:17">
      <x:c r="D807" s="147" t="n">
        <x:v>10128597</x:v>
      </x:c>
      <x:c r="E807" s="147" t="s">
        <x:v>114</x:v>
      </x:c>
    </x:row>
    <x:row r="808" spans="1:17">
      <x:c r="D808" s="147" t="n">
        <x:v>10128598</x:v>
      </x:c>
      <x:c r="E808" s="147" t="s">
        <x:v>132</x:v>
      </x:c>
    </x:row>
    <x:row r="809" spans="1:17">
      <x:c r="D809" s="147" t="n">
        <x:v>10128599</x:v>
      </x:c>
      <x:c r="E809" s="147" t="s">
        <x:v>154</x:v>
      </x:c>
    </x:row>
    <x:row r="810" spans="1:17">
      <x:c r="D810" s="147" t="n">
        <x:v>10128600</x:v>
      </x:c>
      <x:c r="E810" s="147" t="s">
        <x:v>114</x:v>
      </x:c>
    </x:row>
    <x:row r="811" spans="1:17">
      <x:c r="D811" s="147" t="n">
        <x:v>10128579</x:v>
      </x:c>
      <x:c r="E811" s="147" t="s">
        <x:v>154</x:v>
      </x:c>
    </x:row>
    <x:row r="812" spans="1:17">
      <x:c r="D812" s="147" t="n">
        <x:v>10128580</x:v>
      </x:c>
      <x:c r="E812" s="147" t="s">
        <x:v>114</x:v>
      </x:c>
    </x:row>
    <x:row r="813" spans="1:17">
      <x:c r="D813" s="147" t="n">
        <x:v>10128581</x:v>
      </x:c>
      <x:c r="E813" s="147" t="s">
        <x:v>114</x:v>
      </x:c>
    </x:row>
    <x:row r="814" spans="1:17">
      <x:c r="D814" s="147" t="n">
        <x:v>10128582</x:v>
      </x:c>
      <x:c r="E814" s="147" t="s">
        <x:v>132</x:v>
      </x:c>
    </x:row>
    <x:row r="815" spans="1:17">
      <x:c r="D815" s="147" t="n">
        <x:v>10128595</x:v>
      </x:c>
      <x:c r="E815" s="147" t="s">
        <x:v>132</x:v>
      </x:c>
    </x:row>
    <x:row r="816" spans="1:17">
      <x:c r="D816" s="147" t="n">
        <x:v>10128596</x:v>
      </x:c>
      <x:c r="E816" s="147" t="s">
        <x:v>56</x:v>
      </x:c>
    </x:row>
    <x:row r="817" spans="1:17">
      <x:c r="D817" s="147" t="n">
        <x:v>10128597</x:v>
      </x:c>
      <x:c r="E817" s="147" t="s">
        <x:v>114</x:v>
      </x:c>
    </x:row>
    <x:row r="818" spans="1:17">
      <x:c r="D818" s="147" t="n">
        <x:v>10128598</x:v>
      </x:c>
      <x:c r="E818" s="147" t="s">
        <x:v>132</x:v>
      </x:c>
    </x:row>
    <x:row r="819" spans="1:17">
      <x:c r="D819" s="147" t="n">
        <x:v>10128599</x:v>
      </x:c>
      <x:c r="E819" s="147" t="s">
        <x:v>154</x:v>
      </x:c>
    </x:row>
    <x:row r="820" spans="1:17">
      <x:c r="D820" s="147" t="n">
        <x:v>10128600</x:v>
      </x:c>
      <x:c r="E820" s="147" t="s">
        <x:v>114</x:v>
      </x:c>
    </x:row>
    <x:row r="821" spans="1:17">
      <x:c r="D821" s="147" t="n">
        <x:v>10128579</x:v>
      </x:c>
      <x:c r="E821" s="147" t="s">
        <x:v>154</x:v>
      </x:c>
    </x:row>
    <x:row r="822" spans="1:17">
      <x:c r="D822" s="147" t="n">
        <x:v>10128580</x:v>
      </x:c>
      <x:c r="E822" s="147" t="s">
        <x:v>114</x:v>
      </x:c>
    </x:row>
    <x:row r="823" spans="1:17">
      <x:c r="D823" s="147" t="n">
        <x:v>10128581</x:v>
      </x:c>
      <x:c r="E823" s="147" t="s">
        <x:v>114</x:v>
      </x:c>
    </x:row>
    <x:row r="824" spans="1:17">
      <x:c r="D824" s="147" t="n">
        <x:v>10128582</x:v>
      </x:c>
      <x:c r="E824" s="147" t="s">
        <x:v>132</x:v>
      </x:c>
    </x:row>
    <x:row r="825" spans="1:17">
      <x:c r="D825" s="147" t="n">
        <x:v>10128595</x:v>
      </x:c>
      <x:c r="E825" s="147" t="s">
        <x:v>132</x:v>
      </x:c>
    </x:row>
    <x:row r="826" spans="1:17">
      <x:c r="D826" s="147" t="n">
        <x:v>10128596</x:v>
      </x:c>
      <x:c r="E826" s="147" t="s">
        <x:v>56</x:v>
      </x:c>
    </x:row>
    <x:row r="827" spans="1:17">
      <x:c r="D827" s="147" t="n">
        <x:v>10128597</x:v>
      </x:c>
      <x:c r="E827" s="147" t="s">
        <x:v>114</x:v>
      </x:c>
    </x:row>
    <x:row r="828" spans="1:17">
      <x:c r="D828" s="147" t="n">
        <x:v>10128598</x:v>
      </x:c>
      <x:c r="E828" s="147" t="s">
        <x:v>132</x:v>
      </x:c>
    </x:row>
    <x:row r="829" spans="1:17">
      <x:c r="D829" s="147" t="n">
        <x:v>10128599</x:v>
      </x:c>
      <x:c r="E829" s="147" t="s">
        <x:v>154</x:v>
      </x:c>
    </x:row>
    <x:row r="830" spans="1:17">
      <x:c r="D830" s="147" t="n">
        <x:v>10128600</x:v>
      </x:c>
      <x:c r="E830" s="147" t="s">
        <x:v>114</x:v>
      </x:c>
    </x:row>
    <x:row r="831" spans="1:17">
      <x:c r="D831" s="147" t="n">
        <x:v>10128579</x:v>
      </x:c>
      <x:c r="E831" s="147" t="s">
        <x:v>154</x:v>
      </x:c>
    </x:row>
    <x:row r="832" spans="1:17">
      <x:c r="D832" s="147" t="n">
        <x:v>10128580</x:v>
      </x:c>
      <x:c r="E832" s="147" t="s">
        <x:v>114</x:v>
      </x:c>
    </x:row>
    <x:row r="833" spans="1:17">
      <x:c r="D833" s="147" t="n">
        <x:v>10128581</x:v>
      </x:c>
      <x:c r="E833" s="147" t="s">
        <x:v>114</x:v>
      </x:c>
    </x:row>
    <x:row r="834" spans="1:17">
      <x:c r="D834" s="147" t="n">
        <x:v>10128582</x:v>
      </x:c>
      <x:c r="E834" s="147" t="s">
        <x:v>132</x:v>
      </x:c>
    </x:row>
    <x:row r="835" spans="1:17">
      <x:c r="D835" s="147" t="n">
        <x:v>10128595</x:v>
      </x:c>
      <x:c r="E835" s="147" t="s">
        <x:v>132</x:v>
      </x:c>
    </x:row>
    <x:row r="836" spans="1:17">
      <x:c r="D836" s="147" t="n">
        <x:v>10128596</x:v>
      </x:c>
      <x:c r="E836" s="147" t="s">
        <x:v>56</x:v>
      </x:c>
    </x:row>
    <x:row r="837" spans="1:17">
      <x:c r="D837" s="147" t="n">
        <x:v>10128597</x:v>
      </x:c>
      <x:c r="E837" s="147" t="s">
        <x:v>114</x:v>
      </x:c>
    </x:row>
    <x:row r="838" spans="1:17">
      <x:c r="D838" s="147" t="n">
        <x:v>10128598</x:v>
      </x:c>
      <x:c r="E838" s="147" t="s">
        <x:v>132</x:v>
      </x:c>
    </x:row>
    <x:row r="839" spans="1:17">
      <x:c r="D839" s="147" t="n">
        <x:v>10128599</x:v>
      </x:c>
      <x:c r="E839" s="147" t="s">
        <x:v>154</x:v>
      </x:c>
    </x:row>
    <x:row r="840" spans="1:17">
      <x:c r="D840" s="147" t="n">
        <x:v>10128600</x:v>
      </x:c>
      <x:c r="E840" s="147" t="s">
        <x:v>114</x:v>
      </x:c>
    </x:row>
    <x:row r="841" spans="1:17">
      <x:c r="D841" s="147" t="n">
        <x:v>10128579</x:v>
      </x:c>
      <x:c r="E841" s="147" t="s">
        <x:v>154</x:v>
      </x:c>
    </x:row>
    <x:row r="842" spans="1:17">
      <x:c r="D842" s="147" t="n">
        <x:v>10128580</x:v>
      </x:c>
      <x:c r="E842" s="147" t="s">
        <x:v>114</x:v>
      </x:c>
    </x:row>
    <x:row r="843" spans="1:17">
      <x:c r="D843" s="147" t="n">
        <x:v>10128581</x:v>
      </x:c>
      <x:c r="E843" s="147" t="s">
        <x:v>114</x:v>
      </x:c>
    </x:row>
    <x:row r="844" spans="1:17">
      <x:c r="D844" s="147" t="n">
        <x:v>10128582</x:v>
      </x:c>
      <x:c r="E844" s="147" t="s">
        <x:v>132</x:v>
      </x:c>
    </x:row>
    <x:row r="845" spans="1:17">
      <x:c r="D845" s="147" t="n">
        <x:v>10128595</x:v>
      </x:c>
      <x:c r="E845" s="147" t="s">
        <x:v>132</x:v>
      </x:c>
    </x:row>
    <x:row r="846" spans="1:17">
      <x:c r="D846" s="147" t="n">
        <x:v>10128596</x:v>
      </x:c>
      <x:c r="E846" s="147" t="s">
        <x:v>56</x:v>
      </x:c>
    </x:row>
    <x:row r="847" spans="1:17">
      <x:c r="D847" s="147" t="n">
        <x:v>10128597</x:v>
      </x:c>
      <x:c r="E847" s="147" t="s">
        <x:v>114</x:v>
      </x:c>
    </x:row>
    <x:row r="848" spans="1:17">
      <x:c r="D848" s="147" t="n">
        <x:v>10128598</x:v>
      </x:c>
      <x:c r="E848" s="147" t="s">
        <x:v>132</x:v>
      </x:c>
    </x:row>
    <x:row r="849" spans="1:17">
      <x:c r="D849" s="147" t="n">
        <x:v>10128599</x:v>
      </x:c>
      <x:c r="E849" s="147" t="s">
        <x:v>154</x:v>
      </x:c>
    </x:row>
    <x:row r="850" spans="1:17">
      <x:c r="D850" s="147" t="n">
        <x:v>10128600</x:v>
      </x:c>
      <x:c r="E850" s="147" t="s">
        <x:v>114</x:v>
      </x:c>
    </x:row>
    <x:row r="851" spans="1:17">
      <x:c r="D851" s="147" t="n">
        <x:v>10128579</x:v>
      </x:c>
      <x:c r="E851" s="147" t="s">
        <x:v>154</x:v>
      </x:c>
    </x:row>
    <x:row r="852" spans="1:17">
      <x:c r="D852" s="147" t="n">
        <x:v>10128580</x:v>
      </x:c>
      <x:c r="E852" s="147" t="s">
        <x:v>114</x:v>
      </x:c>
    </x:row>
    <x:row r="853" spans="1:17">
      <x:c r="D853" s="147" t="n">
        <x:v>10128581</x:v>
      </x:c>
      <x:c r="E853" s="147" t="s">
        <x:v>114</x:v>
      </x:c>
    </x:row>
    <x:row r="854" spans="1:17">
      <x:c r="D854" s="147" t="n">
        <x:v>10128582</x:v>
      </x:c>
      <x:c r="E854" s="147" t="s">
        <x:v>132</x:v>
      </x:c>
    </x:row>
    <x:row r="855" spans="1:17">
      <x:c r="D855" s="147" t="n">
        <x:v>10128595</x:v>
      </x:c>
      <x:c r="E855" s="147" t="s">
        <x:v>132</x:v>
      </x:c>
    </x:row>
    <x:row r="856" spans="1:17">
      <x:c r="D856" s="147" t="n">
        <x:v>10128596</x:v>
      </x:c>
      <x:c r="E856" s="147" t="s">
        <x:v>56</x:v>
      </x:c>
    </x:row>
    <x:row r="857" spans="1:17">
      <x:c r="D857" s="147" t="n">
        <x:v>10128597</x:v>
      </x:c>
      <x:c r="E857" s="147" t="s">
        <x:v>114</x:v>
      </x:c>
    </x:row>
    <x:row r="858" spans="1:17">
      <x:c r="D858" s="147" t="n">
        <x:v>10128598</x:v>
      </x:c>
      <x:c r="E858" s="147" t="s">
        <x:v>132</x:v>
      </x:c>
    </x:row>
    <x:row r="859" spans="1:17">
      <x:c r="D859" s="147" t="n">
        <x:v>10128599</x:v>
      </x:c>
      <x:c r="E859" s="147" t="s">
        <x:v>154</x:v>
      </x:c>
    </x:row>
    <x:row r="860" spans="1:17">
      <x:c r="D860" s="147" t="n">
        <x:v>10128600</x:v>
      </x:c>
      <x:c r="E860" s="147" t="s">
        <x:v>114</x:v>
      </x:c>
    </x:row>
    <x:row r="861" spans="1:17">
      <x:c r="D861" s="147" t="n">
        <x:v>10128579</x:v>
      </x:c>
      <x:c r="E861" s="147" t="s">
        <x:v>154</x:v>
      </x:c>
    </x:row>
    <x:row r="862" spans="1:17">
      <x:c r="D862" s="147" t="n">
        <x:v>10128580</x:v>
      </x:c>
      <x:c r="E862" s="147" t="s">
        <x:v>114</x:v>
      </x:c>
    </x:row>
    <x:row r="863" spans="1:17">
      <x:c r="D863" s="147" t="n">
        <x:v>10128581</x:v>
      </x:c>
      <x:c r="E863" s="147" t="s">
        <x:v>114</x:v>
      </x:c>
    </x:row>
    <x:row r="864" spans="1:17">
      <x:c r="D864" s="147" t="n">
        <x:v>10128582</x:v>
      </x:c>
      <x:c r="E864" s="147" t="s">
        <x:v>132</x:v>
      </x:c>
    </x:row>
    <x:row r="865" spans="1:17">
      <x:c r="D865" s="147" t="n">
        <x:v>10128595</x:v>
      </x:c>
      <x:c r="E865" s="147" t="s">
        <x:v>132</x:v>
      </x:c>
    </x:row>
    <x:row r="866" spans="1:17">
      <x:c r="D866" s="147" t="n">
        <x:v>10128596</x:v>
      </x:c>
      <x:c r="E866" s="147" t="s">
        <x:v>56</x:v>
      </x:c>
    </x:row>
    <x:row r="867" spans="1:17">
      <x:c r="D867" s="147" t="n">
        <x:v>10128597</x:v>
      </x:c>
      <x:c r="E867" s="147" t="s">
        <x:v>114</x:v>
      </x:c>
    </x:row>
    <x:row r="868" spans="1:17">
      <x:c r="D868" s="147" t="n">
        <x:v>10128598</x:v>
      </x:c>
      <x:c r="E868" s="147" t="s">
        <x:v>132</x:v>
      </x:c>
    </x:row>
    <x:row r="869" spans="1:17">
      <x:c r="D869" s="147" t="n">
        <x:v>10128599</x:v>
      </x:c>
      <x:c r="E869" s="147" t="s">
        <x:v>154</x:v>
      </x:c>
    </x:row>
    <x:row r="870" spans="1:17">
      <x:c r="D870" s="147" t="n">
        <x:v>10128600</x:v>
      </x:c>
      <x:c r="E870" s="147" t="s">
        <x:v>114</x:v>
      </x:c>
    </x:row>
    <x:row r="871" spans="1:17">
      <x:c r="D871" s="147" t="n">
        <x:v>10128579</x:v>
      </x:c>
      <x:c r="E871" s="147" t="s">
        <x:v>154</x:v>
      </x:c>
    </x:row>
    <x:row r="872" spans="1:17">
      <x:c r="D872" s="147" t="n">
        <x:v>10128580</x:v>
      </x:c>
      <x:c r="E872" s="147" t="s">
        <x:v>114</x:v>
      </x:c>
    </x:row>
    <x:row r="873" spans="1:17">
      <x:c r="D873" s="147" t="n">
        <x:v>10128581</x:v>
      </x:c>
      <x:c r="E873" s="147" t="s">
        <x:v>114</x:v>
      </x:c>
    </x:row>
    <x:row r="874" spans="1:17">
      <x:c r="D874" s="147" t="n">
        <x:v>10128582</x:v>
      </x:c>
      <x:c r="E874" s="147" t="s">
        <x:v>132</x:v>
      </x:c>
    </x:row>
    <x:row r="875" spans="1:17">
      <x:c r="D875" s="147" t="n">
        <x:v>10128595</x:v>
      </x:c>
      <x:c r="E875" s="147" t="s">
        <x:v>132</x:v>
      </x:c>
    </x:row>
    <x:row r="876" spans="1:17">
      <x:c r="D876" s="147" t="n">
        <x:v>10128596</x:v>
      </x:c>
      <x:c r="E876" s="147" t="s">
        <x:v>56</x:v>
      </x:c>
    </x:row>
    <x:row r="877" spans="1:17">
      <x:c r="D877" s="147" t="n">
        <x:v>10128597</x:v>
      </x:c>
      <x:c r="E877" s="147" t="s">
        <x:v>114</x:v>
      </x:c>
    </x:row>
    <x:row r="878" spans="1:17">
      <x:c r="D878" s="147" t="n">
        <x:v>10128598</x:v>
      </x:c>
      <x:c r="E878" s="147" t="s">
        <x:v>132</x:v>
      </x:c>
    </x:row>
    <x:row r="879" spans="1:17">
      <x:c r="D879" s="147" t="n">
        <x:v>10128599</x:v>
      </x:c>
      <x:c r="E879" s="147" t="s">
        <x:v>154</x:v>
      </x:c>
    </x:row>
    <x:row r="880" spans="1:17">
      <x:c r="D880" s="147" t="n">
        <x:v>10128600</x:v>
      </x:c>
      <x:c r="E880" s="147" t="s">
        <x:v>114</x:v>
      </x:c>
    </x:row>
    <x:row r="881" spans="1:17">
      <x:c r="D881" s="147" t="n">
        <x:v>10128579</x:v>
      </x:c>
      <x:c r="E881" s="147" t="s">
        <x:v>154</x:v>
      </x:c>
    </x:row>
    <x:row r="882" spans="1:17">
      <x:c r="D882" s="147" t="n">
        <x:v>10128580</x:v>
      </x:c>
      <x:c r="E882" s="147" t="s">
        <x:v>114</x:v>
      </x:c>
    </x:row>
    <x:row r="883" spans="1:17">
      <x:c r="D883" s="147" t="n">
        <x:v>10128581</x:v>
      </x:c>
      <x:c r="E883" s="147" t="s">
        <x:v>114</x:v>
      </x:c>
    </x:row>
    <x:row r="884" spans="1:17">
      <x:c r="D884" s="147" t="n">
        <x:v>10128582</x:v>
      </x:c>
      <x:c r="E884" s="147" t="s">
        <x:v>132</x:v>
      </x:c>
    </x:row>
    <x:row r="885" spans="1:17">
      <x:c r="D885" s="147" t="n">
        <x:v>10128595</x:v>
      </x:c>
      <x:c r="E885" s="147" t="s">
        <x:v>132</x:v>
      </x:c>
    </x:row>
    <x:row r="886" spans="1:17">
      <x:c r="D886" s="147" t="n">
        <x:v>10128596</x:v>
      </x:c>
      <x:c r="E886" s="147" t="s">
        <x:v>56</x:v>
      </x:c>
    </x:row>
    <x:row r="887" spans="1:17">
      <x:c r="D887" s="147" t="n">
        <x:v>10128597</x:v>
      </x:c>
      <x:c r="E887" s="147" t="s">
        <x:v>114</x:v>
      </x:c>
    </x:row>
    <x:row r="888" spans="1:17">
      <x:c r="D888" s="147" t="n">
        <x:v>10128598</x:v>
      </x:c>
      <x:c r="E888" s="147" t="s">
        <x:v>132</x:v>
      </x:c>
    </x:row>
    <x:row r="889" spans="1:17">
      <x:c r="D889" s="147" t="n">
        <x:v>10128599</x:v>
      </x:c>
      <x:c r="E889" s="147" t="s">
        <x:v>154</x:v>
      </x:c>
    </x:row>
    <x:row r="890" spans="1:17">
      <x:c r="D890" s="147" t="n">
        <x:v>10128600</x:v>
      </x:c>
      <x:c r="E890" s="147" t="s">
        <x:v>114</x:v>
      </x:c>
    </x:row>
    <x:row r="891" spans="1:17">
      <x:c r="D891" s="147" t="n">
        <x:v>10128579</x:v>
      </x:c>
      <x:c r="E891" s="147" t="s">
        <x:v>154</x:v>
      </x:c>
    </x:row>
    <x:row r="892" spans="1:17">
      <x:c r="D892" s="147" t="n">
        <x:v>10128580</x:v>
      </x:c>
      <x:c r="E892" s="147" t="s">
        <x:v>114</x:v>
      </x:c>
    </x:row>
    <x:row r="893" spans="1:17">
      <x:c r="D893" s="147" t="n">
        <x:v>10128581</x:v>
      </x:c>
      <x:c r="E893" s="147" t="s">
        <x:v>114</x:v>
      </x:c>
    </x:row>
    <x:row r="894" spans="1:17">
      <x:c r="D894" s="147" t="n">
        <x:v>10128582</x:v>
      </x:c>
      <x:c r="E894" s="147" t="s">
        <x:v>132</x:v>
      </x:c>
    </x:row>
    <x:row r="895" spans="1:17">
      <x:c r="D895" s="147" t="n">
        <x:v>10128595</x:v>
      </x:c>
      <x:c r="E895" s="147" t="s">
        <x:v>132</x:v>
      </x:c>
    </x:row>
    <x:row r="896" spans="1:17">
      <x:c r="D896" s="147" t="n">
        <x:v>10128596</x:v>
      </x:c>
      <x:c r="E896" s="147" t="s">
        <x:v>56</x:v>
      </x:c>
    </x:row>
    <x:row r="897" spans="1:17">
      <x:c r="D897" s="147" t="n">
        <x:v>10128597</x:v>
      </x:c>
      <x:c r="E897" s="147" t="s">
        <x:v>114</x:v>
      </x:c>
    </x:row>
    <x:row r="898" spans="1:17">
      <x:c r="D898" s="147" t="n">
        <x:v>10128598</x:v>
      </x:c>
      <x:c r="E898" s="147" t="s">
        <x:v>132</x:v>
      </x:c>
    </x:row>
    <x:row r="899" spans="1:17">
      <x:c r="D899" s="147" t="n">
        <x:v>10128599</x:v>
      </x:c>
      <x:c r="E899" s="147" t="s">
        <x:v>154</x:v>
      </x:c>
    </x:row>
    <x:row r="900" spans="1:17">
      <x:c r="D900" s="147" t="n">
        <x:v>10128600</x:v>
      </x:c>
      <x:c r="E900" s="147" t="s">
        <x:v>114</x:v>
      </x:c>
    </x:row>
    <x:row r="901" spans="1:17">
      <x:c r="D901" s="147" t="n">
        <x:v>10128579</x:v>
      </x:c>
      <x:c r="E901" s="147" t="s">
        <x:v>154</x:v>
      </x:c>
    </x:row>
    <x:row r="902" spans="1:17">
      <x:c r="D902" s="147" t="n">
        <x:v>10128580</x:v>
      </x:c>
      <x:c r="E902" s="147" t="s">
        <x:v>114</x:v>
      </x:c>
    </x:row>
    <x:row r="903" spans="1:17">
      <x:c r="D903" s="147" t="n">
        <x:v>10128581</x:v>
      </x:c>
      <x:c r="E903" s="147" t="s">
        <x:v>114</x:v>
      </x:c>
    </x:row>
    <x:row r="904" spans="1:17">
      <x:c r="D904" s="147" t="n">
        <x:v>10128582</x:v>
      </x:c>
      <x:c r="E904" s="147" t="s">
        <x:v>132</x:v>
      </x:c>
    </x:row>
    <x:row r="905" spans="1:17">
      <x:c r="D905" s="147" t="n">
        <x:v>10128595</x:v>
      </x:c>
      <x:c r="E905" s="147" t="s">
        <x:v>132</x:v>
      </x:c>
    </x:row>
    <x:row r="906" spans="1:17">
      <x:c r="D906" s="147" t="n">
        <x:v>10128596</x:v>
      </x:c>
      <x:c r="E906" s="147" t="s">
        <x:v>56</x:v>
      </x:c>
    </x:row>
    <x:row r="907" spans="1:17">
      <x:c r="D907" s="147" t="n">
        <x:v>10128597</x:v>
      </x:c>
      <x:c r="E907" s="147" t="s">
        <x:v>114</x:v>
      </x:c>
    </x:row>
    <x:row r="908" spans="1:17">
      <x:c r="D908" s="147" t="n">
        <x:v>10128598</x:v>
      </x:c>
      <x:c r="E908" s="147" t="s">
        <x:v>132</x:v>
      </x:c>
    </x:row>
    <x:row r="909" spans="1:17">
      <x:c r="D909" s="147" t="n">
        <x:v>10128599</x:v>
      </x:c>
      <x:c r="E909" s="147" t="s">
        <x:v>154</x:v>
      </x:c>
    </x:row>
    <x:row r="910" spans="1:17">
      <x:c r="D910" s="147" t="n">
        <x:v>10128600</x:v>
      </x:c>
      <x:c r="E910" s="147" t="s">
        <x:v>114</x:v>
      </x:c>
    </x:row>
    <x:row r="911" spans="1:17">
      <x:c r="D911" s="147" t="n">
        <x:v>10128579</x:v>
      </x:c>
      <x:c r="E911" s="147" t="s">
        <x:v>154</x:v>
      </x:c>
    </x:row>
    <x:row r="912" spans="1:17">
      <x:c r="D912" s="147" t="n">
        <x:v>10128580</x:v>
      </x:c>
      <x:c r="E912" s="147" t="s">
        <x:v>114</x:v>
      </x:c>
    </x:row>
    <x:row r="913" spans="1:17">
      <x:c r="D913" s="147" t="n">
        <x:v>10128581</x:v>
      </x:c>
      <x:c r="E913" s="147" t="s">
        <x:v>114</x:v>
      </x:c>
    </x:row>
    <x:row r="914" spans="1:17">
      <x:c r="D914" s="147" t="n">
        <x:v>10128582</x:v>
      </x:c>
      <x:c r="E914" s="147" t="s">
        <x:v>132</x:v>
      </x:c>
    </x:row>
    <x:row r="915" spans="1:17">
      <x:c r="D915" s="147" t="n">
        <x:v>10128595</x:v>
      </x:c>
      <x:c r="E915" s="147" t="s">
        <x:v>132</x:v>
      </x:c>
    </x:row>
    <x:row r="916" spans="1:17">
      <x:c r="D916" s="147" t="n">
        <x:v>10128596</x:v>
      </x:c>
      <x:c r="E916" s="147" t="s">
        <x:v>56</x:v>
      </x:c>
    </x:row>
    <x:row r="917" spans="1:17">
      <x:c r="D917" s="147" t="n">
        <x:v>10128597</x:v>
      </x:c>
      <x:c r="E917" s="147" t="s">
        <x:v>114</x:v>
      </x:c>
    </x:row>
    <x:row r="918" spans="1:17">
      <x:c r="D918" s="147" t="n">
        <x:v>10128598</x:v>
      </x:c>
      <x:c r="E918" s="147" t="s">
        <x:v>132</x:v>
      </x:c>
    </x:row>
    <x:row r="919" spans="1:17">
      <x:c r="D919" s="147" t="n">
        <x:v>10128599</x:v>
      </x:c>
      <x:c r="E919" s="147" t="s">
        <x:v>154</x:v>
      </x:c>
    </x:row>
    <x:row r="920" spans="1:17">
      <x:c r="D920" s="147" t="n">
        <x:v>10128600</x:v>
      </x:c>
      <x:c r="E920" s="147" t="s">
        <x:v>114</x:v>
      </x:c>
    </x:row>
    <x:row r="921" spans="1:17">
      <x:c r="D921" s="147" t="n">
        <x:v>10128579</x:v>
      </x:c>
      <x:c r="E921" s="147" t="s">
        <x:v>154</x:v>
      </x:c>
    </x:row>
    <x:row r="922" spans="1:17">
      <x:c r="D922" s="147" t="n">
        <x:v>10128580</x:v>
      </x:c>
      <x:c r="E922" s="147" t="s">
        <x:v>114</x:v>
      </x:c>
    </x:row>
    <x:row r="923" spans="1:17">
      <x:c r="D923" s="147" t="n">
        <x:v>10128581</x:v>
      </x:c>
      <x:c r="E923" s="147" t="s">
        <x:v>114</x:v>
      </x:c>
    </x:row>
    <x:row r="924" spans="1:17">
      <x:c r="D924" s="147" t="n">
        <x:v>10128582</x:v>
      </x:c>
      <x:c r="E924" s="147" t="s">
        <x:v>132</x:v>
      </x:c>
    </x:row>
    <x:row r="925" spans="1:17">
      <x:c r="D925" s="147" t="n">
        <x:v>10128595</x:v>
      </x:c>
      <x:c r="E925" s="147" t="s">
        <x:v>132</x:v>
      </x:c>
    </x:row>
    <x:row r="926" spans="1:17">
      <x:c r="D926" s="147" t="n">
        <x:v>10128596</x:v>
      </x:c>
      <x:c r="E926" s="147" t="s">
        <x:v>56</x:v>
      </x:c>
    </x:row>
    <x:row r="927" spans="1:17">
      <x:c r="D927" s="147" t="n">
        <x:v>10128597</x:v>
      </x:c>
      <x:c r="E927" s="147" t="s">
        <x:v>114</x:v>
      </x:c>
    </x:row>
    <x:row r="928" spans="1:17">
      <x:c r="D928" s="147" t="n">
        <x:v>10128598</x:v>
      </x:c>
      <x:c r="E928" s="147" t="s">
        <x:v>132</x:v>
      </x:c>
    </x:row>
    <x:row r="929" spans="1:17">
      <x:c r="D929" s="147" t="n">
        <x:v>10128599</x:v>
      </x:c>
      <x:c r="E929" s="147" t="s">
        <x:v>154</x:v>
      </x:c>
    </x:row>
    <x:row r="930" spans="1:17">
      <x:c r="D930" s="147" t="n">
        <x:v>10128600</x:v>
      </x:c>
      <x:c r="E930" s="147" t="s">
        <x:v>114</x:v>
      </x:c>
    </x:row>
    <x:row r="931" spans="1:17">
      <x:c r="D931" s="147" t="n">
        <x:v>10128579</x:v>
      </x:c>
      <x:c r="E931" s="147" t="s">
        <x:v>154</x:v>
      </x:c>
    </x:row>
    <x:row r="932" spans="1:17">
      <x:c r="D932" s="147" t="n">
        <x:v>10128580</x:v>
      </x:c>
      <x:c r="E932" s="147" t="s">
        <x:v>114</x:v>
      </x:c>
    </x:row>
    <x:row r="933" spans="1:17">
      <x:c r="D933" s="147" t="n">
        <x:v>10128581</x:v>
      </x:c>
      <x:c r="E933" s="147" t="s">
        <x:v>114</x:v>
      </x:c>
    </x:row>
    <x:row r="934" spans="1:17">
      <x:c r="D934" s="147" t="n">
        <x:v>10128582</x:v>
      </x:c>
      <x:c r="E934" s="147" t="s">
        <x:v>132</x:v>
      </x:c>
    </x:row>
    <x:row r="935" spans="1:17">
      <x:c r="D935" s="147" t="n">
        <x:v>10128595</x:v>
      </x:c>
      <x:c r="E935" s="147" t="s">
        <x:v>132</x:v>
      </x:c>
    </x:row>
    <x:row r="936" spans="1:17">
      <x:c r="D936" s="147" t="n">
        <x:v>10128596</x:v>
      </x:c>
      <x:c r="E936" s="147" t="s">
        <x:v>56</x:v>
      </x:c>
    </x:row>
    <x:row r="937" spans="1:17">
      <x:c r="D937" s="147" t="n">
        <x:v>10128597</x:v>
      </x:c>
      <x:c r="E937" s="147" t="s">
        <x:v>114</x:v>
      </x:c>
    </x:row>
    <x:row r="938" spans="1:17">
      <x:c r="D938" s="147" t="n">
        <x:v>10128598</x:v>
      </x:c>
      <x:c r="E938" s="147" t="s">
        <x:v>132</x:v>
      </x:c>
    </x:row>
    <x:row r="939" spans="1:17">
      <x:c r="D939" s="147" t="n">
        <x:v>10128599</x:v>
      </x:c>
      <x:c r="E939" s="147" t="s">
        <x:v>154</x:v>
      </x:c>
    </x:row>
    <x:row r="940" spans="1:17">
      <x:c r="D940" s="147" t="n">
        <x:v>10128600</x:v>
      </x:c>
      <x:c r="E940" s="147" t="s">
        <x:v>114</x:v>
      </x:c>
    </x:row>
    <x:row r="941" spans="1:17">
      <x:c r="D941" s="147" t="n">
        <x:v>10128579</x:v>
      </x:c>
      <x:c r="E941" s="147" t="s">
        <x:v>154</x:v>
      </x:c>
    </x:row>
    <x:row r="942" spans="1:17">
      <x:c r="D942" s="147" t="n">
        <x:v>10128580</x:v>
      </x:c>
      <x:c r="E942" s="147" t="s">
        <x:v>114</x:v>
      </x:c>
    </x:row>
    <x:row r="943" spans="1:17">
      <x:c r="D943" s="147" t="n">
        <x:v>10128581</x:v>
      </x:c>
      <x:c r="E943" s="147" t="s">
        <x:v>114</x:v>
      </x:c>
    </x:row>
    <x:row r="944" spans="1:17">
      <x:c r="D944" s="147" t="n">
        <x:v>10128582</x:v>
      </x:c>
      <x:c r="E944" s="147" t="s">
        <x:v>132</x:v>
      </x:c>
    </x:row>
    <x:row r="945" spans="1:17">
      <x:c r="D945" s="147" t="n">
        <x:v>10128595</x:v>
      </x:c>
      <x:c r="E945" s="147" t="s">
        <x:v>132</x:v>
      </x:c>
    </x:row>
    <x:row r="946" spans="1:17">
      <x:c r="D946" s="147" t="n">
        <x:v>10128596</x:v>
      </x:c>
      <x:c r="E946" s="147" t="s">
        <x:v>56</x:v>
      </x:c>
    </x:row>
    <x:row r="947" spans="1:17">
      <x:c r="D947" s="147" t="n">
        <x:v>10128597</x:v>
      </x:c>
      <x:c r="E947" s="147" t="s">
        <x:v>114</x:v>
      </x:c>
    </x:row>
    <x:row r="948" spans="1:17">
      <x:c r="D948" s="147" t="n">
        <x:v>10128598</x:v>
      </x:c>
      <x:c r="E948" s="147" t="s">
        <x:v>132</x:v>
      </x:c>
    </x:row>
    <x:row r="949" spans="1:17">
      <x:c r="D949" s="147" t="n">
        <x:v>10128599</x:v>
      </x:c>
      <x:c r="E949" s="147" t="s">
        <x:v>154</x:v>
      </x:c>
    </x:row>
    <x:row r="950" spans="1:17">
      <x:c r="D950" s="147" t="n">
        <x:v>10128600</x:v>
      </x:c>
      <x:c r="E950" s="147" t="s">
        <x:v>114</x:v>
      </x:c>
    </x:row>
    <x:row r="951" spans="1:17">
      <x:c r="D951" s="147" t="n">
        <x:v>10128579</x:v>
      </x:c>
      <x:c r="E951" s="147" t="s">
        <x:v>154</x:v>
      </x:c>
    </x:row>
    <x:row r="952" spans="1:17">
      <x:c r="D952" s="147" t="n">
        <x:v>10128580</x:v>
      </x:c>
      <x:c r="E952" s="147" t="s">
        <x:v>114</x:v>
      </x:c>
    </x:row>
    <x:row r="953" spans="1:17">
      <x:c r="D953" s="147" t="n">
        <x:v>10128581</x:v>
      </x:c>
      <x:c r="E953" s="147" t="s">
        <x:v>114</x:v>
      </x:c>
    </x:row>
    <x:row r="954" spans="1:17">
      <x:c r="D954" s="147" t="n">
        <x:v>10128582</x:v>
      </x:c>
      <x:c r="E954" s="147" t="s">
        <x:v>132</x:v>
      </x:c>
    </x:row>
    <x:row r="955" spans="1:17">
      <x:c r="D955" s="147" t="n">
        <x:v>10128595</x:v>
      </x:c>
      <x:c r="E955" s="147" t="s">
        <x:v>132</x:v>
      </x:c>
    </x:row>
    <x:row r="956" spans="1:17">
      <x:c r="D956" s="147" t="n">
        <x:v>10128596</x:v>
      </x:c>
      <x:c r="E956" s="147" t="s">
        <x:v>56</x:v>
      </x:c>
    </x:row>
    <x:row r="957" spans="1:17">
      <x:c r="D957" s="147" t="n">
        <x:v>10128597</x:v>
      </x:c>
      <x:c r="E957" s="147" t="s">
        <x:v>114</x:v>
      </x:c>
    </x:row>
    <x:row r="958" spans="1:17">
      <x:c r="D958" s="147" t="n">
        <x:v>10128598</x:v>
      </x:c>
      <x:c r="E958" s="147" t="s">
        <x:v>132</x:v>
      </x:c>
    </x:row>
    <x:row r="959" spans="1:17">
      <x:c r="D959" s="147" t="n">
        <x:v>10128599</x:v>
      </x:c>
      <x:c r="E959" s="147" t="s">
        <x:v>154</x:v>
      </x:c>
    </x:row>
    <x:row r="960" spans="1:17">
      <x:c r="D960" s="147" t="n">
        <x:v>10128600</x:v>
      </x:c>
      <x:c r="E960" s="147" t="s">
        <x:v>114</x:v>
      </x:c>
    </x:row>
    <x:row r="961" spans="1:17">
      <x:c r="D961" s="147" t="n">
        <x:v>10128579</x:v>
      </x:c>
      <x:c r="E961" s="147" t="s">
        <x:v>154</x:v>
      </x:c>
    </x:row>
    <x:row r="962" spans="1:17">
      <x:c r="D962" s="147" t="n">
        <x:v>10128580</x:v>
      </x:c>
      <x:c r="E962" s="147" t="s">
        <x:v>114</x:v>
      </x:c>
    </x:row>
    <x:row r="963" spans="1:17">
      <x:c r="D963" s="147" t="n">
        <x:v>10128581</x:v>
      </x:c>
      <x:c r="E963" s="147" t="s">
        <x:v>114</x:v>
      </x:c>
    </x:row>
    <x:row r="964" spans="1:17">
      <x:c r="D964" s="147" t="n">
        <x:v>10128582</x:v>
      </x:c>
      <x:c r="E964" s="147" t="s">
        <x:v>132</x:v>
      </x:c>
    </x:row>
    <x:row r="965" spans="1:17">
      <x:c r="D965" s="147" t="n">
        <x:v>10128595</x:v>
      </x:c>
      <x:c r="E965" s="147" t="s">
        <x:v>132</x:v>
      </x:c>
    </x:row>
    <x:row r="966" spans="1:17">
      <x:c r="D966" s="147" t="n">
        <x:v>10128596</x:v>
      </x:c>
      <x:c r="E966" s="147" t="s">
        <x:v>56</x:v>
      </x:c>
    </x:row>
    <x:row r="967" spans="1:17">
      <x:c r="D967" s="147" t="n">
        <x:v>10128597</x:v>
      </x:c>
      <x:c r="E967" s="147" t="s">
        <x:v>114</x:v>
      </x:c>
    </x:row>
    <x:row r="968" spans="1:17">
      <x:c r="D968" s="147" t="n">
        <x:v>10128598</x:v>
      </x:c>
      <x:c r="E968" s="147" t="s">
        <x:v>132</x:v>
      </x:c>
    </x:row>
    <x:row r="969" spans="1:17">
      <x:c r="D969" s="147" t="n">
        <x:v>10128599</x:v>
      </x:c>
      <x:c r="E969" s="147" t="s">
        <x:v>154</x:v>
      </x:c>
    </x:row>
    <x:row r="970" spans="1:17">
      <x:c r="D970" s="147" t="n">
        <x:v>10128600</x:v>
      </x:c>
      <x:c r="E970" s="147" t="s">
        <x:v>114</x:v>
      </x:c>
    </x:row>
    <x:row r="971" spans="1:17">
      <x:c r="D971" s="147" t="n">
        <x:v>10128579</x:v>
      </x:c>
      <x:c r="E971" s="147" t="s">
        <x:v>154</x:v>
      </x:c>
    </x:row>
    <x:row r="972" spans="1:17">
      <x:c r="D972" s="147" t="n">
        <x:v>10128580</x:v>
      </x:c>
      <x:c r="E972" s="147" t="s">
        <x:v>114</x:v>
      </x:c>
    </x:row>
    <x:row r="973" spans="1:17">
      <x:c r="D973" s="147" t="n">
        <x:v>10128581</x:v>
      </x:c>
      <x:c r="E973" s="147" t="s">
        <x:v>114</x:v>
      </x:c>
    </x:row>
    <x:row r="974" spans="1:17">
      <x:c r="D974" s="147" t="n">
        <x:v>10128582</x:v>
      </x:c>
      <x:c r="E974" s="147" t="s">
        <x:v>132</x:v>
      </x:c>
    </x:row>
    <x:row r="975" spans="1:17">
      <x:c r="D975" s="147" t="n">
        <x:v>10128595</x:v>
      </x:c>
      <x:c r="E975" s="147" t="s">
        <x:v>132</x:v>
      </x:c>
    </x:row>
    <x:row r="976" spans="1:17">
      <x:c r="D976" s="147" t="n">
        <x:v>10128596</x:v>
      </x:c>
      <x:c r="E976" s="147" t="s">
        <x:v>56</x:v>
      </x:c>
    </x:row>
    <x:row r="977" spans="1:17">
      <x:c r="D977" s="147" t="n">
        <x:v>10128597</x:v>
      </x:c>
      <x:c r="E977" s="147" t="s">
        <x:v>114</x:v>
      </x:c>
    </x:row>
    <x:row r="978" spans="1:17">
      <x:c r="D978" s="147" t="n">
        <x:v>10128598</x:v>
      </x:c>
      <x:c r="E978" s="147" t="s">
        <x:v>132</x:v>
      </x:c>
    </x:row>
    <x:row r="979" spans="1:17">
      <x:c r="D979" s="147" t="n">
        <x:v>10128599</x:v>
      </x:c>
      <x:c r="E979" s="147" t="s">
        <x:v>154</x:v>
      </x:c>
    </x:row>
    <x:row r="980" spans="1:17">
      <x:c r="D980" s="147" t="n">
        <x:v>10128600</x:v>
      </x:c>
      <x:c r="E980" s="147" t="s">
        <x:v>114</x:v>
      </x:c>
    </x:row>
    <x:row r="981" spans="1:17">
      <x:c r="D981" s="147" t="n">
        <x:v>10128579</x:v>
      </x:c>
      <x:c r="E981" s="147" t="s">
        <x:v>154</x:v>
      </x:c>
    </x:row>
    <x:row r="982" spans="1:17">
      <x:c r="D982" s="147" t="n">
        <x:v>10128580</x:v>
      </x:c>
      <x:c r="E982" s="147" t="s">
        <x:v>114</x:v>
      </x:c>
    </x:row>
    <x:row r="983" spans="1:17">
      <x:c r="D983" s="147" t="n">
        <x:v>10128581</x:v>
      </x:c>
      <x:c r="E983" s="147" t="s">
        <x:v>114</x:v>
      </x:c>
    </x:row>
    <x:row r="984" spans="1:17">
      <x:c r="D984" s="147" t="n">
        <x:v>10128582</x:v>
      </x:c>
      <x:c r="E984" s="147" t="s">
        <x:v>132</x:v>
      </x:c>
    </x:row>
    <x:row r="985" spans="1:17">
      <x:c r="D985" s="147" t="n">
        <x:v>10128595</x:v>
      </x:c>
      <x:c r="E985" s="147" t="s">
        <x:v>132</x:v>
      </x:c>
    </x:row>
    <x:row r="986" spans="1:17">
      <x:c r="D986" s="147" t="n">
        <x:v>10128596</x:v>
      </x:c>
      <x:c r="E986" s="147" t="s">
        <x:v>56</x:v>
      </x:c>
    </x:row>
    <x:row r="987" spans="1:17">
      <x:c r="D987" s="147" t="n">
        <x:v>10128597</x:v>
      </x:c>
      <x:c r="E987" s="147" t="s">
        <x:v>114</x:v>
      </x:c>
    </x:row>
    <x:row r="988" spans="1:17">
      <x:c r="D988" s="147" t="n">
        <x:v>10128598</x:v>
      </x:c>
      <x:c r="E988" s="147" t="s">
        <x:v>132</x:v>
      </x:c>
    </x:row>
    <x:row r="989" spans="1:17">
      <x:c r="D989" s="147" t="n">
        <x:v>10128599</x:v>
      </x:c>
      <x:c r="E989" s="147" t="s">
        <x:v>154</x:v>
      </x:c>
    </x:row>
    <x:row r="990" spans="1:17">
      <x:c r="D990" s="147" t="n">
        <x:v>10128600</x:v>
      </x:c>
      <x:c r="E990" s="147" t="s">
        <x:v>114</x:v>
      </x:c>
    </x:row>
    <x:row r="991" spans="1:17">
      <x:c r="D991" s="147" t="n">
        <x:v>10128579</x:v>
      </x:c>
      <x:c r="E991" s="147" t="s">
        <x:v>154</x:v>
      </x:c>
    </x:row>
    <x:row r="992" spans="1:17">
      <x:c r="D992" s="147" t="n">
        <x:v>10128580</x:v>
      </x:c>
      <x:c r="E992" s="147" t="s">
        <x:v>114</x:v>
      </x:c>
    </x:row>
    <x:row r="993" spans="1:17">
      <x:c r="D993" s="147" t="n">
        <x:v>10128581</x:v>
      </x:c>
      <x:c r="E993" s="147" t="s">
        <x:v>114</x:v>
      </x:c>
    </x:row>
    <x:row r="994" spans="1:17">
      <x:c r="D994" s="147" t="n">
        <x:v>10128582</x:v>
      </x:c>
      <x:c r="E994" s="147" t="s">
        <x:v>132</x:v>
      </x:c>
    </x:row>
    <x:row r="995" spans="1:17">
      <x:c r="D995" s="147" t="n">
        <x:v>10128595</x:v>
      </x:c>
      <x:c r="E995" s="147" t="s">
        <x:v>132</x:v>
      </x:c>
    </x:row>
    <x:row r="996" spans="1:17">
      <x:c r="D996" s="147" t="n">
        <x:v>10128596</x:v>
      </x:c>
      <x:c r="E996" s="147" t="s">
        <x:v>56</x:v>
      </x:c>
    </x:row>
    <x:row r="997" spans="1:17">
      <x:c r="D997" s="147" t="n">
        <x:v>10128597</x:v>
      </x:c>
      <x:c r="E997" s="147" t="s">
        <x:v>114</x:v>
      </x:c>
    </x:row>
    <x:row r="998" spans="1:17">
      <x:c r="D998" s="147" t="n">
        <x:v>10128598</x:v>
      </x:c>
      <x:c r="E998" s="147" t="s">
        <x:v>132</x:v>
      </x:c>
    </x:row>
    <x:row r="999" spans="1:17">
      <x:c r="D999" s="147" t="n">
        <x:v>10128599</x:v>
      </x:c>
      <x:c r="E999" s="147" t="s">
        <x:v>154</x:v>
      </x:c>
    </x:row>
    <x:row r="1000" spans="1:17">
      <x:c r="D1000" s="147" t="n">
        <x:v>10128600</x:v>
      </x:c>
      <x:c r="E1000" s="147" t="s">
        <x:v>114</x:v>
      </x:c>
    </x:row>
    <x:row r="1001" spans="1:17">
      <x:c r="D1001" s="147" t="n">
        <x:v>10128579</x:v>
      </x:c>
      <x:c r="E1001" s="147" t="s">
        <x:v>154</x:v>
      </x:c>
    </x:row>
    <x:row r="1002" spans="1:17">
      <x:c r="D1002" s="147" t="n">
        <x:v>10128580</x:v>
      </x:c>
      <x:c r="E1002" s="147" t="s">
        <x:v>114</x:v>
      </x:c>
    </x:row>
    <x:row r="1003" spans="1:17">
      <x:c r="D1003" s="147" t="n">
        <x:v>10128581</x:v>
      </x:c>
      <x:c r="E1003" s="147" t="s">
        <x:v>114</x:v>
      </x:c>
    </x:row>
    <x:row r="1004" spans="1:17">
      <x:c r="D1004" s="147" t="n">
        <x:v>10128582</x:v>
      </x:c>
      <x:c r="E1004" s="147" t="s">
        <x:v>132</x:v>
      </x:c>
    </x:row>
    <x:row r="1005" spans="1:17">
      <x:c r="D1005" s="147" t="n">
        <x:v>10128595</x:v>
      </x:c>
      <x:c r="E1005" s="147" t="s">
        <x:v>132</x:v>
      </x:c>
    </x:row>
    <x:row r="1006" spans="1:17">
      <x:c r="D1006" s="147" t="n">
        <x:v>10128596</x:v>
      </x:c>
      <x:c r="E1006" s="147" t="s">
        <x:v>56</x:v>
      </x:c>
    </x:row>
    <x:row r="1007" spans="1:17">
      <x:c r="D1007" s="147" t="n">
        <x:v>10128597</x:v>
      </x:c>
      <x:c r="E1007" s="147" t="s">
        <x:v>114</x:v>
      </x:c>
    </x:row>
    <x:row r="1008" spans="1:17">
      <x:c r="D1008" s="147" t="n">
        <x:v>10128598</x:v>
      </x:c>
      <x:c r="E1008" s="147" t="s">
        <x:v>132</x:v>
      </x:c>
    </x:row>
    <x:row r="1009" spans="1:17">
      <x:c r="D1009" s="147" t="n">
        <x:v>10128599</x:v>
      </x:c>
      <x:c r="E1009" s="147" t="s">
        <x:v>154</x:v>
      </x:c>
    </x:row>
    <x:row r="1010" spans="1:17">
      <x:c r="D1010" s="147" t="n">
        <x:v>10128600</x:v>
      </x:c>
      <x:c r="E1010" s="147" t="s">
        <x:v>114</x:v>
      </x:c>
    </x:row>
    <x:row r="1011" spans="1:17">
      <x:c r="D1011" s="147" t="n">
        <x:v>10128579</x:v>
      </x:c>
      <x:c r="E1011" s="147" t="s">
        <x:v>154</x:v>
      </x:c>
    </x:row>
    <x:row r="1012" spans="1:17">
      <x:c r="D1012" s="147" t="n">
        <x:v>10128580</x:v>
      </x:c>
      <x:c r="E1012" s="147" t="s">
        <x:v>114</x:v>
      </x:c>
    </x:row>
    <x:row r="1013" spans="1:17">
      <x:c r="D1013" s="147" t="n">
        <x:v>10128581</x:v>
      </x:c>
      <x:c r="E1013" s="147" t="s">
        <x:v>114</x:v>
      </x:c>
    </x:row>
    <x:row r="1014" spans="1:17">
      <x:c r="D1014" s="147" t="n">
        <x:v>10128582</x:v>
      </x:c>
      <x:c r="E1014" s="147" t="s">
        <x:v>132</x:v>
      </x:c>
    </x:row>
    <x:row r="1015" spans="1:17">
      <x:c r="D1015" s="147" t="n">
        <x:v>10128595</x:v>
      </x:c>
      <x:c r="E1015" s="147" t="s">
        <x:v>132</x:v>
      </x:c>
    </x:row>
    <x:row r="1016" spans="1:17">
      <x:c r="D1016" s="147" t="n">
        <x:v>10128596</x:v>
      </x:c>
      <x:c r="E1016" s="147" t="s">
        <x:v>56</x:v>
      </x:c>
    </x:row>
    <x:row r="1017" spans="1:17">
      <x:c r="D1017" s="147" t="n">
        <x:v>10128597</x:v>
      </x:c>
      <x:c r="E1017" s="147" t="s">
        <x:v>114</x:v>
      </x:c>
    </x:row>
    <x:row r="1018" spans="1:17">
      <x:c r="D1018" s="147" t="n">
        <x:v>10128598</x:v>
      </x:c>
      <x:c r="E1018" s="147" t="s">
        <x:v>132</x:v>
      </x:c>
    </x:row>
    <x:row r="1019" spans="1:17">
      <x:c r="D1019" s="147" t="n">
        <x:v>10128599</x:v>
      </x:c>
      <x:c r="E1019" s="147" t="s">
        <x:v>154</x:v>
      </x:c>
    </x:row>
    <x:row r="1020" spans="1:17">
      <x:c r="D1020" s="147" t="n">
        <x:v>10128600</x:v>
      </x:c>
      <x:c r="E1020" s="147" t="s">
        <x:v>114</x:v>
      </x:c>
    </x:row>
    <x:row r="1021" spans="1:17">
      <x:c r="D1021" s="147" t="n">
        <x:v>10128579</x:v>
      </x:c>
      <x:c r="E1021" s="147" t="s">
        <x:v>154</x:v>
      </x:c>
    </x:row>
    <x:row r="1022" spans="1:17">
      <x:c r="D1022" s="147" t="n">
        <x:v>10128580</x:v>
      </x:c>
      <x:c r="E1022" s="147" t="s">
        <x:v>114</x:v>
      </x:c>
    </x:row>
    <x:row r="1023" spans="1:17">
      <x:c r="D1023" s="147" t="n">
        <x:v>10128581</x:v>
      </x:c>
      <x:c r="E1023" s="147" t="s">
        <x:v>114</x:v>
      </x:c>
    </x:row>
    <x:row r="1024" spans="1:17">
      <x:c r="D1024" s="147" t="n">
        <x:v>10128582</x:v>
      </x:c>
      <x:c r="E1024" s="147" t="s">
        <x:v>132</x:v>
      </x:c>
    </x:row>
    <x:row r="1025" spans="1:17">
      <x:c r="D1025" s="147" t="n">
        <x:v>10128595</x:v>
      </x:c>
      <x:c r="E1025" s="147" t="s">
        <x:v>132</x:v>
      </x:c>
    </x:row>
    <x:row r="1026" spans="1:17">
      <x:c r="D1026" s="147" t="n">
        <x:v>10128596</x:v>
      </x:c>
      <x:c r="E1026" s="147" t="s">
        <x:v>56</x:v>
      </x:c>
    </x:row>
    <x:row r="1027" spans="1:17">
      <x:c r="D1027" s="147" t="n">
        <x:v>10128597</x:v>
      </x:c>
      <x:c r="E1027" s="147" t="s">
        <x:v>114</x:v>
      </x:c>
    </x:row>
    <x:row r="1028" spans="1:17">
      <x:c r="D1028" s="147" t="n">
        <x:v>10128598</x:v>
      </x:c>
      <x:c r="E1028" s="147" t="s">
        <x:v>132</x:v>
      </x:c>
    </x:row>
    <x:row r="1029" spans="1:17">
      <x:c r="D1029" s="147" t="n">
        <x:v>10128599</x:v>
      </x:c>
      <x:c r="E1029" s="147" t="s">
        <x:v>154</x:v>
      </x:c>
    </x:row>
    <x:row r="1030" spans="1:17">
      <x:c r="D1030" s="147" t="n">
        <x:v>10128600</x:v>
      </x:c>
      <x:c r="E1030" s="147" t="s">
        <x:v>114</x:v>
      </x:c>
    </x:row>
    <x:row r="1031" spans="1:17">
      <x:c r="D1031" s="147" t="n">
        <x:v>10128579</x:v>
      </x:c>
      <x:c r="E1031" s="147" t="s">
        <x:v>154</x:v>
      </x:c>
    </x:row>
    <x:row r="1032" spans="1:17">
      <x:c r="D1032" s="147" t="n">
        <x:v>10128580</x:v>
      </x:c>
      <x:c r="E1032" s="147" t="s">
        <x:v>114</x:v>
      </x:c>
    </x:row>
    <x:row r="1033" spans="1:17">
      <x:c r="D1033" s="147" t="n">
        <x:v>10128581</x:v>
      </x:c>
      <x:c r="E1033" s="147" t="s">
        <x:v>114</x:v>
      </x:c>
    </x:row>
    <x:row r="1034" spans="1:17">
      <x:c r="D1034" s="147" t="n">
        <x:v>10128582</x:v>
      </x:c>
      <x:c r="E1034" s="147" t="s">
        <x:v>132</x:v>
      </x:c>
    </x:row>
    <x:row r="1035" spans="1:17">
      <x:c r="D1035" s="147" t="n">
        <x:v>10128595</x:v>
      </x:c>
      <x:c r="E1035" s="147" t="s">
        <x:v>132</x:v>
      </x:c>
    </x:row>
    <x:row r="1036" spans="1:17">
      <x:c r="D1036" s="147" t="n">
        <x:v>10128596</x:v>
      </x:c>
      <x:c r="E1036" s="147" t="s">
        <x:v>56</x:v>
      </x:c>
    </x:row>
    <x:row r="1037" spans="1:17">
      <x:c r="D1037" s="147" t="n">
        <x:v>10128597</x:v>
      </x:c>
      <x:c r="E1037" s="147" t="s">
        <x:v>114</x:v>
      </x:c>
    </x:row>
    <x:row r="1038" spans="1:17">
      <x:c r="D1038" s="147" t="n">
        <x:v>10128598</x:v>
      </x:c>
      <x:c r="E1038" s="147" t="s">
        <x:v>132</x:v>
      </x:c>
    </x:row>
    <x:row r="1039" spans="1:17">
      <x:c r="D1039" s="147" t="n">
        <x:v>10128599</x:v>
      </x:c>
      <x:c r="E1039" s="147" t="s">
        <x:v>154</x:v>
      </x:c>
    </x:row>
    <x:row r="1040" spans="1:17">
      <x:c r="D1040" s="147" t="n">
        <x:v>10128600</x:v>
      </x:c>
      <x:c r="E1040" s="147" t="s">
        <x:v>114</x:v>
      </x:c>
    </x:row>
    <x:row r="1041" spans="1:17">
      <x:c r="D1041" s="147" t="n">
        <x:v>10128579</x:v>
      </x:c>
      <x:c r="E1041" s="147" t="s">
        <x:v>154</x:v>
      </x:c>
    </x:row>
    <x:row r="1042" spans="1:17">
      <x:c r="D1042" s="147" t="n">
        <x:v>10128580</x:v>
      </x:c>
      <x:c r="E1042" s="147" t="s">
        <x:v>114</x:v>
      </x:c>
    </x:row>
    <x:row r="1043" spans="1:17">
      <x:c r="D1043" s="147" t="n">
        <x:v>10128581</x:v>
      </x:c>
      <x:c r="E1043" s="147" t="s">
        <x:v>114</x:v>
      </x:c>
    </x:row>
    <x:row r="1044" spans="1:17">
      <x:c r="D1044" s="147" t="n">
        <x:v>10128582</x:v>
      </x:c>
      <x:c r="E1044" s="147" t="s">
        <x:v>132</x:v>
      </x:c>
    </x:row>
    <x:row r="1045" spans="1:17">
      <x:c r="D1045" s="147" t="n">
        <x:v>10128595</x:v>
      </x:c>
      <x:c r="E1045" s="147" t="s">
        <x:v>132</x:v>
      </x:c>
    </x:row>
    <x:row r="1046" spans="1:17">
      <x:c r="D1046" s="147" t="n">
        <x:v>10128596</x:v>
      </x:c>
      <x:c r="E1046" s="147" t="s">
        <x:v>56</x:v>
      </x:c>
    </x:row>
    <x:row r="1047" spans="1:17">
      <x:c r="D1047" s="147" t="n">
        <x:v>10128597</x:v>
      </x:c>
      <x:c r="E1047" s="147" t="s">
        <x:v>114</x:v>
      </x:c>
    </x:row>
    <x:row r="1048" spans="1:17">
      <x:c r="D1048" s="147" t="n">
        <x:v>10128598</x:v>
      </x:c>
      <x:c r="E1048" s="147" t="s">
        <x:v>132</x:v>
      </x:c>
    </x:row>
    <x:row r="1049" spans="1:17">
      <x:c r="D1049" s="147" t="n">
        <x:v>10128599</x:v>
      </x:c>
      <x:c r="E1049" s="147" t="s">
        <x:v>154</x:v>
      </x:c>
    </x:row>
    <x:row r="1050" spans="1:17">
      <x:c r="D1050" s="147" t="n">
        <x:v>10128600</x:v>
      </x:c>
      <x:c r="E1050" s="147" t="s">
        <x:v>114</x:v>
      </x:c>
    </x:row>
    <x:row r="1051" spans="1:17">
      <x:c r="D1051" s="147" t="n">
        <x:v>10128579</x:v>
      </x:c>
      <x:c r="E1051" s="147" t="s">
        <x:v>154</x:v>
      </x:c>
    </x:row>
    <x:row r="1052" spans="1:17">
      <x:c r="D1052" s="147" t="n">
        <x:v>10128580</x:v>
      </x:c>
      <x:c r="E1052" s="147" t="s">
        <x:v>114</x:v>
      </x:c>
    </x:row>
    <x:row r="1053" spans="1:17">
      <x:c r="D1053" s="147" t="n">
        <x:v>10128581</x:v>
      </x:c>
      <x:c r="E1053" s="147" t="s">
        <x:v>114</x:v>
      </x:c>
    </x:row>
    <x:row r="1054" spans="1:17">
      <x:c r="D1054" s="147" t="n">
        <x:v>10128582</x:v>
      </x:c>
      <x:c r="E1054" s="147" t="s">
        <x:v>132</x:v>
      </x:c>
    </x:row>
    <x:row r="1055" spans="1:17">
      <x:c r="D1055" s="147" t="n">
        <x:v>10128595</x:v>
      </x:c>
      <x:c r="E1055" s="147" t="s">
        <x:v>132</x:v>
      </x:c>
    </x:row>
    <x:row r="1056" spans="1:17">
      <x:c r="D1056" s="147" t="n">
        <x:v>10128596</x:v>
      </x:c>
      <x:c r="E1056" s="147" t="s">
        <x:v>56</x:v>
      </x:c>
    </x:row>
    <x:row r="1057" spans="1:17">
      <x:c r="D1057" s="147" t="n">
        <x:v>10128597</x:v>
      </x:c>
      <x:c r="E1057" s="147" t="s">
        <x:v>114</x:v>
      </x:c>
    </x:row>
    <x:row r="1058" spans="1:17">
      <x:c r="D1058" s="147" t="n">
        <x:v>10128598</x:v>
      </x:c>
      <x:c r="E1058" s="147" t="s">
        <x:v>132</x:v>
      </x:c>
    </x:row>
    <x:row r="1059" spans="1:17">
      <x:c r="D1059" s="147" t="n">
        <x:v>10128599</x:v>
      </x:c>
      <x:c r="E1059" s="147" t="s">
        <x:v>154</x:v>
      </x:c>
    </x:row>
    <x:row r="1060" spans="1:17">
      <x:c r="D1060" s="147" t="n">
        <x:v>10128600</x:v>
      </x:c>
      <x:c r="E1060" s="147" t="s">
        <x:v>114</x:v>
      </x:c>
    </x:row>
    <x:row r="1061" spans="1:17">
      <x:c r="D1061" s="147" t="n">
        <x:v>10128579</x:v>
      </x:c>
      <x:c r="E1061" s="147" t="s">
        <x:v>154</x:v>
      </x:c>
    </x:row>
    <x:row r="1062" spans="1:17">
      <x:c r="D1062" s="147" t="n">
        <x:v>10128580</x:v>
      </x:c>
      <x:c r="E1062" s="147" t="s">
        <x:v>114</x:v>
      </x:c>
    </x:row>
    <x:row r="1063" spans="1:17">
      <x:c r="D1063" s="147" t="n">
        <x:v>10128581</x:v>
      </x:c>
      <x:c r="E1063" s="147" t="s">
        <x:v>114</x:v>
      </x:c>
    </x:row>
    <x:row r="1064" spans="1:17">
      <x:c r="D1064" s="147" t="n">
        <x:v>10128582</x:v>
      </x:c>
      <x:c r="E1064" s="147" t="s">
        <x:v>132</x:v>
      </x:c>
    </x:row>
    <x:row r="1065" spans="1:17">
      <x:c r="D1065" s="147" t="n">
        <x:v>10128595</x:v>
      </x:c>
      <x:c r="E1065" s="147" t="s">
        <x:v>132</x:v>
      </x:c>
    </x:row>
    <x:row r="1066" spans="1:17">
      <x:c r="D1066" s="147" t="n">
        <x:v>10128596</x:v>
      </x:c>
      <x:c r="E1066" s="147" t="s">
        <x:v>56</x:v>
      </x:c>
    </x:row>
    <x:row r="1067" spans="1:17">
      <x:c r="D1067" s="147" t="n">
        <x:v>10128597</x:v>
      </x:c>
      <x:c r="E1067" s="147" t="s">
        <x:v>114</x:v>
      </x:c>
    </x:row>
    <x:row r="1068" spans="1:17">
      <x:c r="D1068" s="147" t="n">
        <x:v>10128598</x:v>
      </x:c>
      <x:c r="E1068" s="147" t="s">
        <x:v>132</x:v>
      </x:c>
    </x:row>
    <x:row r="1069" spans="1:17">
      <x:c r="D1069" s="147" t="n">
        <x:v>10128599</x:v>
      </x:c>
      <x:c r="E1069" s="147" t="s">
        <x:v>154</x:v>
      </x:c>
    </x:row>
    <x:row r="1070" spans="1:17">
      <x:c r="D1070" s="147" t="n">
        <x:v>10128600</x:v>
      </x:c>
      <x:c r="E1070" s="147" t="s">
        <x:v>114</x:v>
      </x:c>
    </x:row>
    <x:row r="1071" spans="1:17">
      <x:c r="D1071" s="147" t="n">
        <x:v>10128579</x:v>
      </x:c>
      <x:c r="E1071" s="147" t="s">
        <x:v>154</x:v>
      </x:c>
    </x:row>
    <x:row r="1072" spans="1:17">
      <x:c r="D1072" s="147" t="n">
        <x:v>10128580</x:v>
      </x:c>
      <x:c r="E1072" s="147" t="s">
        <x:v>114</x:v>
      </x:c>
    </x:row>
    <x:row r="1073" spans="1:17">
      <x:c r="D1073" s="147" t="n">
        <x:v>10128581</x:v>
      </x:c>
      <x:c r="E1073" s="147" t="s">
        <x:v>114</x:v>
      </x:c>
    </x:row>
    <x:row r="1074" spans="1:17">
      <x:c r="D1074" s="147" t="n">
        <x:v>10128582</x:v>
      </x:c>
      <x:c r="E1074" s="147" t="s">
        <x:v>132</x:v>
      </x:c>
    </x:row>
    <x:row r="1075" spans="1:17">
      <x:c r="D1075" s="147" t="n">
        <x:v>10128595</x:v>
      </x:c>
      <x:c r="E1075" s="147" t="s">
        <x:v>132</x:v>
      </x:c>
    </x:row>
    <x:row r="1076" spans="1:17">
      <x:c r="D1076" s="147" t="n">
        <x:v>10128596</x:v>
      </x:c>
      <x:c r="E1076" s="147" t="s">
        <x:v>56</x:v>
      </x:c>
    </x:row>
    <x:row r="1077" spans="1:17">
      <x:c r="D1077" s="147" t="n">
        <x:v>10128597</x:v>
      </x:c>
      <x:c r="E1077" s="147" t="s">
        <x:v>114</x:v>
      </x:c>
    </x:row>
    <x:row r="1078" spans="1:17">
      <x:c r="D1078" s="147" t="n">
        <x:v>10128598</x:v>
      </x:c>
      <x:c r="E1078" s="147" t="s">
        <x:v>132</x:v>
      </x:c>
    </x:row>
    <x:row r="1079" spans="1:17">
      <x:c r="D1079" s="147" t="n">
        <x:v>10128599</x:v>
      </x:c>
      <x:c r="E1079" s="147" t="s">
        <x:v>154</x:v>
      </x:c>
    </x:row>
    <x:row r="1080" spans="1:17">
      <x:c r="D1080" s="147" t="n">
        <x:v>10128600</x:v>
      </x:c>
      <x:c r="E1080" s="147" t="s">
        <x:v>114</x:v>
      </x:c>
    </x:row>
    <x:row r="1081" spans="1:17">
      <x:c r="D1081" s="147" t="n">
        <x:v>10128579</x:v>
      </x:c>
      <x:c r="E1081" s="147" t="s">
        <x:v>154</x:v>
      </x:c>
    </x:row>
    <x:row r="1082" spans="1:17">
      <x:c r="D1082" s="147" t="n">
        <x:v>10128580</x:v>
      </x:c>
      <x:c r="E1082" s="147" t="s">
        <x:v>114</x:v>
      </x:c>
    </x:row>
    <x:row r="1083" spans="1:17">
      <x:c r="D1083" s="147" t="n">
        <x:v>10128581</x:v>
      </x:c>
      <x:c r="E1083" s="147" t="s">
        <x:v>114</x:v>
      </x:c>
    </x:row>
    <x:row r="1084" spans="1:17">
      <x:c r="D1084" s="147" t="n">
        <x:v>10128582</x:v>
      </x:c>
      <x:c r="E1084" s="147" t="s">
        <x:v>132</x:v>
      </x:c>
    </x:row>
    <x:row r="1085" spans="1:17">
      <x:c r="D1085" s="147" t="n">
        <x:v>10128595</x:v>
      </x:c>
      <x:c r="E1085" s="147" t="s">
        <x:v>132</x:v>
      </x:c>
    </x:row>
    <x:row r="1086" spans="1:17">
      <x:c r="D1086" s="147" t="n">
        <x:v>10128596</x:v>
      </x:c>
      <x:c r="E1086" s="147" t="s">
        <x:v>56</x:v>
      </x:c>
    </x:row>
    <x:row r="1087" spans="1:17">
      <x:c r="D1087" s="147" t="n">
        <x:v>10128597</x:v>
      </x:c>
      <x:c r="E1087" s="147" t="s">
        <x:v>114</x:v>
      </x:c>
    </x:row>
    <x:row r="1088" spans="1:17">
      <x:c r="D1088" s="147" t="n">
        <x:v>10128598</x:v>
      </x:c>
      <x:c r="E1088" s="147" t="s">
        <x:v>132</x:v>
      </x:c>
    </x:row>
    <x:row r="1089" spans="1:17">
      <x:c r="D1089" s="147" t="n">
        <x:v>10128599</x:v>
      </x:c>
      <x:c r="E1089" s="147" t="s">
        <x:v>154</x:v>
      </x:c>
    </x:row>
    <x:row r="1090" spans="1:17">
      <x:c r="D1090" s="147" t="n">
        <x:v>10128600</x:v>
      </x:c>
      <x:c r="E1090" s="147" t="s">
        <x:v>114</x:v>
      </x:c>
    </x:row>
    <x:row r="1091" spans="1:17">
      <x:c r="D1091" s="147" t="n">
        <x:v>10128579</x:v>
      </x:c>
      <x:c r="E1091" s="147" t="s">
        <x:v>154</x:v>
      </x:c>
    </x:row>
    <x:row r="1092" spans="1:17">
      <x:c r="D1092" s="147" t="n">
        <x:v>10128580</x:v>
      </x:c>
      <x:c r="E1092" s="147" t="s">
        <x:v>114</x:v>
      </x:c>
    </x:row>
    <x:row r="1093" spans="1:17">
      <x:c r="D1093" s="147" t="n">
        <x:v>10128581</x:v>
      </x:c>
      <x:c r="E1093" s="147" t="s">
        <x:v>114</x:v>
      </x:c>
    </x:row>
    <x:row r="1094" spans="1:17">
      <x:c r="D1094" s="147" t="n">
        <x:v>10128582</x:v>
      </x:c>
      <x:c r="E1094" s="147" t="s">
        <x:v>132</x:v>
      </x:c>
    </x:row>
    <x:row r="1095" spans="1:17">
      <x:c r="D1095" s="147" t="n">
        <x:v>10128595</x:v>
      </x:c>
      <x:c r="E1095" s="147" t="s">
        <x:v>132</x:v>
      </x:c>
    </x:row>
    <x:row r="1096" spans="1:17">
      <x:c r="D1096" s="147" t="n">
        <x:v>10128596</x:v>
      </x:c>
      <x:c r="E1096" s="147" t="s">
        <x:v>56</x:v>
      </x:c>
    </x:row>
    <x:row r="1097" spans="1:17">
      <x:c r="D1097" s="147" t="n">
        <x:v>10128597</x:v>
      </x:c>
      <x:c r="E1097" s="147" t="s">
        <x:v>114</x:v>
      </x:c>
    </x:row>
    <x:row r="1098" spans="1:17">
      <x:c r="D1098" s="147" t="n">
        <x:v>10128598</x:v>
      </x:c>
      <x:c r="E1098" s="147" t="s">
        <x:v>132</x:v>
      </x:c>
    </x:row>
    <x:row r="1099" spans="1:17">
      <x:c r="D1099" s="147" t="n">
        <x:v>10128599</x:v>
      </x:c>
      <x:c r="E1099" s="147" t="s">
        <x:v>154</x:v>
      </x:c>
    </x:row>
    <x:row r="1100" spans="1:17">
      <x:c r="D1100" s="147" t="n">
        <x:v>10128600</x:v>
      </x:c>
      <x:c r="E1100" s="147" t="s">
        <x:v>114</x:v>
      </x:c>
    </x:row>
    <x:row r="1101" spans="1:17">
      <x:c r="D1101" s="147" t="n">
        <x:v>10128579</x:v>
      </x:c>
      <x:c r="E1101" s="147" t="s">
        <x:v>154</x:v>
      </x:c>
    </x:row>
    <x:row r="1102" spans="1:17">
      <x:c r="D1102" s="147" t="n">
        <x:v>10128580</x:v>
      </x:c>
      <x:c r="E1102" s="147" t="s">
        <x:v>114</x:v>
      </x:c>
    </x:row>
    <x:row r="1103" spans="1:17">
      <x:c r="D1103" s="147" t="n">
        <x:v>10128581</x:v>
      </x:c>
      <x:c r="E1103" s="147" t="s">
        <x:v>114</x:v>
      </x:c>
    </x:row>
    <x:row r="1104" spans="1:17">
      <x:c r="D1104" s="147" t="n">
        <x:v>10128582</x:v>
      </x:c>
      <x:c r="E1104" s="147" t="s">
        <x:v>132</x:v>
      </x:c>
    </x:row>
    <x:row r="1105" spans="1:17">
      <x:c r="D1105" s="147" t="n">
        <x:v>10128595</x:v>
      </x:c>
      <x:c r="E1105" s="147" t="s">
        <x:v>132</x:v>
      </x:c>
    </x:row>
    <x:row r="1106" spans="1:17">
      <x:c r="D1106" s="147" t="n">
        <x:v>10128596</x:v>
      </x:c>
      <x:c r="E1106" s="147" t="s">
        <x:v>56</x:v>
      </x:c>
    </x:row>
    <x:row r="1107" spans="1:17">
      <x:c r="D1107" s="147" t="n">
        <x:v>10128597</x:v>
      </x:c>
      <x:c r="E1107" s="147" t="s">
        <x:v>114</x:v>
      </x:c>
    </x:row>
    <x:row r="1108" spans="1:17">
      <x:c r="D1108" s="147" t="n">
        <x:v>10128598</x:v>
      </x:c>
      <x:c r="E1108" s="147" t="s">
        <x:v>132</x:v>
      </x:c>
    </x:row>
    <x:row r="1109" spans="1:17">
      <x:c r="D1109" s="147" t="n">
        <x:v>10128599</x:v>
      </x:c>
      <x:c r="E1109" s="147" t="s">
        <x:v>154</x:v>
      </x:c>
    </x:row>
    <x:row r="1110" spans="1:17">
      <x:c r="D1110" s="147" t="n">
        <x:v>10128600</x:v>
      </x:c>
      <x:c r="E1110" s="147" t="s">
        <x:v>114</x:v>
      </x:c>
    </x:row>
    <x:row r="1111" spans="1:17">
      <x:c r="D1111" s="147" t="n">
        <x:v>10128579</x:v>
      </x:c>
      <x:c r="E1111" s="147" t="s">
        <x:v>154</x:v>
      </x:c>
    </x:row>
    <x:row r="1112" spans="1:17">
      <x:c r="D1112" s="147" t="n">
        <x:v>10128580</x:v>
      </x:c>
      <x:c r="E1112" s="147" t="s">
        <x:v>114</x:v>
      </x:c>
    </x:row>
    <x:row r="1113" spans="1:17">
      <x:c r="D1113" s="147" t="n">
        <x:v>10128581</x:v>
      </x:c>
      <x:c r="E1113" s="147" t="s">
        <x:v>114</x:v>
      </x:c>
    </x:row>
    <x:row r="1114" spans="1:17">
      <x:c r="D1114" s="147" t="n">
        <x:v>10128582</x:v>
      </x:c>
      <x:c r="E1114" s="147" t="s">
        <x:v>132</x:v>
      </x:c>
    </x:row>
    <x:row r="1115" spans="1:17">
      <x:c r="D1115" s="147" t="n">
        <x:v>10128595</x:v>
      </x:c>
      <x:c r="E1115" s="147" t="s">
        <x:v>132</x:v>
      </x:c>
    </x:row>
    <x:row r="1116" spans="1:17">
      <x:c r="D1116" s="147" t="n">
        <x:v>10128596</x:v>
      </x:c>
      <x:c r="E1116" s="147" t="s">
        <x:v>56</x:v>
      </x:c>
    </x:row>
    <x:row r="1117" spans="1:17">
      <x:c r="D1117" s="147" t="n">
        <x:v>10128597</x:v>
      </x:c>
      <x:c r="E1117" s="147" t="s">
        <x:v>114</x:v>
      </x:c>
    </x:row>
    <x:row r="1118" spans="1:17">
      <x:c r="D1118" s="147" t="n">
        <x:v>10128598</x:v>
      </x:c>
      <x:c r="E1118" s="147" t="s">
        <x:v>132</x:v>
      </x:c>
    </x:row>
    <x:row r="1119" spans="1:17">
      <x:c r="D1119" s="147" t="n">
        <x:v>10128599</x:v>
      </x:c>
      <x:c r="E1119" s="147" t="s">
        <x:v>154</x:v>
      </x:c>
    </x:row>
    <x:row r="1120" spans="1:17">
      <x:c r="D1120" s="147" t="n">
        <x:v>10128600</x:v>
      </x:c>
      <x:c r="E1120" s="147" t="s">
        <x:v>114</x:v>
      </x:c>
    </x:row>
    <x:row r="1121" spans="1:17">
      <x:c r="D1121" s="147" t="n">
        <x:v>10128579</x:v>
      </x:c>
      <x:c r="E1121" s="147" t="s">
        <x:v>154</x:v>
      </x:c>
    </x:row>
    <x:row r="1122" spans="1:17">
      <x:c r="D1122" s="147" t="n">
        <x:v>10128580</x:v>
      </x:c>
      <x:c r="E1122" s="147" t="s">
        <x:v>114</x:v>
      </x:c>
    </x:row>
    <x:row r="1123" spans="1:17">
      <x:c r="D1123" s="147" t="n">
        <x:v>10128581</x:v>
      </x:c>
      <x:c r="E1123" s="147" t="s">
        <x:v>114</x:v>
      </x:c>
    </x:row>
    <x:row r="1124" spans="1:17">
      <x:c r="D1124" s="147" t="n">
        <x:v>10128582</x:v>
      </x:c>
      <x:c r="E1124" s="147" t="s">
        <x:v>132</x:v>
      </x:c>
    </x:row>
    <x:row r="1125" spans="1:17">
      <x:c r="D1125" s="147" t="n">
        <x:v>10128595</x:v>
      </x:c>
      <x:c r="E1125" s="147" t="s">
        <x:v>132</x:v>
      </x:c>
    </x:row>
    <x:row r="1126" spans="1:17">
      <x:c r="D1126" s="147" t="n">
        <x:v>10128596</x:v>
      </x:c>
      <x:c r="E1126" s="147" t="s">
        <x:v>56</x:v>
      </x:c>
    </x:row>
    <x:row r="1127" spans="1:17">
      <x:c r="D1127" s="147" t="n">
        <x:v>10128597</x:v>
      </x:c>
      <x:c r="E1127" s="147" t="s">
        <x:v>114</x:v>
      </x:c>
    </x:row>
    <x:row r="1128" spans="1:17">
      <x:c r="D1128" s="147" t="n">
        <x:v>10128598</x:v>
      </x:c>
      <x:c r="E1128" s="147" t="s">
        <x:v>132</x:v>
      </x:c>
    </x:row>
    <x:row r="1129" spans="1:17">
      <x:c r="D1129" s="147" t="n">
        <x:v>10128599</x:v>
      </x:c>
      <x:c r="E1129" s="147" t="s">
        <x:v>154</x:v>
      </x:c>
    </x:row>
    <x:row r="1130" spans="1:17">
      <x:c r="D1130" s="147" t="n">
        <x:v>10128600</x:v>
      </x:c>
      <x:c r="E1130" s="147" t="s">
        <x:v>114</x:v>
      </x:c>
    </x:row>
    <x:row r="1131" spans="1:17">
      <x:c r="D1131" s="147" t="n">
        <x:v>10128579</x:v>
      </x:c>
      <x:c r="E1131" s="147" t="s">
        <x:v>154</x:v>
      </x:c>
    </x:row>
    <x:row r="1132" spans="1:17">
      <x:c r="D1132" s="147" t="n">
        <x:v>10128580</x:v>
      </x:c>
      <x:c r="E1132" s="147" t="s">
        <x:v>114</x:v>
      </x:c>
    </x:row>
    <x:row r="1133" spans="1:17">
      <x:c r="D1133" s="147" t="n">
        <x:v>10128581</x:v>
      </x:c>
      <x:c r="E1133" s="147" t="s">
        <x:v>114</x:v>
      </x:c>
    </x:row>
    <x:row r="1134" spans="1:17">
      <x:c r="D1134" s="147" t="n">
        <x:v>10128582</x:v>
      </x:c>
      <x:c r="E1134" s="147" t="s">
        <x:v>132</x:v>
      </x:c>
    </x:row>
    <x:row r="1135" spans="1:17">
      <x:c r="D1135" s="147" t="n">
        <x:v>10128595</x:v>
      </x:c>
      <x:c r="E1135" s="147" t="s">
        <x:v>132</x:v>
      </x:c>
    </x:row>
    <x:row r="1136" spans="1:17">
      <x:c r="D1136" s="147" t="n">
        <x:v>10128596</x:v>
      </x:c>
      <x:c r="E1136" s="147" t="s">
        <x:v>56</x:v>
      </x:c>
    </x:row>
    <x:row r="1137" spans="1:17">
      <x:c r="D1137" s="147" t="n">
        <x:v>10128597</x:v>
      </x:c>
      <x:c r="E1137" s="147" t="s">
        <x:v>114</x:v>
      </x:c>
    </x:row>
    <x:row r="1138" spans="1:17">
      <x:c r="D1138" s="147" t="n">
        <x:v>10128598</x:v>
      </x:c>
      <x:c r="E1138" s="147" t="s">
        <x:v>132</x:v>
      </x:c>
    </x:row>
    <x:row r="1139" spans="1:17">
      <x:c r="D1139" s="147" t="n">
        <x:v>10128599</x:v>
      </x:c>
      <x:c r="E1139" s="147" t="s">
        <x:v>154</x:v>
      </x:c>
    </x:row>
    <x:row r="1140" spans="1:17">
      <x:c r="D1140" s="147" t="n">
        <x:v>10128600</x:v>
      </x:c>
      <x:c r="E1140" s="147" t="s">
        <x:v>114</x:v>
      </x:c>
    </x:row>
    <x:row r="1141" spans="1:17">
      <x:c r="D1141" s="147" t="n">
        <x:v>10128579</x:v>
      </x:c>
      <x:c r="E1141" s="147" t="s">
        <x:v>154</x:v>
      </x:c>
    </x:row>
    <x:row r="1142" spans="1:17">
      <x:c r="D1142" s="147" t="n">
        <x:v>10128580</x:v>
      </x:c>
      <x:c r="E1142" s="147" t="s">
        <x:v>114</x:v>
      </x:c>
    </x:row>
    <x:row r="1143" spans="1:17">
      <x:c r="D1143" s="147" t="n">
        <x:v>10128581</x:v>
      </x:c>
      <x:c r="E1143" s="147" t="s">
        <x:v>114</x:v>
      </x:c>
    </x:row>
    <x:row r="1144" spans="1:17">
      <x:c r="D1144" s="147" t="n">
        <x:v>10128582</x:v>
      </x:c>
      <x:c r="E1144" s="147" t="s">
        <x:v>132</x:v>
      </x:c>
    </x:row>
    <x:row r="1145" spans="1:17">
      <x:c r="D1145" s="147" t="n">
        <x:v>10128595</x:v>
      </x:c>
      <x:c r="E1145" s="147" t="s">
        <x:v>132</x:v>
      </x:c>
    </x:row>
    <x:row r="1146" spans="1:17">
      <x:c r="D1146" s="147" t="n">
        <x:v>10128596</x:v>
      </x:c>
      <x:c r="E1146" s="147" t="s">
        <x:v>56</x:v>
      </x:c>
    </x:row>
    <x:row r="1147" spans="1:17">
      <x:c r="D1147" s="147" t="n">
        <x:v>10128597</x:v>
      </x:c>
      <x:c r="E1147" s="147" t="s">
        <x:v>114</x:v>
      </x:c>
    </x:row>
    <x:row r="1148" spans="1:17">
      <x:c r="D1148" s="147" t="n">
        <x:v>10128598</x:v>
      </x:c>
      <x:c r="E1148" s="147" t="s">
        <x:v>132</x:v>
      </x:c>
    </x:row>
    <x:row r="1149" spans="1:17">
      <x:c r="D1149" s="147" t="n">
        <x:v>10128599</x:v>
      </x:c>
      <x:c r="E1149" s="147" t="s">
        <x:v>154</x:v>
      </x:c>
    </x:row>
    <x:row r="1150" spans="1:17">
      <x:c r="D1150" s="147" t="n">
        <x:v>10128600</x:v>
      </x:c>
      <x:c r="E1150" s="147" t="s">
        <x:v>114</x:v>
      </x:c>
    </x:row>
    <x:row r="1151" spans="1:17">
      <x:c r="D1151" s="147" t="n">
        <x:v>10128579</x:v>
      </x:c>
      <x:c r="E1151" s="147" t="s">
        <x:v>154</x:v>
      </x:c>
    </x:row>
    <x:row r="1152" spans="1:17">
      <x:c r="D1152" s="147" t="n">
        <x:v>10128580</x:v>
      </x:c>
      <x:c r="E1152" s="147" t="s">
        <x:v>114</x:v>
      </x:c>
    </x:row>
    <x:row r="1153" spans="1:17">
      <x:c r="D1153" s="147" t="n">
        <x:v>10128581</x:v>
      </x:c>
      <x:c r="E1153" s="147" t="s">
        <x:v>114</x:v>
      </x:c>
    </x:row>
    <x:row r="1154" spans="1:17">
      <x:c r="D1154" s="147" t="n">
        <x:v>10128582</x:v>
      </x:c>
      <x:c r="E1154" s="147" t="s">
        <x:v>132</x:v>
      </x:c>
    </x:row>
    <x:row r="1155" spans="1:17">
      <x:c r="D1155" s="147" t="n">
        <x:v>10128595</x:v>
      </x:c>
      <x:c r="E1155" s="147" t="s">
        <x:v>132</x:v>
      </x:c>
    </x:row>
    <x:row r="1156" spans="1:17">
      <x:c r="D1156" s="147" t="n">
        <x:v>10128596</x:v>
      </x:c>
      <x:c r="E1156" s="147" t="s">
        <x:v>56</x:v>
      </x:c>
    </x:row>
    <x:row r="1157" spans="1:17">
      <x:c r="D1157" s="147" t="n">
        <x:v>10128597</x:v>
      </x:c>
      <x:c r="E1157" s="147" t="s">
        <x:v>114</x:v>
      </x:c>
    </x:row>
    <x:row r="1158" spans="1:17">
      <x:c r="D1158" s="147" t="n">
        <x:v>10128598</x:v>
      </x:c>
      <x:c r="E1158" s="147" t="s">
        <x:v>132</x:v>
      </x:c>
    </x:row>
    <x:row r="1159" spans="1:17">
      <x:c r="D1159" s="147" t="n">
        <x:v>10128599</x:v>
      </x:c>
      <x:c r="E1159" s="147" t="s">
        <x:v>154</x:v>
      </x:c>
    </x:row>
    <x:row r="1160" spans="1:17">
      <x:c r="D1160" s="147" t="n">
        <x:v>10128600</x:v>
      </x:c>
      <x:c r="E1160" s="147" t="s">
        <x:v>114</x:v>
      </x:c>
    </x:row>
    <x:row r="1161" spans="1:17">
      <x:c r="D1161" s="147" t="n">
        <x:v>10128579</x:v>
      </x:c>
      <x:c r="E1161" s="147" t="s">
        <x:v>154</x:v>
      </x:c>
    </x:row>
    <x:row r="1162" spans="1:17">
      <x:c r="D1162" s="147" t="n">
        <x:v>10128580</x:v>
      </x:c>
      <x:c r="E1162" s="147" t="s">
        <x:v>114</x:v>
      </x:c>
    </x:row>
    <x:row r="1163" spans="1:17">
      <x:c r="D1163" s="147" t="n">
        <x:v>10128581</x:v>
      </x:c>
      <x:c r="E1163" s="147" t="s">
        <x:v>114</x:v>
      </x:c>
    </x:row>
    <x:row r="1164" spans="1:17">
      <x:c r="D1164" s="147" t="n">
        <x:v>10128582</x:v>
      </x:c>
      <x:c r="E1164" s="147" t="s">
        <x:v>132</x:v>
      </x:c>
    </x:row>
    <x:row r="1165" spans="1:17">
      <x:c r="D1165" s="147" t="n">
        <x:v>10128595</x:v>
      </x:c>
      <x:c r="E1165" s="147" t="s">
        <x:v>132</x:v>
      </x:c>
    </x:row>
    <x:row r="1166" spans="1:17">
      <x:c r="D1166" s="147" t="n">
        <x:v>10128596</x:v>
      </x:c>
      <x:c r="E1166" s="147" t="s">
        <x:v>56</x:v>
      </x:c>
    </x:row>
    <x:row r="1167" spans="1:17">
      <x:c r="D1167" s="147" t="n">
        <x:v>10128597</x:v>
      </x:c>
      <x:c r="E1167" s="147" t="s">
        <x:v>114</x:v>
      </x:c>
    </x:row>
    <x:row r="1168" spans="1:17">
      <x:c r="D1168" s="147" t="n">
        <x:v>10128598</x:v>
      </x:c>
      <x:c r="E1168" s="147" t="s">
        <x:v>132</x:v>
      </x:c>
    </x:row>
    <x:row r="1169" spans="1:17">
      <x:c r="D1169" s="147" t="n">
        <x:v>10128599</x:v>
      </x:c>
      <x:c r="E1169" s="147" t="s">
        <x:v>154</x:v>
      </x:c>
    </x:row>
    <x:row r="1170" spans="1:17">
      <x:c r="D1170" s="147" t="n">
        <x:v>10128600</x:v>
      </x:c>
      <x:c r="E1170" s="147" t="s">
        <x:v>114</x:v>
      </x:c>
    </x:row>
    <x:row r="1171" spans="1:17">
      <x:c r="D1171" s="147" t="n">
        <x:v>10128579</x:v>
      </x:c>
      <x:c r="E1171" s="147" t="s">
        <x:v>154</x:v>
      </x:c>
    </x:row>
    <x:row r="1172" spans="1:17">
      <x:c r="D1172" s="147" t="n">
        <x:v>10128580</x:v>
      </x:c>
      <x:c r="E1172" s="147" t="s">
        <x:v>114</x:v>
      </x:c>
    </x:row>
    <x:row r="1173" spans="1:17">
      <x:c r="D1173" s="147" t="n">
        <x:v>10128581</x:v>
      </x:c>
      <x:c r="E1173" s="147" t="s">
        <x:v>114</x:v>
      </x:c>
    </x:row>
    <x:row r="1174" spans="1:17">
      <x:c r="D1174" s="147" t="n">
        <x:v>10128582</x:v>
      </x:c>
      <x:c r="E1174" s="147" t="s">
        <x:v>132</x:v>
      </x:c>
    </x:row>
    <x:row r="1175" spans="1:17">
      <x:c r="D1175" s="147" t="n">
        <x:v>10128595</x:v>
      </x:c>
      <x:c r="E1175" s="147" t="s">
        <x:v>132</x:v>
      </x:c>
    </x:row>
    <x:row r="1176" spans="1:17">
      <x:c r="D1176" s="147" t="n">
        <x:v>10128596</x:v>
      </x:c>
      <x:c r="E1176" s="147" t="s">
        <x:v>56</x:v>
      </x:c>
    </x:row>
    <x:row r="1177" spans="1:17">
      <x:c r="D1177" s="147" t="n">
        <x:v>10128597</x:v>
      </x:c>
      <x:c r="E1177" s="147" t="s">
        <x:v>114</x:v>
      </x:c>
    </x:row>
    <x:row r="1178" spans="1:17">
      <x:c r="D1178" s="147" t="n">
        <x:v>10128598</x:v>
      </x:c>
      <x:c r="E1178" s="147" t="s">
        <x:v>132</x:v>
      </x:c>
    </x:row>
    <x:row r="1179" spans="1:17">
      <x:c r="D1179" s="147" t="n">
        <x:v>10128599</x:v>
      </x:c>
      <x:c r="E1179" s="147" t="s">
        <x:v>154</x:v>
      </x:c>
    </x:row>
    <x:row r="1180" spans="1:17">
      <x:c r="D1180" s="147" t="n">
        <x:v>10128600</x:v>
      </x:c>
      <x:c r="E1180" s="147" t="s">
        <x:v>114</x:v>
      </x:c>
    </x:row>
    <x:row r="1181" spans="1:17">
      <x:c r="D1181" s="147" t="n">
        <x:v>10128579</x:v>
      </x:c>
      <x:c r="E1181" s="147" t="s">
        <x:v>154</x:v>
      </x:c>
    </x:row>
    <x:row r="1182" spans="1:17">
      <x:c r="D1182" s="147" t="n">
        <x:v>10128580</x:v>
      </x:c>
      <x:c r="E1182" s="147" t="s">
        <x:v>114</x:v>
      </x:c>
    </x:row>
    <x:row r="1183" spans="1:17">
      <x:c r="D1183" s="147" t="n">
        <x:v>10128581</x:v>
      </x:c>
      <x:c r="E1183" s="147" t="s">
        <x:v>114</x:v>
      </x:c>
    </x:row>
    <x:row r="1184" spans="1:17">
      <x:c r="D1184" s="147" t="n">
        <x:v>10128582</x:v>
      </x:c>
      <x:c r="E1184" s="147" t="s">
        <x:v>132</x:v>
      </x:c>
    </x:row>
    <x:row r="1185" spans="1:17">
      <x:c r="D1185" s="147" t="n">
        <x:v>10128595</x:v>
      </x:c>
      <x:c r="E1185" s="147" t="s">
        <x:v>132</x:v>
      </x:c>
    </x:row>
    <x:row r="1186" spans="1:17">
      <x:c r="D1186" s="147" t="n">
        <x:v>10128596</x:v>
      </x:c>
      <x:c r="E1186" s="147" t="s">
        <x:v>56</x:v>
      </x:c>
    </x:row>
    <x:row r="1187" spans="1:17">
      <x:c r="D1187" s="147" t="n">
        <x:v>10128597</x:v>
      </x:c>
      <x:c r="E1187" s="147" t="s">
        <x:v>114</x:v>
      </x:c>
    </x:row>
    <x:row r="1188" spans="1:17">
      <x:c r="D1188" s="147" t="n">
        <x:v>10128598</x:v>
      </x:c>
      <x:c r="E1188" s="147" t="s">
        <x:v>132</x:v>
      </x:c>
    </x:row>
    <x:row r="1189" spans="1:17">
      <x:c r="D1189" s="147" t="n">
        <x:v>10128599</x:v>
      </x:c>
      <x:c r="E1189" s="147" t="s">
        <x:v>154</x:v>
      </x:c>
    </x:row>
    <x:row r="1190" spans="1:17">
      <x:c r="D1190" s="147" t="n">
        <x:v>10128600</x:v>
      </x:c>
      <x:c r="E1190" s="147" t="s">
        <x:v>114</x:v>
      </x:c>
    </x:row>
    <x:row r="1191" spans="1:17">
      <x:c r="D1191" s="147" t="n">
        <x:v>10128579</x:v>
      </x:c>
      <x:c r="E1191" s="147" t="s">
        <x:v>154</x:v>
      </x:c>
    </x:row>
    <x:row r="1192" spans="1:17">
      <x:c r="D1192" s="147" t="n">
        <x:v>10128580</x:v>
      </x:c>
      <x:c r="E1192" s="147" t="s">
        <x:v>114</x:v>
      </x:c>
    </x:row>
    <x:row r="1193" spans="1:17">
      <x:c r="D1193" s="147" t="n">
        <x:v>10128581</x:v>
      </x:c>
      <x:c r="E1193" s="147" t="s">
        <x:v>114</x:v>
      </x:c>
    </x:row>
    <x:row r="1194" spans="1:17">
      <x:c r="D1194" s="147" t="n">
        <x:v>10128582</x:v>
      </x:c>
      <x:c r="E1194" s="147" t="s">
        <x:v>132</x:v>
      </x:c>
    </x:row>
    <x:row r="1195" spans="1:17">
      <x:c r="D1195" s="147" t="n">
        <x:v>10128595</x:v>
      </x:c>
      <x:c r="E1195" s="147" t="s">
        <x:v>132</x:v>
      </x:c>
    </x:row>
    <x:row r="1196" spans="1:17">
      <x:c r="D1196" s="147" t="n">
        <x:v>10128596</x:v>
      </x:c>
      <x:c r="E1196" s="147" t="s">
        <x:v>56</x:v>
      </x:c>
    </x:row>
    <x:row r="1197" spans="1:17">
      <x:c r="D1197" s="147" t="n">
        <x:v>10128597</x:v>
      </x:c>
      <x:c r="E1197" s="147" t="s">
        <x:v>114</x:v>
      </x:c>
    </x:row>
    <x:row r="1198" spans="1:17">
      <x:c r="D1198" s="147" t="n">
        <x:v>10128598</x:v>
      </x:c>
      <x:c r="E1198" s="147" t="s">
        <x:v>132</x:v>
      </x:c>
    </x:row>
    <x:row r="1199" spans="1:17">
      <x:c r="D1199" s="147" t="n">
        <x:v>10128599</x:v>
      </x:c>
      <x:c r="E1199" s="147" t="s">
        <x:v>154</x:v>
      </x:c>
    </x:row>
    <x:row r="1200" spans="1:17">
      <x:c r="D1200" s="147" t="n">
        <x:v>10128600</x:v>
      </x:c>
      <x:c r="E1200" s="147" t="s">
        <x:v>114</x:v>
      </x:c>
    </x:row>
    <x:row r="1201" spans="1:17">
      <x:c r="D1201" s="147" t="n">
        <x:v>10128579</x:v>
      </x:c>
      <x:c r="E1201" s="147" t="s">
        <x:v>154</x:v>
      </x:c>
    </x:row>
    <x:row r="1202" spans="1:17">
      <x:c r="D1202" s="147" t="n">
        <x:v>10128580</x:v>
      </x:c>
      <x:c r="E1202" s="147" t="s">
        <x:v>114</x:v>
      </x:c>
    </x:row>
    <x:row r="1203" spans="1:17">
      <x:c r="D1203" s="147" t="n">
        <x:v>10128581</x:v>
      </x:c>
      <x:c r="E1203" s="147" t="s">
        <x:v>114</x:v>
      </x:c>
    </x:row>
    <x:row r="1204" spans="1:17">
      <x:c r="D1204" s="147" t="n">
        <x:v>10128582</x:v>
      </x:c>
      <x:c r="E1204" s="147" t="s">
        <x:v>132</x:v>
      </x:c>
    </x:row>
    <x:row r="1205" spans="1:17">
      <x:c r="D1205" s="147" t="n">
        <x:v>10128595</x:v>
      </x:c>
      <x:c r="E1205" s="147" t="s">
        <x:v>132</x:v>
      </x:c>
    </x:row>
    <x:row r="1206" spans="1:17">
      <x:c r="D1206" s="147" t="n">
        <x:v>10128596</x:v>
      </x:c>
      <x:c r="E1206" s="147" t="s">
        <x:v>56</x:v>
      </x:c>
    </x:row>
    <x:row r="1207" spans="1:17">
      <x:c r="D1207" s="147" t="n">
        <x:v>10128597</x:v>
      </x:c>
      <x:c r="E1207" s="147" t="s">
        <x:v>114</x:v>
      </x:c>
    </x:row>
    <x:row r="1208" spans="1:17">
      <x:c r="D1208" s="147" t="n">
        <x:v>10128598</x:v>
      </x:c>
      <x:c r="E1208" s="147" t="s">
        <x:v>132</x:v>
      </x:c>
    </x:row>
    <x:row r="1209" spans="1:17">
      <x:c r="D1209" s="147" t="n">
        <x:v>10128599</x:v>
      </x:c>
      <x:c r="E1209" s="147" t="s">
        <x:v>154</x:v>
      </x:c>
    </x:row>
    <x:row r="1210" spans="1:17">
      <x:c r="D1210" s="147" t="n">
        <x:v>10128600</x:v>
      </x:c>
      <x:c r="E1210" s="147" t="s">
        <x:v>114</x:v>
      </x:c>
    </x:row>
    <x:row r="1211" spans="1:17">
      <x:c r="D1211" s="147" t="n">
        <x:v>10128579</x:v>
      </x:c>
      <x:c r="E1211" s="147" t="s">
        <x:v>154</x:v>
      </x:c>
    </x:row>
    <x:row r="1212" spans="1:17">
      <x:c r="D1212" s="147" t="n">
        <x:v>10128580</x:v>
      </x:c>
      <x:c r="E1212" s="147" t="s">
        <x:v>114</x:v>
      </x:c>
    </x:row>
    <x:row r="1213" spans="1:17">
      <x:c r="D1213" s="147" t="n">
        <x:v>10128581</x:v>
      </x:c>
      <x:c r="E1213" s="147" t="s">
        <x:v>114</x:v>
      </x:c>
    </x:row>
    <x:row r="1214" spans="1:17">
      <x:c r="D1214" s="147" t="n">
        <x:v>10128582</x:v>
      </x:c>
      <x:c r="E1214" s="147" t="s">
        <x:v>132</x:v>
      </x:c>
    </x:row>
    <x:row r="1215" spans="1:17">
      <x:c r="D1215" s="147" t="n">
        <x:v>10128595</x:v>
      </x:c>
      <x:c r="E1215" s="147" t="s">
        <x:v>132</x:v>
      </x:c>
    </x:row>
    <x:row r="1216" spans="1:17">
      <x:c r="D1216" s="147" t="n">
        <x:v>10128596</x:v>
      </x:c>
      <x:c r="E1216" s="147" t="s">
        <x:v>56</x:v>
      </x:c>
    </x:row>
    <x:row r="1217" spans="1:17">
      <x:c r="D1217" s="147" t="n">
        <x:v>10128597</x:v>
      </x:c>
      <x:c r="E1217" s="147" t="s">
        <x:v>114</x:v>
      </x:c>
    </x:row>
    <x:row r="1218" spans="1:17">
      <x:c r="D1218" s="147" t="n">
        <x:v>10128598</x:v>
      </x:c>
      <x:c r="E1218" s="147" t="s">
        <x:v>132</x:v>
      </x:c>
    </x:row>
    <x:row r="1219" spans="1:17">
      <x:c r="D1219" s="147" t="n">
        <x:v>10128599</x:v>
      </x:c>
      <x:c r="E1219" s="147" t="s">
        <x:v>154</x:v>
      </x:c>
    </x:row>
    <x:row r="1220" spans="1:17">
      <x:c r="D1220" s="147" t="n">
        <x:v>10128600</x:v>
      </x:c>
      <x:c r="E1220" s="147" t="s">
        <x:v>114</x:v>
      </x:c>
    </x:row>
    <x:row r="1221" spans="1:17">
      <x:c r="D1221" s="147" t="n">
        <x:v>10128579</x:v>
      </x:c>
      <x:c r="E1221" s="147" t="s">
        <x:v>154</x:v>
      </x:c>
    </x:row>
    <x:row r="1222" spans="1:17">
      <x:c r="D1222" s="147" t="n">
        <x:v>10128580</x:v>
      </x:c>
      <x:c r="E1222" s="147" t="s">
        <x:v>114</x:v>
      </x:c>
    </x:row>
    <x:row r="1223" spans="1:17">
      <x:c r="D1223" s="147" t="n">
        <x:v>10128581</x:v>
      </x:c>
      <x:c r="E1223" s="147" t="s">
        <x:v>114</x:v>
      </x:c>
    </x:row>
    <x:row r="1224" spans="1:17">
      <x:c r="D1224" s="147" t="n">
        <x:v>10128582</x:v>
      </x:c>
      <x:c r="E1224" s="147" t="s">
        <x:v>132</x:v>
      </x:c>
    </x:row>
    <x:row r="1225" spans="1:17">
      <x:c r="D1225" s="147" t="n">
        <x:v>10128595</x:v>
      </x:c>
      <x:c r="E1225" s="147" t="s">
        <x:v>132</x:v>
      </x:c>
    </x:row>
    <x:row r="1226" spans="1:17">
      <x:c r="D1226" s="147" t="n">
        <x:v>10128596</x:v>
      </x:c>
      <x:c r="E1226" s="147" t="s">
        <x:v>56</x:v>
      </x:c>
    </x:row>
    <x:row r="1227" spans="1:17">
      <x:c r="D1227" s="147" t="n">
        <x:v>10128597</x:v>
      </x:c>
      <x:c r="E1227" s="147" t="s">
        <x:v>114</x:v>
      </x:c>
    </x:row>
    <x:row r="1228" spans="1:17">
      <x:c r="D1228" s="147" t="n">
        <x:v>10128598</x:v>
      </x:c>
      <x:c r="E1228" s="147" t="s">
        <x:v>132</x:v>
      </x:c>
    </x:row>
    <x:row r="1229" spans="1:17">
      <x:c r="D1229" s="147" t="n">
        <x:v>10128599</x:v>
      </x:c>
      <x:c r="E1229" s="147" t="s">
        <x:v>154</x:v>
      </x:c>
    </x:row>
    <x:row r="1230" spans="1:17">
      <x:c r="D1230" s="147" t="n">
        <x:v>10128600</x:v>
      </x:c>
      <x:c r="E1230" s="147" t="s">
        <x:v>114</x:v>
      </x:c>
    </x:row>
    <x:row r="1231" spans="1:17">
      <x:c r="D1231" s="147" t="n">
        <x:v>10128579</x:v>
      </x:c>
      <x:c r="E1231" s="147" t="s">
        <x:v>154</x:v>
      </x:c>
    </x:row>
    <x:row r="1232" spans="1:17">
      <x:c r="D1232" s="147" t="n">
        <x:v>10128580</x:v>
      </x:c>
      <x:c r="E1232" s="147" t="s">
        <x:v>114</x:v>
      </x:c>
    </x:row>
    <x:row r="1233" spans="1:17">
      <x:c r="D1233" s="147" t="n">
        <x:v>10128581</x:v>
      </x:c>
      <x:c r="E1233" s="147" t="s">
        <x:v>114</x:v>
      </x:c>
    </x:row>
    <x:row r="1234" spans="1:17">
      <x:c r="D1234" s="147" t="n">
        <x:v>10128582</x:v>
      </x:c>
      <x:c r="E1234" s="147" t="s">
        <x:v>132</x:v>
      </x:c>
    </x:row>
    <x:row r="1235" spans="1:17">
      <x:c r="D1235" s="147" t="n">
        <x:v>10128595</x:v>
      </x:c>
      <x:c r="E1235" s="147" t="s">
        <x:v>132</x:v>
      </x:c>
    </x:row>
    <x:row r="1236" spans="1:17">
      <x:c r="D1236" s="147" t="n">
        <x:v>10128596</x:v>
      </x:c>
      <x:c r="E1236" s="147" t="s">
        <x:v>56</x:v>
      </x:c>
    </x:row>
    <x:row r="1237" spans="1:17">
      <x:c r="D1237" s="147" t="n">
        <x:v>10128597</x:v>
      </x:c>
      <x:c r="E1237" s="147" t="s">
        <x:v>114</x:v>
      </x:c>
    </x:row>
    <x:row r="1238" spans="1:17">
      <x:c r="D1238" s="147" t="n">
        <x:v>10128598</x:v>
      </x:c>
      <x:c r="E1238" s="147" t="s">
        <x:v>132</x:v>
      </x:c>
    </x:row>
    <x:row r="1239" spans="1:17">
      <x:c r="D1239" s="147" t="n">
        <x:v>10128599</x:v>
      </x:c>
      <x:c r="E1239" s="147" t="s">
        <x:v>154</x:v>
      </x:c>
    </x:row>
    <x:row r="1240" spans="1:17">
      <x:c r="D1240" s="147" t="n">
        <x:v>10128600</x:v>
      </x:c>
      <x:c r="E1240" s="147" t="s">
        <x:v>114</x:v>
      </x:c>
    </x:row>
    <x:row r="1241" spans="1:17">
      <x:c r="D1241" s="147" t="n">
        <x:v>10128579</x:v>
      </x:c>
      <x:c r="E1241" s="147" t="s">
        <x:v>154</x:v>
      </x:c>
    </x:row>
    <x:row r="1242" spans="1:17">
      <x:c r="D1242" s="147" t="n">
        <x:v>10128580</x:v>
      </x:c>
      <x:c r="E1242" s="147" t="s">
        <x:v>114</x:v>
      </x:c>
    </x:row>
    <x:row r="1243" spans="1:17">
      <x:c r="D1243" s="147" t="n">
        <x:v>10128581</x:v>
      </x:c>
      <x:c r="E1243" s="147" t="s">
        <x:v>114</x:v>
      </x:c>
    </x:row>
    <x:row r="1244" spans="1:17">
      <x:c r="D1244" s="147" t="n">
        <x:v>10128582</x:v>
      </x:c>
      <x:c r="E1244" s="147" t="s">
        <x:v>132</x:v>
      </x:c>
    </x:row>
    <x:row r="1245" spans="1:17">
      <x:c r="D1245" s="147" t="n">
        <x:v>10128595</x:v>
      </x:c>
      <x:c r="E1245" s="147" t="s">
        <x:v>132</x:v>
      </x:c>
    </x:row>
    <x:row r="1246" spans="1:17">
      <x:c r="D1246" s="147" t="n">
        <x:v>10128596</x:v>
      </x:c>
      <x:c r="E1246" s="147" t="s">
        <x:v>56</x:v>
      </x:c>
    </x:row>
    <x:row r="1247" spans="1:17">
      <x:c r="D1247" s="147" t="n">
        <x:v>10128597</x:v>
      </x:c>
      <x:c r="E1247" s="147" t="s">
        <x:v>114</x:v>
      </x:c>
    </x:row>
    <x:row r="1248" spans="1:17">
      <x:c r="D1248" s="147" t="n">
        <x:v>10128598</x:v>
      </x:c>
      <x:c r="E1248" s="147" t="s">
        <x:v>132</x:v>
      </x:c>
    </x:row>
    <x:row r="1249" spans="1:17">
      <x:c r="D1249" s="147" t="n">
        <x:v>10128599</x:v>
      </x:c>
      <x:c r="E1249" s="147" t="s">
        <x:v>154</x:v>
      </x:c>
    </x:row>
    <x:row r="1250" spans="1:17">
      <x:c r="D1250" s="147" t="n">
        <x:v>10128600</x:v>
      </x:c>
      <x:c r="E1250" s="147" t="s">
        <x:v>114</x:v>
      </x:c>
    </x:row>
    <x:row r="1251" spans="1:17">
      <x:c r="D1251" s="147" t="n">
        <x:v>10128579</x:v>
      </x:c>
      <x:c r="E1251" s="147" t="s">
        <x:v>154</x:v>
      </x:c>
    </x:row>
    <x:row r="1252" spans="1:17">
      <x:c r="D1252" s="147" t="n">
        <x:v>10128580</x:v>
      </x:c>
      <x:c r="E1252" s="147" t="s">
        <x:v>114</x:v>
      </x:c>
    </x:row>
    <x:row r="1253" spans="1:17">
      <x:c r="D1253" s="147" t="n">
        <x:v>10128581</x:v>
      </x:c>
      <x:c r="E1253" s="147" t="s">
        <x:v>114</x:v>
      </x:c>
    </x:row>
    <x:row r="1254" spans="1:17">
      <x:c r="D1254" s="147" t="n">
        <x:v>10128582</x:v>
      </x:c>
      <x:c r="E1254" s="147" t="s">
        <x:v>132</x:v>
      </x:c>
    </x:row>
    <x:row r="1255" spans="1:17">
      <x:c r="D1255" s="147" t="n">
        <x:v>10128595</x:v>
      </x:c>
      <x:c r="E1255" s="147" t="s">
        <x:v>132</x:v>
      </x:c>
    </x:row>
    <x:row r="1256" spans="1:17">
      <x:c r="D1256" s="147" t="n">
        <x:v>10128596</x:v>
      </x:c>
      <x:c r="E1256" s="147" t="s">
        <x:v>56</x:v>
      </x:c>
    </x:row>
    <x:row r="1257" spans="1:17">
      <x:c r="D1257" s="147" t="n">
        <x:v>10128597</x:v>
      </x:c>
      <x:c r="E1257" s="147" t="s">
        <x:v>114</x:v>
      </x:c>
    </x:row>
    <x:row r="1258" spans="1:17">
      <x:c r="D1258" s="147" t="n">
        <x:v>10128598</x:v>
      </x:c>
      <x:c r="E1258" s="147" t="s">
        <x:v>132</x:v>
      </x:c>
    </x:row>
    <x:row r="1259" spans="1:17">
      <x:c r="D1259" s="147" t="n">
        <x:v>10128599</x:v>
      </x:c>
      <x:c r="E1259" s="147" t="s">
        <x:v>154</x:v>
      </x:c>
    </x:row>
    <x:row r="1260" spans="1:17">
      <x:c r="D1260" s="147" t="n">
        <x:v>10128600</x:v>
      </x:c>
      <x:c r="E1260" s="147" t="s">
        <x:v>114</x:v>
      </x:c>
    </x:row>
    <x:row r="1261" spans="1:17">
      <x:c r="D1261" s="147" t="n">
        <x:v>10128579</x:v>
      </x:c>
      <x:c r="E1261" s="147" t="s">
        <x:v>154</x:v>
      </x:c>
    </x:row>
    <x:row r="1262" spans="1:17">
      <x:c r="D1262" s="147" t="n">
        <x:v>10128580</x:v>
      </x:c>
      <x:c r="E1262" s="147" t="s">
        <x:v>114</x:v>
      </x:c>
    </x:row>
    <x:row r="1263" spans="1:17">
      <x:c r="D1263" s="147" t="n">
        <x:v>10128581</x:v>
      </x:c>
      <x:c r="E1263" s="147" t="s">
        <x:v>114</x:v>
      </x:c>
    </x:row>
    <x:row r="1264" spans="1:17">
      <x:c r="D1264" s="147" t="n">
        <x:v>10128582</x:v>
      </x:c>
      <x:c r="E1264" s="147" t="s">
        <x:v>132</x:v>
      </x:c>
    </x:row>
    <x:row r="1265" spans="1:17">
      <x:c r="D1265" s="147" t="n">
        <x:v>10128595</x:v>
      </x:c>
      <x:c r="E1265" s="147" t="s">
        <x:v>132</x:v>
      </x:c>
    </x:row>
    <x:row r="1266" spans="1:17">
      <x:c r="D1266" s="147" t="n">
        <x:v>10128596</x:v>
      </x:c>
      <x:c r="E1266" s="147" t="s">
        <x:v>56</x:v>
      </x:c>
    </x:row>
    <x:row r="1267" spans="1:17">
      <x:c r="D1267" s="147" t="n">
        <x:v>10128597</x:v>
      </x:c>
      <x:c r="E1267" s="147" t="s">
        <x:v>114</x:v>
      </x:c>
    </x:row>
    <x:row r="1268" spans="1:17">
      <x:c r="D1268" s="147" t="n">
        <x:v>10128598</x:v>
      </x:c>
      <x:c r="E1268" s="147" t="s">
        <x:v>132</x:v>
      </x:c>
    </x:row>
    <x:row r="1269" spans="1:17">
      <x:c r="D1269" s="147" t="n">
        <x:v>10128599</x:v>
      </x:c>
      <x:c r="E1269" s="147" t="s">
        <x:v>154</x:v>
      </x:c>
    </x:row>
    <x:row r="1270" spans="1:17">
      <x:c r="D1270" s="147" t="n">
        <x:v>10128600</x:v>
      </x:c>
      <x:c r="E1270" s="147" t="s">
        <x:v>114</x:v>
      </x:c>
    </x:row>
    <x:row r="1271" spans="1:17">
      <x:c r="D1271" s="147" t="n">
        <x:v>10128579</x:v>
      </x:c>
      <x:c r="E1271" s="147" t="s">
        <x:v>154</x:v>
      </x:c>
    </x:row>
    <x:row r="1272" spans="1:17">
      <x:c r="D1272" s="147" t="n">
        <x:v>10128580</x:v>
      </x:c>
      <x:c r="E1272" s="147" t="s">
        <x:v>114</x:v>
      </x:c>
    </x:row>
    <x:row r="1273" spans="1:17">
      <x:c r="D1273" s="147" t="n">
        <x:v>10128581</x:v>
      </x:c>
      <x:c r="E1273" s="147" t="s">
        <x:v>114</x:v>
      </x:c>
    </x:row>
    <x:row r="1274" spans="1:17">
      <x:c r="D1274" s="147" t="n">
        <x:v>10128582</x:v>
      </x:c>
      <x:c r="E1274" s="147" t="s">
        <x:v>132</x:v>
      </x:c>
    </x:row>
    <x:row r="1275" spans="1:17">
      <x:c r="D1275" s="147" t="n">
        <x:v>10128595</x:v>
      </x:c>
      <x:c r="E1275" s="147" t="s">
        <x:v>132</x:v>
      </x:c>
    </x:row>
    <x:row r="1276" spans="1:17">
      <x:c r="D1276" s="147" t="n">
        <x:v>10128596</x:v>
      </x:c>
      <x:c r="E1276" s="147" t="s">
        <x:v>56</x:v>
      </x:c>
    </x:row>
    <x:row r="1277" spans="1:17">
      <x:c r="D1277" s="147" t="n">
        <x:v>10128597</x:v>
      </x:c>
      <x:c r="E1277" s="147" t="s">
        <x:v>114</x:v>
      </x:c>
    </x:row>
    <x:row r="1278" spans="1:17">
      <x:c r="D1278" s="147" t="n">
        <x:v>10128598</x:v>
      </x:c>
      <x:c r="E1278" s="147" t="s">
        <x:v>132</x:v>
      </x:c>
    </x:row>
    <x:row r="1279" spans="1:17">
      <x:c r="D1279" s="147" t="n">
        <x:v>10128599</x:v>
      </x:c>
      <x:c r="E1279" s="147" t="s">
        <x:v>154</x:v>
      </x:c>
    </x:row>
    <x:row r="1280" spans="1:17">
      <x:c r="D1280" s="147" t="n">
        <x:v>10128600</x:v>
      </x:c>
      <x:c r="E1280" s="147" t="s">
        <x:v>114</x:v>
      </x:c>
    </x:row>
    <x:row r="1281" spans="1:17">
      <x:c r="D1281" s="147" t="n">
        <x:v>10128579</x:v>
      </x:c>
      <x:c r="E1281" s="147" t="s">
        <x:v>154</x:v>
      </x:c>
    </x:row>
    <x:row r="1282" spans="1:17">
      <x:c r="D1282" s="147" t="n">
        <x:v>10128580</x:v>
      </x:c>
      <x:c r="E1282" s="147" t="s">
        <x:v>114</x:v>
      </x:c>
    </x:row>
    <x:row r="1283" spans="1:17">
      <x:c r="D1283" s="147" t="n">
        <x:v>10128581</x:v>
      </x:c>
      <x:c r="E1283" s="147" t="s">
        <x:v>114</x:v>
      </x:c>
    </x:row>
    <x:row r="1284" spans="1:17">
      <x:c r="D1284" s="147" t="n">
        <x:v>10128582</x:v>
      </x:c>
      <x:c r="E1284" s="147" t="s">
        <x:v>132</x:v>
      </x:c>
    </x:row>
    <x:row r="1285" spans="1:17">
      <x:c r="D1285" s="147" t="n">
        <x:v>10128595</x:v>
      </x:c>
      <x:c r="E1285" s="147" t="s">
        <x:v>132</x:v>
      </x:c>
    </x:row>
    <x:row r="1286" spans="1:17">
      <x:c r="D1286" s="147" t="n">
        <x:v>10128596</x:v>
      </x:c>
      <x:c r="E1286" s="147" t="s">
        <x:v>56</x:v>
      </x:c>
    </x:row>
    <x:row r="1287" spans="1:17">
      <x:c r="D1287" s="147" t="n">
        <x:v>10128597</x:v>
      </x:c>
      <x:c r="E1287" s="147" t="s">
        <x:v>114</x:v>
      </x:c>
    </x:row>
    <x:row r="1288" spans="1:17">
      <x:c r="D1288" s="147" t="n">
        <x:v>10128598</x:v>
      </x:c>
      <x:c r="E1288" s="147" t="s">
        <x:v>132</x:v>
      </x:c>
    </x:row>
    <x:row r="1289" spans="1:17">
      <x:c r="D1289" s="147" t="n">
        <x:v>10128599</x:v>
      </x:c>
      <x:c r="E1289" s="147" t="s">
        <x:v>154</x:v>
      </x:c>
    </x:row>
    <x:row r="1290" spans="1:17">
      <x:c r="D1290" s="147" t="n">
        <x:v>10128600</x:v>
      </x:c>
      <x:c r="E1290" s="147" t="s">
        <x:v>114</x:v>
      </x:c>
    </x:row>
    <x:row r="1291" spans="1:17">
      <x:c r="D1291" s="147" t="n">
        <x:v>10128579</x:v>
      </x:c>
      <x:c r="E1291" s="147" t="s">
        <x:v>154</x:v>
      </x:c>
    </x:row>
    <x:row r="1292" spans="1:17">
      <x:c r="D1292" s="147" t="n">
        <x:v>10128580</x:v>
      </x:c>
      <x:c r="E1292" s="147" t="s">
        <x:v>114</x:v>
      </x:c>
    </x:row>
    <x:row r="1293" spans="1:17">
      <x:c r="D1293" s="147" t="n">
        <x:v>10128581</x:v>
      </x:c>
      <x:c r="E1293" s="147" t="s">
        <x:v>114</x:v>
      </x:c>
    </x:row>
    <x:row r="1294" spans="1:17">
      <x:c r="D1294" s="147" t="n">
        <x:v>10128582</x:v>
      </x:c>
      <x:c r="E1294" s="147" t="s">
        <x:v>132</x:v>
      </x:c>
    </x:row>
    <x:row r="1295" spans="1:17">
      <x:c r="D1295" s="147" t="n">
        <x:v>10128595</x:v>
      </x:c>
      <x:c r="E1295" s="147" t="s">
        <x:v>132</x:v>
      </x:c>
    </x:row>
    <x:row r="1296" spans="1:17">
      <x:c r="D1296" s="147" t="n">
        <x:v>10128596</x:v>
      </x:c>
      <x:c r="E1296" s="147" t="s">
        <x:v>56</x:v>
      </x:c>
    </x:row>
    <x:row r="1297" spans="1:17">
      <x:c r="D1297" s="147" t="n">
        <x:v>10128597</x:v>
      </x:c>
      <x:c r="E1297" s="147" t="s">
        <x:v>114</x:v>
      </x:c>
    </x:row>
    <x:row r="1298" spans="1:17">
      <x:c r="D1298" s="147" t="n">
        <x:v>10128598</x:v>
      </x:c>
      <x:c r="E1298" s="147" t="s">
        <x:v>132</x:v>
      </x:c>
    </x:row>
    <x:row r="1299" spans="1:17">
      <x:c r="D1299" s="147" t="n">
        <x:v>10128599</x:v>
      </x:c>
      <x:c r="E1299" s="147" t="s">
        <x:v>154</x:v>
      </x:c>
    </x:row>
    <x:row r="1300" spans="1:17">
      <x:c r="D1300" s="147" t="n">
        <x:v>10128600</x:v>
      </x:c>
      <x:c r="E1300" s="147" t="s">
        <x:v>114</x:v>
      </x:c>
    </x:row>
    <x:row r="1301" spans="1:17">
      <x:c r="D1301" s="147" t="n">
        <x:v>10128579</x:v>
      </x:c>
      <x:c r="E1301" s="147" t="s">
        <x:v>154</x:v>
      </x:c>
    </x:row>
    <x:row r="1302" spans="1:17">
      <x:c r="D1302" s="147" t="n">
        <x:v>10128580</x:v>
      </x:c>
      <x:c r="E1302" s="147" t="s">
        <x:v>114</x:v>
      </x:c>
    </x:row>
    <x:row r="1303" spans="1:17">
      <x:c r="D1303" s="147" t="n">
        <x:v>10128581</x:v>
      </x:c>
      <x:c r="E1303" s="147" t="s">
        <x:v>114</x:v>
      </x:c>
    </x:row>
    <x:row r="1304" spans="1:17">
      <x:c r="D1304" s="147" t="n">
        <x:v>10128582</x:v>
      </x:c>
      <x:c r="E1304" s="147" t="s">
        <x:v>132</x:v>
      </x:c>
    </x:row>
    <x:row r="1305" spans="1:17">
      <x:c r="D1305" s="147" t="n">
        <x:v>10128595</x:v>
      </x:c>
      <x:c r="E1305" s="147" t="s">
        <x:v>132</x:v>
      </x:c>
    </x:row>
    <x:row r="1306" spans="1:17">
      <x:c r="D1306" s="147" t="n">
        <x:v>10128596</x:v>
      </x:c>
      <x:c r="E1306" s="147" t="s">
        <x:v>56</x:v>
      </x:c>
    </x:row>
    <x:row r="1307" spans="1:17">
      <x:c r="D1307" s="147" t="n">
        <x:v>10128597</x:v>
      </x:c>
      <x:c r="E1307" s="147" t="s">
        <x:v>114</x:v>
      </x:c>
    </x:row>
    <x:row r="1308" spans="1:17">
      <x:c r="D1308" s="147" t="n">
        <x:v>10128598</x:v>
      </x:c>
      <x:c r="E1308" s="147" t="s">
        <x:v>132</x:v>
      </x:c>
    </x:row>
    <x:row r="1309" spans="1:17">
      <x:c r="D1309" s="147" t="n">
        <x:v>10128599</x:v>
      </x:c>
      <x:c r="E1309" s="147" t="s">
        <x:v>154</x:v>
      </x:c>
    </x:row>
    <x:row r="1310" spans="1:17">
      <x:c r="D1310" s="147" t="n">
        <x:v>10128600</x:v>
      </x:c>
      <x:c r="E1310" s="147" t="s">
        <x:v>114</x:v>
      </x:c>
    </x:row>
    <x:row r="1311" spans="1:17">
      <x:c r="D1311" s="147" t="n">
        <x:v>10128579</x:v>
      </x:c>
      <x:c r="E1311" s="147" t="s">
        <x:v>154</x:v>
      </x:c>
    </x:row>
    <x:row r="1312" spans="1:17">
      <x:c r="D1312" s="147" t="n">
        <x:v>10128580</x:v>
      </x:c>
      <x:c r="E1312" s="147" t="s">
        <x:v>114</x:v>
      </x:c>
    </x:row>
    <x:row r="1313" spans="1:17">
      <x:c r="D1313" s="147" t="n">
        <x:v>10128581</x:v>
      </x:c>
      <x:c r="E1313" s="147" t="s">
        <x:v>114</x:v>
      </x:c>
    </x:row>
    <x:row r="1314" spans="1:17">
      <x:c r="D1314" s="147" t="n">
        <x:v>10128582</x:v>
      </x:c>
      <x:c r="E1314" s="147" t="s">
        <x:v>132</x:v>
      </x:c>
    </x:row>
    <x:row r="1315" spans="1:17">
      <x:c r="D1315" s="147" t="n">
        <x:v>10128595</x:v>
      </x:c>
      <x:c r="E1315" s="147" t="s">
        <x:v>132</x:v>
      </x:c>
    </x:row>
    <x:row r="1316" spans="1:17">
      <x:c r="D1316" s="147" t="n">
        <x:v>10128596</x:v>
      </x:c>
      <x:c r="E1316" s="147" t="s">
        <x:v>56</x:v>
      </x:c>
    </x:row>
    <x:row r="1317" spans="1:17">
      <x:c r="D1317" s="147" t="n">
        <x:v>10128597</x:v>
      </x:c>
      <x:c r="E1317" s="147" t="s">
        <x:v>114</x:v>
      </x:c>
    </x:row>
    <x:row r="1318" spans="1:17">
      <x:c r="D1318" s="147" t="n">
        <x:v>10128598</x:v>
      </x:c>
      <x:c r="E1318" s="147" t="s">
        <x:v>132</x:v>
      </x:c>
    </x:row>
    <x:row r="1319" spans="1:17">
      <x:c r="D1319" s="147" t="n">
        <x:v>10128599</x:v>
      </x:c>
      <x:c r="E1319" s="147" t="s">
        <x:v>154</x:v>
      </x:c>
    </x:row>
    <x:row r="1320" spans="1:17">
      <x:c r="D1320" s="147" t="n">
        <x:v>10128600</x:v>
      </x:c>
      <x:c r="E1320" s="147" t="s">
        <x:v>114</x:v>
      </x:c>
    </x:row>
    <x:row r="1321" spans="1:17">
      <x:c r="D1321" s="147" t="n">
        <x:v>10128579</x:v>
      </x:c>
      <x:c r="E1321" s="147" t="s">
        <x:v>154</x:v>
      </x:c>
    </x:row>
    <x:row r="1322" spans="1:17">
      <x:c r="D1322" s="147" t="n">
        <x:v>10128580</x:v>
      </x:c>
      <x:c r="E1322" s="147" t="s">
        <x:v>114</x:v>
      </x:c>
    </x:row>
    <x:row r="1323" spans="1:17">
      <x:c r="D1323" s="147" t="n">
        <x:v>10128581</x:v>
      </x:c>
      <x:c r="E1323" s="147" t="s">
        <x:v>114</x:v>
      </x:c>
    </x:row>
    <x:row r="1324" spans="1:17">
      <x:c r="D1324" s="147" t="n">
        <x:v>10128582</x:v>
      </x:c>
      <x:c r="E1324" s="147" t="s">
        <x:v>132</x:v>
      </x:c>
    </x:row>
    <x:row r="1325" spans="1:17">
      <x:c r="D1325" s="147" t="n">
        <x:v>10128595</x:v>
      </x:c>
      <x:c r="E1325" s="147" t="s">
        <x:v>132</x:v>
      </x:c>
    </x:row>
    <x:row r="1326" spans="1:17">
      <x:c r="D1326" s="147" t="n">
        <x:v>10128596</x:v>
      </x:c>
      <x:c r="E1326" s="147" t="s">
        <x:v>56</x:v>
      </x:c>
    </x:row>
    <x:row r="1327" spans="1:17">
      <x:c r="D1327" s="147" t="n">
        <x:v>10128597</x:v>
      </x:c>
      <x:c r="E1327" s="147" t="s">
        <x:v>114</x:v>
      </x:c>
    </x:row>
    <x:row r="1328" spans="1:17">
      <x:c r="D1328" s="147" t="n">
        <x:v>10128598</x:v>
      </x:c>
      <x:c r="E1328" s="147" t="s">
        <x:v>132</x:v>
      </x:c>
    </x:row>
    <x:row r="1329" spans="1:17">
      <x:c r="D1329" s="147" t="n">
        <x:v>10128599</x:v>
      </x:c>
      <x:c r="E1329" s="147" t="s">
        <x:v>154</x:v>
      </x:c>
    </x:row>
    <x:row r="1330" spans="1:17">
      <x:c r="D1330" s="147" t="n">
        <x:v>10128600</x:v>
      </x:c>
      <x:c r="E1330" s="147" t="s">
        <x:v>114</x:v>
      </x:c>
    </x:row>
    <x:row r="1331" spans="1:17">
      <x:c r="D1331" s="147" t="n">
        <x:v>10128579</x:v>
      </x:c>
      <x:c r="E1331" s="147" t="s">
        <x:v>154</x:v>
      </x:c>
    </x:row>
    <x:row r="1332" spans="1:17">
      <x:c r="D1332" s="147" t="n">
        <x:v>10128580</x:v>
      </x:c>
      <x:c r="E1332" s="147" t="s">
        <x:v>114</x:v>
      </x:c>
    </x:row>
    <x:row r="1333" spans="1:17">
      <x:c r="D1333" s="147" t="n">
        <x:v>10128581</x:v>
      </x:c>
      <x:c r="E1333" s="147" t="s">
        <x:v>114</x:v>
      </x:c>
    </x:row>
    <x:row r="1334" spans="1:17">
      <x:c r="D1334" s="147" t="n">
        <x:v>10128582</x:v>
      </x:c>
      <x:c r="E1334" s="147" t="s">
        <x:v>132</x:v>
      </x:c>
    </x:row>
    <x:row r="1335" spans="1:17">
      <x:c r="D1335" s="147" t="n">
        <x:v>10128595</x:v>
      </x:c>
      <x:c r="E1335" s="147" t="s">
        <x:v>132</x:v>
      </x:c>
    </x:row>
    <x:row r="1336" spans="1:17">
      <x:c r="D1336" s="147" t="n">
        <x:v>10128596</x:v>
      </x:c>
      <x:c r="E1336" s="147" t="s">
        <x:v>56</x:v>
      </x:c>
    </x:row>
    <x:row r="1337" spans="1:17">
      <x:c r="D1337" s="147" t="n">
        <x:v>10128597</x:v>
      </x:c>
      <x:c r="E1337" s="147" t="s">
        <x:v>114</x:v>
      </x:c>
    </x:row>
    <x:row r="1338" spans="1:17">
      <x:c r="D1338" s="147" t="n">
        <x:v>10128598</x:v>
      </x:c>
      <x:c r="E1338" s="147" t="s">
        <x:v>132</x:v>
      </x:c>
    </x:row>
    <x:row r="1339" spans="1:17">
      <x:c r="D1339" s="147" t="n">
        <x:v>10128599</x:v>
      </x:c>
      <x:c r="E1339" s="147" t="s">
        <x:v>154</x:v>
      </x:c>
    </x:row>
    <x:row r="1340" spans="1:17">
      <x:c r="D1340" s="147" t="n">
        <x:v>10128600</x:v>
      </x:c>
      <x:c r="E1340" s="147" t="s">
        <x:v>114</x:v>
      </x:c>
    </x:row>
    <x:row r="1341" spans="1:17">
      <x:c r="D1341" s="147" t="n">
        <x:v>10128579</x:v>
      </x:c>
      <x:c r="E1341" s="147" t="s">
        <x:v>154</x:v>
      </x:c>
    </x:row>
    <x:row r="1342" spans="1:17">
      <x:c r="D1342" s="147" t="n">
        <x:v>10128580</x:v>
      </x:c>
      <x:c r="E1342" s="147" t="s">
        <x:v>114</x:v>
      </x:c>
    </x:row>
    <x:row r="1343" spans="1:17">
      <x:c r="D1343" s="147" t="n">
        <x:v>10128581</x:v>
      </x:c>
      <x:c r="E1343" s="147" t="s">
        <x:v>114</x:v>
      </x:c>
    </x:row>
    <x:row r="1344" spans="1:17">
      <x:c r="D1344" s="147" t="n">
        <x:v>10128582</x:v>
      </x:c>
      <x:c r="E1344" s="147" t="s">
        <x:v>132</x:v>
      </x:c>
    </x:row>
    <x:row r="1345" spans="1:17">
      <x:c r="D1345" s="147" t="n">
        <x:v>10128595</x:v>
      </x:c>
      <x:c r="E1345" s="147" t="s">
        <x:v>132</x:v>
      </x:c>
    </x:row>
    <x:row r="1346" spans="1:17">
      <x:c r="D1346" s="147" t="n">
        <x:v>10128596</x:v>
      </x:c>
      <x:c r="E1346" s="147" t="s">
        <x:v>56</x:v>
      </x:c>
    </x:row>
    <x:row r="1347" spans="1:17">
      <x:c r="D1347" s="147" t="n">
        <x:v>10128597</x:v>
      </x:c>
      <x:c r="E1347" s="147" t="s">
        <x:v>114</x:v>
      </x:c>
    </x:row>
    <x:row r="1348" spans="1:17">
      <x:c r="D1348" s="147" t="n">
        <x:v>10128598</x:v>
      </x:c>
      <x:c r="E1348" s="147" t="s">
        <x:v>132</x:v>
      </x:c>
    </x:row>
    <x:row r="1349" spans="1:17">
      <x:c r="D1349" s="147" t="n">
        <x:v>10128599</x:v>
      </x:c>
      <x:c r="E1349" s="147" t="s">
        <x:v>154</x:v>
      </x:c>
    </x:row>
    <x:row r="1350" spans="1:17">
      <x:c r="D1350" s="147" t="n">
        <x:v>10128600</x:v>
      </x:c>
      <x:c r="E1350" s="147" t="s">
        <x:v>114</x:v>
      </x:c>
    </x:row>
    <x:row r="1351" spans="1:17">
      <x:c r="D1351" s="147" t="n">
        <x:v>10128579</x:v>
      </x:c>
      <x:c r="E1351" s="147" t="s">
        <x:v>154</x:v>
      </x:c>
    </x:row>
    <x:row r="1352" spans="1:17">
      <x:c r="D1352" s="147" t="n">
        <x:v>10128580</x:v>
      </x:c>
      <x:c r="E1352" s="147" t="s">
        <x:v>114</x:v>
      </x:c>
    </x:row>
    <x:row r="1353" spans="1:17">
      <x:c r="D1353" s="147" t="n">
        <x:v>10128581</x:v>
      </x:c>
      <x:c r="E1353" s="147" t="s">
        <x:v>114</x:v>
      </x:c>
    </x:row>
    <x:row r="1354" spans="1:17">
      <x:c r="D1354" s="147" t="n">
        <x:v>10128582</x:v>
      </x:c>
      <x:c r="E1354" s="147" t="s">
        <x:v>132</x:v>
      </x:c>
    </x:row>
    <x:row r="1355" spans="1:17">
      <x:c r="D1355" s="147" t="n">
        <x:v>10128595</x:v>
      </x:c>
      <x:c r="E1355" s="147" t="s">
        <x:v>132</x:v>
      </x:c>
    </x:row>
    <x:row r="1356" spans="1:17">
      <x:c r="D1356" s="147" t="n">
        <x:v>10128596</x:v>
      </x:c>
      <x:c r="E1356" s="147" t="s">
        <x:v>56</x:v>
      </x:c>
    </x:row>
    <x:row r="1357" spans="1:17">
      <x:c r="D1357" s="147" t="n">
        <x:v>10128597</x:v>
      </x:c>
      <x:c r="E1357" s="147" t="s">
        <x:v>114</x:v>
      </x:c>
    </x:row>
    <x:row r="1358" spans="1:17">
      <x:c r="D1358" s="147" t="n">
        <x:v>10128598</x:v>
      </x:c>
      <x:c r="E1358" s="147" t="s">
        <x:v>132</x:v>
      </x:c>
    </x:row>
    <x:row r="1359" spans="1:17">
      <x:c r="D1359" s="147" t="n">
        <x:v>10128599</x:v>
      </x:c>
      <x:c r="E1359" s="147" t="s">
        <x:v>154</x:v>
      </x:c>
    </x:row>
    <x:row r="1360" spans="1:17">
      <x:c r="D1360" s="147" t="n">
        <x:v>10128600</x:v>
      </x:c>
      <x:c r="E1360" s="147" t="s">
        <x:v>114</x:v>
      </x:c>
    </x:row>
    <x:row r="1361" spans="1:17">
      <x:c r="D1361" s="147" t="n">
        <x:v>10128579</x:v>
      </x:c>
      <x:c r="E1361" s="147" t="s">
        <x:v>154</x:v>
      </x:c>
    </x:row>
    <x:row r="1362" spans="1:17">
      <x:c r="D1362" s="147" t="n">
        <x:v>10128580</x:v>
      </x:c>
      <x:c r="E1362" s="147" t="s">
        <x:v>114</x:v>
      </x:c>
    </x:row>
    <x:row r="1363" spans="1:17">
      <x:c r="D1363" s="147" t="n">
        <x:v>10128581</x:v>
      </x:c>
      <x:c r="E1363" s="147" t="s">
        <x:v>114</x:v>
      </x:c>
    </x:row>
    <x:row r="1364" spans="1:17">
      <x:c r="D1364" s="147" t="n">
        <x:v>10128582</x:v>
      </x:c>
      <x:c r="E1364" s="147" t="s">
        <x:v>132</x:v>
      </x:c>
    </x:row>
    <x:row r="1365" spans="1:17">
      <x:c r="D1365" s="147" t="n">
        <x:v>10128595</x:v>
      </x:c>
      <x:c r="E1365" s="147" t="s">
        <x:v>132</x:v>
      </x:c>
    </x:row>
    <x:row r="1366" spans="1:17">
      <x:c r="D1366" s="147" t="n">
        <x:v>10128596</x:v>
      </x:c>
      <x:c r="E1366" s="147" t="s">
        <x:v>56</x:v>
      </x:c>
    </x:row>
    <x:row r="1367" spans="1:17">
      <x:c r="D1367" s="147" t="n">
        <x:v>10128597</x:v>
      </x:c>
      <x:c r="E1367" s="147" t="s">
        <x:v>114</x:v>
      </x:c>
    </x:row>
    <x:row r="1368" spans="1:17">
      <x:c r="D1368" s="147" t="n">
        <x:v>10128598</x:v>
      </x:c>
      <x:c r="E1368" s="147" t="s">
        <x:v>132</x:v>
      </x:c>
    </x:row>
    <x:row r="1369" spans="1:17">
      <x:c r="D1369" s="147" t="n">
        <x:v>10128599</x:v>
      </x:c>
      <x:c r="E1369" s="147" t="s">
        <x:v>154</x:v>
      </x:c>
    </x:row>
    <x:row r="1370" spans="1:17">
      <x:c r="D1370" s="147" t="n">
        <x:v>10128600</x:v>
      </x:c>
      <x:c r="E1370" s="147" t="s">
        <x:v>114</x:v>
      </x:c>
    </x:row>
    <x:row r="1371" spans="1:17">
      <x:c r="D1371" s="147" t="n">
        <x:v>10128579</x:v>
      </x:c>
      <x:c r="E1371" s="147" t="s">
        <x:v>154</x:v>
      </x:c>
    </x:row>
    <x:row r="1372" spans="1:17">
      <x:c r="D1372" s="147" t="n">
        <x:v>10128580</x:v>
      </x:c>
      <x:c r="E1372" s="147" t="s">
        <x:v>114</x:v>
      </x:c>
    </x:row>
    <x:row r="1373" spans="1:17">
      <x:c r="D1373" s="147" t="n">
        <x:v>10128581</x:v>
      </x:c>
      <x:c r="E1373" s="147" t="s">
        <x:v>114</x:v>
      </x:c>
    </x:row>
    <x:row r="1374" spans="1:17">
      <x:c r="D1374" s="147" t="n">
        <x:v>10128582</x:v>
      </x:c>
      <x:c r="E1374" s="147" t="s">
        <x:v>132</x:v>
      </x:c>
    </x:row>
    <x:row r="1375" spans="1:17">
      <x:c r="D1375" s="147" t="n">
        <x:v>10128595</x:v>
      </x:c>
      <x:c r="E1375" s="147" t="s">
        <x:v>132</x:v>
      </x:c>
    </x:row>
    <x:row r="1376" spans="1:17">
      <x:c r="D1376" s="147" t="n">
        <x:v>10128596</x:v>
      </x:c>
      <x:c r="E1376" s="147" t="s">
        <x:v>56</x:v>
      </x:c>
    </x:row>
    <x:row r="1377" spans="1:17">
      <x:c r="D1377" s="147" t="n">
        <x:v>10128597</x:v>
      </x:c>
      <x:c r="E1377" s="147" t="s">
        <x:v>114</x:v>
      </x:c>
    </x:row>
    <x:row r="1378" spans="1:17">
      <x:c r="D1378" s="147" t="n">
        <x:v>10128598</x:v>
      </x:c>
      <x:c r="E1378" s="147" t="s">
        <x:v>132</x:v>
      </x:c>
    </x:row>
    <x:row r="1379" spans="1:17">
      <x:c r="D1379" s="147" t="n">
        <x:v>10128599</x:v>
      </x:c>
      <x:c r="E1379" s="147" t="s">
        <x:v>154</x:v>
      </x:c>
    </x:row>
    <x:row r="1380" spans="1:17">
      <x:c r="D1380" s="147" t="n">
        <x:v>10128600</x:v>
      </x:c>
      <x:c r="E1380" s="147" t="s">
        <x:v>114</x:v>
      </x:c>
    </x:row>
    <x:row r="1381" spans="1:17">
      <x:c r="D1381" s="147" t="n">
        <x:v>10128579</x:v>
      </x:c>
      <x:c r="E1381" s="147" t="s">
        <x:v>154</x:v>
      </x:c>
    </x:row>
    <x:row r="1382" spans="1:17">
      <x:c r="D1382" s="147" t="n">
        <x:v>10128580</x:v>
      </x:c>
      <x:c r="E1382" s="147" t="s">
        <x:v>114</x:v>
      </x:c>
    </x:row>
    <x:row r="1383" spans="1:17">
      <x:c r="D1383" s="147" t="n">
        <x:v>10128581</x:v>
      </x:c>
      <x:c r="E1383" s="147" t="s">
        <x:v>114</x:v>
      </x:c>
    </x:row>
    <x:row r="1384" spans="1:17">
      <x:c r="D1384" s="147" t="n">
        <x:v>10128582</x:v>
      </x:c>
      <x:c r="E1384" s="147" t="s">
        <x:v>132</x:v>
      </x:c>
    </x:row>
    <x:row r="1385" spans="1:17">
      <x:c r="D1385" s="147" t="n">
        <x:v>10128595</x:v>
      </x:c>
      <x:c r="E1385" s="147" t="s">
        <x:v>132</x:v>
      </x:c>
    </x:row>
    <x:row r="1386" spans="1:17">
      <x:c r="D1386" s="147" t="n">
        <x:v>10128596</x:v>
      </x:c>
      <x:c r="E1386" s="147" t="s">
        <x:v>56</x:v>
      </x:c>
    </x:row>
    <x:row r="1387" spans="1:17">
      <x:c r="D1387" s="147" t="n">
        <x:v>10128597</x:v>
      </x:c>
      <x:c r="E1387" s="147" t="s">
        <x:v>114</x:v>
      </x:c>
    </x:row>
    <x:row r="1388" spans="1:17">
      <x:c r="D1388" s="147" t="n">
        <x:v>10128598</x:v>
      </x:c>
      <x:c r="E1388" s="147" t="s">
        <x:v>132</x:v>
      </x:c>
    </x:row>
    <x:row r="1389" spans="1:17">
      <x:c r="D1389" s="147" t="n">
        <x:v>10128599</x:v>
      </x:c>
      <x:c r="E1389" s="147" t="s">
        <x:v>154</x:v>
      </x:c>
    </x:row>
    <x:row r="1390" spans="1:17">
      <x:c r="D1390" s="147" t="n">
        <x:v>10128600</x:v>
      </x:c>
      <x:c r="E1390" s="147" t="s">
        <x:v>114</x:v>
      </x:c>
    </x:row>
    <x:row r="1391" spans="1:17">
      <x:c r="D1391" s="147" t="n">
        <x:v>10128579</x:v>
      </x:c>
      <x:c r="E1391" s="147" t="s">
        <x:v>154</x:v>
      </x:c>
    </x:row>
    <x:row r="1392" spans="1:17">
      <x:c r="D1392" s="147" t="n">
        <x:v>10128580</x:v>
      </x:c>
      <x:c r="E1392" s="147" t="s">
        <x:v>114</x:v>
      </x:c>
    </x:row>
    <x:row r="1393" spans="1:17">
      <x:c r="D1393" s="147" t="n">
        <x:v>10128581</x:v>
      </x:c>
      <x:c r="E1393" s="147" t="s">
        <x:v>114</x:v>
      </x:c>
    </x:row>
    <x:row r="1394" spans="1:17">
      <x:c r="D1394" s="147" t="n">
        <x:v>10128582</x:v>
      </x:c>
      <x:c r="E1394" s="147" t="s">
        <x:v>132</x:v>
      </x:c>
    </x:row>
    <x:row r="1395" spans="1:17">
      <x:c r="D1395" s="147" t="n">
        <x:v>10128595</x:v>
      </x:c>
      <x:c r="E1395" s="147" t="s">
        <x:v>132</x:v>
      </x:c>
    </x:row>
    <x:row r="1396" spans="1:17">
      <x:c r="D1396" s="147" t="n">
        <x:v>10128596</x:v>
      </x:c>
      <x:c r="E1396" s="147" t="s">
        <x:v>56</x:v>
      </x:c>
    </x:row>
    <x:row r="1397" spans="1:17">
      <x:c r="D1397" s="147" t="n">
        <x:v>10128597</x:v>
      </x:c>
      <x:c r="E1397" s="147" t="s">
        <x:v>114</x:v>
      </x:c>
    </x:row>
    <x:row r="1398" spans="1:17">
      <x:c r="D1398" s="147" t="n">
        <x:v>10128598</x:v>
      </x:c>
      <x:c r="E1398" s="147" t="s">
        <x:v>132</x:v>
      </x:c>
    </x:row>
    <x:row r="1399" spans="1:17">
      <x:c r="D1399" s="147" t="n">
        <x:v>10128599</x:v>
      </x:c>
      <x:c r="E1399" s="147" t="s">
        <x:v>154</x:v>
      </x:c>
    </x:row>
    <x:row r="1400" spans="1:17">
      <x:c r="D1400" s="147" t="n">
        <x:v>10128600</x:v>
      </x:c>
      <x:c r="E1400" s="147" t="s">
        <x:v>114</x:v>
      </x:c>
    </x:row>
    <x:row r="1401" spans="1:17">
      <x:c r="D1401" s="147" t="n">
        <x:v>10128579</x:v>
      </x:c>
      <x:c r="E1401" s="147" t="s">
        <x:v>154</x:v>
      </x:c>
    </x:row>
    <x:row r="1402" spans="1:17">
      <x:c r="D1402" s="147" t="n">
        <x:v>10128580</x:v>
      </x:c>
      <x:c r="E1402" s="147" t="s">
        <x:v>114</x:v>
      </x:c>
    </x:row>
    <x:row r="1403" spans="1:17">
      <x:c r="D1403" s="147" t="n">
        <x:v>10128581</x:v>
      </x:c>
      <x:c r="E1403" s="147" t="s">
        <x:v>114</x:v>
      </x:c>
    </x:row>
    <x:row r="1404" spans="1:17">
      <x:c r="D1404" s="147" t="n">
        <x:v>10128582</x:v>
      </x:c>
      <x:c r="E1404" s="147" t="s">
        <x:v>132</x:v>
      </x:c>
    </x:row>
    <x:row r="1405" spans="1:17">
      <x:c r="D1405" s="147" t="n">
        <x:v>10128595</x:v>
      </x:c>
      <x:c r="E1405" s="147" t="s">
        <x:v>132</x:v>
      </x:c>
    </x:row>
    <x:row r="1406" spans="1:17">
      <x:c r="D1406" s="147" t="n">
        <x:v>10128596</x:v>
      </x:c>
      <x:c r="E1406" s="147" t="s">
        <x:v>56</x:v>
      </x:c>
    </x:row>
    <x:row r="1407" spans="1:17">
      <x:c r="D1407" s="147" t="n">
        <x:v>10128597</x:v>
      </x:c>
      <x:c r="E1407" s="147" t="s">
        <x:v>114</x:v>
      </x:c>
    </x:row>
    <x:row r="1408" spans="1:17">
      <x:c r="D1408" s="147" t="n">
        <x:v>10128598</x:v>
      </x:c>
      <x:c r="E1408" s="147" t="s">
        <x:v>132</x:v>
      </x:c>
    </x:row>
    <x:row r="1409" spans="1:17">
      <x:c r="D1409" s="147" t="n">
        <x:v>10128599</x:v>
      </x:c>
      <x:c r="E1409" s="147" t="s">
        <x:v>154</x:v>
      </x:c>
    </x:row>
    <x:row r="1410" spans="1:17">
      <x:c r="D1410" s="147" t="n">
        <x:v>10128600</x:v>
      </x:c>
      <x:c r="E1410" s="147" t="s">
        <x:v>114</x:v>
      </x:c>
    </x:row>
    <x:row r="1411" spans="1:17">
      <x:c r="D1411" s="147" t="n">
        <x:v>10128579</x:v>
      </x:c>
      <x:c r="E1411" s="147" t="s">
        <x:v>154</x:v>
      </x:c>
    </x:row>
    <x:row r="1412" spans="1:17">
      <x:c r="D1412" s="147" t="n">
        <x:v>10128580</x:v>
      </x:c>
      <x:c r="E1412" s="147" t="s">
        <x:v>114</x:v>
      </x:c>
    </x:row>
    <x:row r="1413" spans="1:17">
      <x:c r="D1413" s="147" t="n">
        <x:v>10128581</x:v>
      </x:c>
      <x:c r="E1413" s="147" t="s">
        <x:v>114</x:v>
      </x:c>
    </x:row>
    <x:row r="1414" spans="1:17">
      <x:c r="D1414" s="147" t="n">
        <x:v>10128582</x:v>
      </x:c>
      <x:c r="E1414" s="147" t="s">
        <x:v>132</x:v>
      </x:c>
    </x:row>
    <x:row r="1415" spans="1:17">
      <x:c r="D1415" s="147" t="n">
        <x:v>10128595</x:v>
      </x:c>
      <x:c r="E1415" s="147" t="s">
        <x:v>132</x:v>
      </x:c>
    </x:row>
    <x:row r="1416" spans="1:17">
      <x:c r="D1416" s="147" t="n">
        <x:v>10128596</x:v>
      </x:c>
      <x:c r="E1416" s="147" t="s">
        <x:v>56</x:v>
      </x:c>
    </x:row>
    <x:row r="1417" spans="1:17">
      <x:c r="D1417" s="147" t="n">
        <x:v>10128597</x:v>
      </x:c>
      <x:c r="E1417" s="147" t="s">
        <x:v>114</x:v>
      </x:c>
    </x:row>
    <x:row r="1418" spans="1:17">
      <x:c r="D1418" s="147" t="n">
        <x:v>10128598</x:v>
      </x:c>
      <x:c r="E1418" s="147" t="s">
        <x:v>132</x:v>
      </x:c>
    </x:row>
    <x:row r="1419" spans="1:17">
      <x:c r="D1419" s="147" t="n">
        <x:v>10128599</x:v>
      </x:c>
      <x:c r="E1419" s="147" t="s">
        <x:v>154</x:v>
      </x:c>
    </x:row>
    <x:row r="1420" spans="1:17">
      <x:c r="D1420" s="147" t="n">
        <x:v>10128600</x:v>
      </x:c>
      <x:c r="E1420" s="147" t="s">
        <x:v>114</x:v>
      </x:c>
    </x:row>
    <x:row r="1421" spans="1:17">
      <x:c r="D1421" s="147" t="n">
        <x:v>10128579</x:v>
      </x:c>
      <x:c r="E1421" s="147" t="s">
        <x:v>154</x:v>
      </x:c>
    </x:row>
    <x:row r="1422" spans="1:17">
      <x:c r="D1422" s="147" t="n">
        <x:v>10128580</x:v>
      </x:c>
      <x:c r="E1422" s="147" t="s">
        <x:v>114</x:v>
      </x:c>
    </x:row>
    <x:row r="1423" spans="1:17">
      <x:c r="D1423" s="147" t="n">
        <x:v>10128581</x:v>
      </x:c>
      <x:c r="E1423" s="147" t="s">
        <x:v>114</x:v>
      </x:c>
    </x:row>
    <x:row r="1424" spans="1:17">
      <x:c r="D1424" s="147" t="n">
        <x:v>10128582</x:v>
      </x:c>
      <x:c r="E1424" s="147" t="s">
        <x:v>132</x:v>
      </x:c>
    </x:row>
    <x:row r="1425" spans="1:17">
      <x:c r="D1425" s="147" t="n">
        <x:v>10128595</x:v>
      </x:c>
      <x:c r="E1425" s="147" t="s">
        <x:v>132</x:v>
      </x:c>
    </x:row>
    <x:row r="1426" spans="1:17">
      <x:c r="D1426" s="147" t="n">
        <x:v>10128596</x:v>
      </x:c>
      <x:c r="E1426" s="147" t="s">
        <x:v>56</x:v>
      </x:c>
    </x:row>
    <x:row r="1427" spans="1:17">
      <x:c r="D1427" s="147" t="n">
        <x:v>10128597</x:v>
      </x:c>
      <x:c r="E1427" s="147" t="s">
        <x:v>114</x:v>
      </x:c>
    </x:row>
    <x:row r="1428" spans="1:17">
      <x:c r="D1428" s="147" t="n">
        <x:v>10128598</x:v>
      </x:c>
      <x:c r="E1428" s="147" t="s">
        <x:v>132</x:v>
      </x:c>
    </x:row>
    <x:row r="1429" spans="1:17">
      <x:c r="D1429" s="147" t="n">
        <x:v>10128599</x:v>
      </x:c>
      <x:c r="E1429" s="147" t="s">
        <x:v>154</x:v>
      </x:c>
    </x:row>
    <x:row r="1430" spans="1:17">
      <x:c r="D1430" s="147" t="n">
        <x:v>10128600</x:v>
      </x:c>
      <x:c r="E1430" s="147" t="s">
        <x:v>114</x:v>
      </x:c>
    </x:row>
    <x:row r="1431" spans="1:17">
      <x:c r="D1431" s="147" t="n">
        <x:v>10128579</x:v>
      </x:c>
      <x:c r="E1431" s="147" t="s">
        <x:v>154</x:v>
      </x:c>
    </x:row>
    <x:row r="1432" spans="1:17">
      <x:c r="D1432" s="147" t="n">
        <x:v>10128580</x:v>
      </x:c>
      <x:c r="E1432" s="147" t="s">
        <x:v>114</x:v>
      </x:c>
    </x:row>
    <x:row r="1433" spans="1:17">
      <x:c r="D1433" s="147" t="n">
        <x:v>10128581</x:v>
      </x:c>
      <x:c r="E1433" s="147" t="s">
        <x:v>114</x:v>
      </x:c>
    </x:row>
    <x:row r="1434" spans="1:17">
      <x:c r="D1434" s="147" t="n">
        <x:v>10128582</x:v>
      </x:c>
      <x:c r="E1434" s="147" t="s">
        <x:v>132</x:v>
      </x:c>
    </x:row>
    <x:row r="1435" spans="1:17">
      <x:c r="D1435" s="147" t="n">
        <x:v>10128595</x:v>
      </x:c>
      <x:c r="E1435" s="147" t="s">
        <x:v>132</x:v>
      </x:c>
    </x:row>
    <x:row r="1436" spans="1:17">
      <x:c r="D1436" s="147" t="n">
        <x:v>10128596</x:v>
      </x:c>
      <x:c r="E1436" s="147" t="s">
        <x:v>56</x:v>
      </x:c>
    </x:row>
    <x:row r="1437" spans="1:17">
      <x:c r="D1437" s="147" t="n">
        <x:v>10128597</x:v>
      </x:c>
      <x:c r="E1437" s="147" t="s">
        <x:v>114</x:v>
      </x:c>
    </x:row>
    <x:row r="1438" spans="1:17">
      <x:c r="D1438" s="147" t="n">
        <x:v>10128598</x:v>
      </x:c>
      <x:c r="E1438" s="147" t="s">
        <x:v>132</x:v>
      </x:c>
    </x:row>
    <x:row r="1439" spans="1:17">
      <x:c r="D1439" s="147" t="n">
        <x:v>10128599</x:v>
      </x:c>
      <x:c r="E1439" s="147" t="s">
        <x:v>154</x:v>
      </x:c>
    </x:row>
    <x:row r="1440" spans="1:17">
      <x:c r="D1440" s="147" t="n">
        <x:v>10128600</x:v>
      </x:c>
      <x:c r="E1440" s="147" t="s">
        <x:v>114</x:v>
      </x:c>
    </x:row>
    <x:row r="1441" spans="1:17">
      <x:c r="D1441" s="147" t="n">
        <x:v>10128579</x:v>
      </x:c>
      <x:c r="E1441" s="147" t="s">
        <x:v>154</x:v>
      </x:c>
    </x:row>
    <x:row r="1442" spans="1:17">
      <x:c r="D1442" s="147" t="n">
        <x:v>10128580</x:v>
      </x:c>
      <x:c r="E1442" s="147" t="s">
        <x:v>114</x:v>
      </x:c>
    </x:row>
    <x:row r="1443" spans="1:17">
      <x:c r="D1443" s="147" t="n">
        <x:v>10128581</x:v>
      </x:c>
      <x:c r="E1443" s="147" t="s">
        <x:v>114</x:v>
      </x:c>
    </x:row>
    <x:row r="1444" spans="1:17">
      <x:c r="D1444" s="147" t="n">
        <x:v>10128582</x:v>
      </x:c>
      <x:c r="E1444" s="147" t="s">
        <x:v>132</x:v>
      </x:c>
    </x:row>
    <x:row r="1445" spans="1:17">
      <x:c r="D1445" s="147" t="n">
        <x:v>10128595</x:v>
      </x:c>
      <x:c r="E1445" s="147" t="s">
        <x:v>132</x:v>
      </x:c>
    </x:row>
    <x:row r="1446" spans="1:17">
      <x:c r="D1446" s="147" t="n">
        <x:v>10128596</x:v>
      </x:c>
      <x:c r="E1446" s="147" t="s">
        <x:v>56</x:v>
      </x:c>
    </x:row>
    <x:row r="1447" spans="1:17">
      <x:c r="D1447" s="147" t="n">
        <x:v>10128597</x:v>
      </x:c>
      <x:c r="E1447" s="147" t="s">
        <x:v>114</x:v>
      </x:c>
    </x:row>
    <x:row r="1448" spans="1:17">
      <x:c r="D1448" s="147" t="n">
        <x:v>10128598</x:v>
      </x:c>
      <x:c r="E1448" s="147" t="s">
        <x:v>132</x:v>
      </x:c>
    </x:row>
    <x:row r="1449" spans="1:17">
      <x:c r="D1449" s="147" t="n">
        <x:v>10128599</x:v>
      </x:c>
      <x:c r="E1449" s="147" t="s">
        <x:v>154</x:v>
      </x:c>
    </x:row>
    <x:row r="1450" spans="1:17">
      <x:c r="D1450" s="147" t="n">
        <x:v>10128600</x:v>
      </x:c>
      <x:c r="E1450" s="147" t="s">
        <x:v>114</x:v>
      </x:c>
    </x:row>
    <x:row r="1451" spans="1:17">
      <x:c r="D1451" s="147" t="n">
        <x:v>10128579</x:v>
      </x:c>
      <x:c r="E1451" s="147" t="s">
        <x:v>154</x:v>
      </x:c>
    </x:row>
    <x:row r="1452" spans="1:17">
      <x:c r="D1452" s="147" t="n">
        <x:v>10128580</x:v>
      </x:c>
      <x:c r="E1452" s="147" t="s">
        <x:v>114</x:v>
      </x:c>
    </x:row>
    <x:row r="1453" spans="1:17">
      <x:c r="D1453" s="147" t="n">
        <x:v>10128581</x:v>
      </x:c>
      <x:c r="E1453" s="147" t="s">
        <x:v>114</x:v>
      </x:c>
    </x:row>
    <x:row r="1454" spans="1:17">
      <x:c r="D1454" s="147" t="n">
        <x:v>10128582</x:v>
      </x:c>
      <x:c r="E1454" s="147" t="s">
        <x:v>132</x:v>
      </x:c>
    </x:row>
    <x:row r="1455" spans="1:17">
      <x:c r="D1455" s="147" t="n">
        <x:v>10128595</x:v>
      </x:c>
      <x:c r="E1455" s="147" t="s">
        <x:v>132</x:v>
      </x:c>
    </x:row>
    <x:row r="1456" spans="1:17">
      <x:c r="D1456" s="147" t="n">
        <x:v>10128596</x:v>
      </x:c>
      <x:c r="E1456" s="147" t="s">
        <x:v>56</x:v>
      </x:c>
    </x:row>
    <x:row r="1457" spans="1:17">
      <x:c r="D1457" s="147" t="n">
        <x:v>10128597</x:v>
      </x:c>
      <x:c r="E1457" s="147" t="s">
        <x:v>114</x:v>
      </x:c>
    </x:row>
    <x:row r="1458" spans="1:17">
      <x:c r="D1458" s="147" t="n">
        <x:v>10128598</x:v>
      </x:c>
      <x:c r="E1458" s="147" t="s">
        <x:v>132</x:v>
      </x:c>
    </x:row>
    <x:row r="1459" spans="1:17">
      <x:c r="D1459" s="147" t="n">
        <x:v>10128599</x:v>
      </x:c>
      <x:c r="E1459" s="147" t="s">
        <x:v>154</x:v>
      </x:c>
    </x:row>
    <x:row r="1460" spans="1:17">
      <x:c r="D1460" s="147" t="n">
        <x:v>10128600</x:v>
      </x:c>
      <x:c r="E1460" s="147" t="s">
        <x:v>114</x:v>
      </x:c>
    </x:row>
    <x:row r="1461" spans="1:17">
      <x:c r="D1461" s="147" t="n">
        <x:v>10128579</x:v>
      </x:c>
      <x:c r="E1461" s="147" t="s">
        <x:v>154</x:v>
      </x:c>
    </x:row>
    <x:row r="1462" spans="1:17">
      <x:c r="D1462" s="147" t="n">
        <x:v>10128580</x:v>
      </x:c>
      <x:c r="E1462" s="147" t="s">
        <x:v>114</x:v>
      </x:c>
    </x:row>
    <x:row r="1463" spans="1:17">
      <x:c r="D1463" s="147" t="n">
        <x:v>10128581</x:v>
      </x:c>
      <x:c r="E1463" s="147" t="s">
        <x:v>114</x:v>
      </x:c>
    </x:row>
    <x:row r="1464" spans="1:17">
      <x:c r="D1464" s="147" t="n">
        <x:v>10128582</x:v>
      </x:c>
      <x:c r="E1464" s="147" t="s">
        <x:v>132</x:v>
      </x:c>
    </x:row>
    <x:row r="1465" spans="1:17">
      <x:c r="D1465" s="147" t="n">
        <x:v>10128595</x:v>
      </x:c>
      <x:c r="E1465" s="147" t="s">
        <x:v>132</x:v>
      </x:c>
    </x:row>
    <x:row r="1466" spans="1:17">
      <x:c r="D1466" s="147" t="n">
        <x:v>10128596</x:v>
      </x:c>
      <x:c r="E1466" s="147" t="s">
        <x:v>56</x:v>
      </x:c>
    </x:row>
    <x:row r="1467" spans="1:17">
      <x:c r="D1467" s="147" t="n">
        <x:v>10128597</x:v>
      </x:c>
      <x:c r="E1467" s="147" t="s">
        <x:v>114</x:v>
      </x:c>
    </x:row>
    <x:row r="1468" spans="1:17">
      <x:c r="D1468" s="147" t="n">
        <x:v>10128598</x:v>
      </x:c>
      <x:c r="E1468" s="147" t="s">
        <x:v>132</x:v>
      </x:c>
    </x:row>
    <x:row r="1469" spans="1:17">
      <x:c r="D1469" s="147" t="n">
        <x:v>10128599</x:v>
      </x:c>
      <x:c r="E1469" s="147" t="s">
        <x:v>154</x:v>
      </x:c>
    </x:row>
    <x:row r="1470" spans="1:17">
      <x:c r="D1470" s="147" t="n">
        <x:v>10128600</x:v>
      </x:c>
      <x:c r="E1470" s="147" t="s">
        <x:v>114</x:v>
      </x:c>
    </x:row>
    <x:row r="1471" spans="1:17">
      <x:c r="D1471" s="147" t="n">
        <x:v>10128579</x:v>
      </x:c>
      <x:c r="E1471" s="147" t="s">
        <x:v>154</x:v>
      </x:c>
    </x:row>
    <x:row r="1472" spans="1:17">
      <x:c r="D1472" s="147" t="n">
        <x:v>10128580</x:v>
      </x:c>
      <x:c r="E1472" s="147" t="s">
        <x:v>114</x:v>
      </x:c>
    </x:row>
    <x:row r="1473" spans="1:17">
      <x:c r="D1473" s="147" t="n">
        <x:v>10128581</x:v>
      </x:c>
      <x:c r="E1473" s="147" t="s">
        <x:v>114</x:v>
      </x:c>
    </x:row>
    <x:row r="1474" spans="1:17">
      <x:c r="D1474" s="147" t="n">
        <x:v>10128582</x:v>
      </x:c>
      <x:c r="E1474" s="147" t="s">
        <x:v>132</x:v>
      </x:c>
    </x:row>
    <x:row r="1475" spans="1:17">
      <x:c r="D1475" s="147" t="n">
        <x:v>10128595</x:v>
      </x:c>
      <x:c r="E1475" s="147" t="s">
        <x:v>132</x:v>
      </x:c>
    </x:row>
    <x:row r="1476" spans="1:17">
      <x:c r="D1476" s="147" t="n">
        <x:v>10128596</x:v>
      </x:c>
      <x:c r="E1476" s="147" t="s">
        <x:v>56</x:v>
      </x:c>
    </x:row>
    <x:row r="1477" spans="1:17">
      <x:c r="D1477" s="147" t="n">
        <x:v>10128597</x:v>
      </x:c>
      <x:c r="E1477" s="147" t="s">
        <x:v>114</x:v>
      </x:c>
    </x:row>
    <x:row r="1478" spans="1:17">
      <x:c r="D1478" s="147" t="n">
        <x:v>10128598</x:v>
      </x:c>
      <x:c r="E1478" s="147" t="s">
        <x:v>132</x:v>
      </x:c>
    </x:row>
    <x:row r="1479" spans="1:17">
      <x:c r="D1479" s="147" t="n">
        <x:v>10128599</x:v>
      </x:c>
      <x:c r="E1479" s="147" t="s">
        <x:v>154</x:v>
      </x:c>
    </x:row>
    <x:row r="1480" spans="1:17">
      <x:c r="D1480" s="147" t="n">
        <x:v>10128600</x:v>
      </x:c>
      <x:c r="E1480" s="147" t="s">
        <x:v>114</x:v>
      </x:c>
    </x:row>
    <x:row r="1481" spans="1:17">
      <x:c r="D1481" s="147" t="n">
        <x:v>10128579</x:v>
      </x:c>
      <x:c r="E1481" s="147" t="s">
        <x:v>154</x:v>
      </x:c>
    </x:row>
    <x:row r="1482" spans="1:17">
      <x:c r="D1482" s="147" t="n">
        <x:v>10128580</x:v>
      </x:c>
      <x:c r="E1482" s="147" t="s">
        <x:v>114</x:v>
      </x:c>
    </x:row>
    <x:row r="1483" spans="1:17">
      <x:c r="D1483" s="147" t="n">
        <x:v>10128581</x:v>
      </x:c>
      <x:c r="E1483" s="147" t="s">
        <x:v>114</x:v>
      </x:c>
    </x:row>
    <x:row r="1484" spans="1:17">
      <x:c r="D1484" s="147" t="n">
        <x:v>10128582</x:v>
      </x:c>
      <x:c r="E1484" s="147" t="s">
        <x:v>132</x:v>
      </x:c>
    </x:row>
    <x:row r="1485" spans="1:17">
      <x:c r="D1485" s="147" t="n">
        <x:v>10128595</x:v>
      </x:c>
      <x:c r="E1485" s="147" t="s">
        <x:v>132</x:v>
      </x:c>
    </x:row>
    <x:row r="1486" spans="1:17">
      <x:c r="D1486" s="147" t="n">
        <x:v>10128596</x:v>
      </x:c>
      <x:c r="E1486" s="147" t="s">
        <x:v>56</x:v>
      </x:c>
    </x:row>
    <x:row r="1487" spans="1:17">
      <x:c r="D1487" s="147" t="n">
        <x:v>10128597</x:v>
      </x:c>
      <x:c r="E1487" s="147" t="s">
        <x:v>114</x:v>
      </x:c>
    </x:row>
    <x:row r="1488" spans="1:17">
      <x:c r="D1488" s="147" t="n">
        <x:v>10128598</x:v>
      </x:c>
      <x:c r="E1488" s="147" t="s">
        <x:v>132</x:v>
      </x:c>
    </x:row>
    <x:row r="1489" spans="1:17">
      <x:c r="D1489" s="147" t="n">
        <x:v>10128599</x:v>
      </x:c>
      <x:c r="E1489" s="147" t="s">
        <x:v>154</x:v>
      </x:c>
    </x:row>
    <x:row r="1490" spans="1:17">
      <x:c r="D1490" s="147" t="n">
        <x:v>10128600</x:v>
      </x:c>
      <x:c r="E1490" s="147" t="s">
        <x:v>114</x:v>
      </x:c>
    </x:row>
    <x:row r="1491" spans="1:17">
      <x:c r="D1491" s="147" t="n">
        <x:v>10128579</x:v>
      </x:c>
      <x:c r="E1491" s="147" t="s">
        <x:v>154</x:v>
      </x:c>
    </x:row>
    <x:row r="1492" spans="1:17">
      <x:c r="D1492" s="147" t="n">
        <x:v>10128580</x:v>
      </x:c>
      <x:c r="E1492" s="147" t="s">
        <x:v>114</x:v>
      </x:c>
    </x:row>
    <x:row r="1493" spans="1:17">
      <x:c r="D1493" s="147" t="n">
        <x:v>10128581</x:v>
      </x:c>
      <x:c r="E1493" s="147" t="s">
        <x:v>114</x:v>
      </x:c>
    </x:row>
    <x:row r="1494" spans="1:17">
      <x:c r="D1494" s="147" t="n">
        <x:v>10128582</x:v>
      </x:c>
      <x:c r="E1494" s="147" t="s">
        <x:v>132</x:v>
      </x:c>
    </x:row>
    <x:row r="1495" spans="1:17">
      <x:c r="D1495" s="147" t="n">
        <x:v>10128595</x:v>
      </x:c>
      <x:c r="E1495" s="147" t="s">
        <x:v>132</x:v>
      </x:c>
    </x:row>
    <x:row r="1496" spans="1:17">
      <x:c r="D1496" s="147" t="n">
        <x:v>10128596</x:v>
      </x:c>
      <x:c r="E1496" s="147" t="s">
        <x:v>56</x:v>
      </x:c>
    </x:row>
    <x:row r="1497" spans="1:17">
      <x:c r="D1497" s="147" t="n">
        <x:v>10128597</x:v>
      </x:c>
      <x:c r="E1497" s="147" t="s">
        <x:v>114</x:v>
      </x:c>
    </x:row>
    <x:row r="1498" spans="1:17">
      <x:c r="D1498" s="147" t="n">
        <x:v>10128598</x:v>
      </x:c>
      <x:c r="E1498" s="147" t="s">
        <x:v>132</x:v>
      </x:c>
    </x:row>
    <x:row r="1499" spans="1:17">
      <x:c r="D1499" s="147" t="n">
        <x:v>10128599</x:v>
      </x:c>
      <x:c r="E1499" s="147" t="s">
        <x:v>154</x:v>
      </x:c>
    </x:row>
    <x:row r="1500" spans="1:17">
      <x:c r="D1500" s="147" t="n">
        <x:v>10128600</x:v>
      </x:c>
      <x:c r="E1500" s="147" t="s">
        <x:v>114</x:v>
      </x:c>
    </x:row>
    <x:row r="1501" spans="1:17">
      <x:c r="D1501" s="147" t="n">
        <x:v>10128579</x:v>
      </x:c>
      <x:c r="E1501" s="147" t="s">
        <x:v>154</x:v>
      </x:c>
    </x:row>
    <x:row r="1502" spans="1:17">
      <x:c r="D1502" s="147" t="n">
        <x:v>10128580</x:v>
      </x:c>
      <x:c r="E1502" s="147" t="s">
        <x:v>114</x:v>
      </x:c>
    </x:row>
    <x:row r="1503" spans="1:17">
      <x:c r="D1503" s="147" t="n">
        <x:v>10128581</x:v>
      </x:c>
      <x:c r="E1503" s="147" t="s">
        <x:v>114</x:v>
      </x:c>
    </x:row>
    <x:row r="1504" spans="1:17">
      <x:c r="D1504" s="147" t="n">
        <x:v>10128582</x:v>
      </x:c>
      <x:c r="E1504" s="147" t="s">
        <x:v>132</x:v>
      </x:c>
    </x:row>
    <x:row r="1505" spans="1:17">
      <x:c r="D1505" s="147" t="n">
        <x:v>10128595</x:v>
      </x:c>
      <x:c r="E1505" s="147" t="s">
        <x:v>132</x:v>
      </x:c>
    </x:row>
    <x:row r="1506" spans="1:17">
      <x:c r="D1506" s="147" t="n">
        <x:v>10128596</x:v>
      </x:c>
      <x:c r="E1506" s="147" t="s">
        <x:v>56</x:v>
      </x:c>
    </x:row>
    <x:row r="1507" spans="1:17">
      <x:c r="D1507" s="147" t="n">
        <x:v>10128597</x:v>
      </x:c>
      <x:c r="E1507" s="147" t="s">
        <x:v>114</x:v>
      </x:c>
    </x:row>
    <x:row r="1508" spans="1:17">
      <x:c r="D1508" s="147" t="n">
        <x:v>10128598</x:v>
      </x:c>
      <x:c r="E1508" s="147" t="s">
        <x:v>132</x:v>
      </x:c>
    </x:row>
    <x:row r="1509" spans="1:17">
      <x:c r="D1509" s="147" t="n">
        <x:v>10128599</x:v>
      </x:c>
      <x:c r="E1509" s="147" t="s">
        <x:v>154</x:v>
      </x:c>
    </x:row>
    <x:row r="1510" spans="1:17">
      <x:c r="D1510" s="147" t="n">
        <x:v>10128600</x:v>
      </x:c>
      <x:c r="E1510" s="147" t="s">
        <x:v>114</x:v>
      </x:c>
    </x:row>
    <x:row r="1511" spans="1:17">
      <x:c r="D1511" s="147" t="n">
        <x:v>10128579</x:v>
      </x:c>
      <x:c r="E1511" s="147" t="s">
        <x:v>154</x:v>
      </x:c>
    </x:row>
    <x:row r="1512" spans="1:17">
      <x:c r="D1512" s="147" t="n">
        <x:v>10128580</x:v>
      </x:c>
      <x:c r="E1512" s="147" t="s">
        <x:v>114</x:v>
      </x:c>
    </x:row>
    <x:row r="1513" spans="1:17">
      <x:c r="D1513" s="147" t="n">
        <x:v>10128581</x:v>
      </x:c>
      <x:c r="E1513" s="147" t="s">
        <x:v>114</x:v>
      </x:c>
    </x:row>
    <x:row r="1514" spans="1:17">
      <x:c r="D1514" s="147" t="n">
        <x:v>10128582</x:v>
      </x:c>
      <x:c r="E1514" s="147" t="s">
        <x:v>132</x:v>
      </x:c>
    </x:row>
    <x:row r="1515" spans="1:17">
      <x:c r="D1515" s="147" t="n">
        <x:v>10128595</x:v>
      </x:c>
      <x:c r="E1515" s="147" t="s">
        <x:v>132</x:v>
      </x:c>
    </x:row>
    <x:row r="1516" spans="1:17">
      <x:c r="D1516" s="147" t="n">
        <x:v>10128596</x:v>
      </x:c>
      <x:c r="E1516" s="147" t="s">
        <x:v>56</x:v>
      </x:c>
    </x:row>
    <x:row r="1517" spans="1:17">
      <x:c r="D1517" s="147" t="n">
        <x:v>10128597</x:v>
      </x:c>
      <x:c r="E1517" s="147" t="s">
        <x:v>114</x:v>
      </x:c>
    </x:row>
    <x:row r="1518" spans="1:17">
      <x:c r="D1518" s="147" t="n">
        <x:v>10128598</x:v>
      </x:c>
      <x:c r="E1518" s="147" t="s">
        <x:v>132</x:v>
      </x:c>
    </x:row>
    <x:row r="1519" spans="1:17">
      <x:c r="D1519" s="147" t="n">
        <x:v>10128599</x:v>
      </x:c>
      <x:c r="E1519" s="147" t="s">
        <x:v>154</x:v>
      </x:c>
    </x:row>
    <x:row r="1520" spans="1:17">
      <x:c r="D1520" s="147" t="n">
        <x:v>10128600</x:v>
      </x:c>
      <x:c r="E1520" s="147" t="s">
        <x:v>114</x:v>
      </x:c>
    </x:row>
    <x:row r="1521" spans="1:17">
      <x:c r="D1521" s="147" t="n">
        <x:v>10128579</x:v>
      </x:c>
      <x:c r="E1521" s="147" t="s">
        <x:v>154</x:v>
      </x:c>
    </x:row>
    <x:row r="1522" spans="1:17">
      <x:c r="D1522" s="147" t="n">
        <x:v>10128580</x:v>
      </x:c>
      <x:c r="E1522" s="147" t="s">
        <x:v>114</x:v>
      </x:c>
    </x:row>
    <x:row r="1523" spans="1:17">
      <x:c r="D1523" s="147" t="n">
        <x:v>10128581</x:v>
      </x:c>
      <x:c r="E1523" s="147" t="s">
        <x:v>114</x:v>
      </x:c>
    </x:row>
    <x:row r="1524" spans="1:17">
      <x:c r="D1524" s="147" t="n">
        <x:v>10128582</x:v>
      </x:c>
      <x:c r="E1524" s="147" t="s">
        <x:v>132</x:v>
      </x:c>
    </x:row>
    <x:row r="1525" spans="1:17">
      <x:c r="D1525" s="147" t="n">
        <x:v>10128595</x:v>
      </x:c>
      <x:c r="E1525" s="147" t="s">
        <x:v>132</x:v>
      </x:c>
    </x:row>
    <x:row r="1526" spans="1:17">
      <x:c r="D1526" s="147" t="n">
        <x:v>10128596</x:v>
      </x:c>
      <x:c r="E1526" s="147" t="s">
        <x:v>56</x:v>
      </x:c>
    </x:row>
    <x:row r="1527" spans="1:17">
      <x:c r="D1527" s="147" t="n">
        <x:v>10128597</x:v>
      </x:c>
      <x:c r="E1527" s="147" t="s">
        <x:v>114</x:v>
      </x:c>
    </x:row>
    <x:row r="1528" spans="1:17">
      <x:c r="D1528" s="147" t="n">
        <x:v>10128598</x:v>
      </x:c>
      <x:c r="E1528" s="147" t="s">
        <x:v>132</x:v>
      </x:c>
    </x:row>
    <x:row r="1529" spans="1:17">
      <x:c r="D1529" s="147" t="n">
        <x:v>10128599</x:v>
      </x:c>
      <x:c r="E1529" s="147" t="s">
        <x:v>154</x:v>
      </x:c>
    </x:row>
    <x:row r="1530" spans="1:17">
      <x:c r="D1530" s="147" t="n">
        <x:v>10128600</x:v>
      </x:c>
      <x:c r="E1530" s="147" t="s">
        <x:v>114</x:v>
      </x:c>
    </x:row>
    <x:row r="1531" spans="1:17">
      <x:c r="D1531" s="147" t="n">
        <x:v>10128579</x:v>
      </x:c>
      <x:c r="E1531" s="147" t="s">
        <x:v>154</x:v>
      </x:c>
    </x:row>
    <x:row r="1532" spans="1:17">
      <x:c r="D1532" s="147" t="n">
        <x:v>10128580</x:v>
      </x:c>
      <x:c r="E1532" s="147" t="s">
        <x:v>114</x:v>
      </x:c>
    </x:row>
    <x:row r="1533" spans="1:17">
      <x:c r="D1533" s="147" t="n">
        <x:v>10128581</x:v>
      </x:c>
      <x:c r="E1533" s="147" t="s">
        <x:v>114</x:v>
      </x:c>
    </x:row>
    <x:row r="1534" spans="1:17">
      <x:c r="D1534" s="147" t="n">
        <x:v>10128582</x:v>
      </x:c>
      <x:c r="E1534" s="147" t="s">
        <x:v>132</x:v>
      </x:c>
    </x:row>
    <x:row r="1535" spans="1:17">
      <x:c r="D1535" s="147" t="n">
        <x:v>10128595</x:v>
      </x:c>
      <x:c r="E1535" s="147" t="s">
        <x:v>132</x:v>
      </x:c>
    </x:row>
    <x:row r="1536" spans="1:17">
      <x:c r="D1536" s="147" t="n">
        <x:v>10128596</x:v>
      </x:c>
      <x:c r="E1536" s="147" t="s">
        <x:v>56</x:v>
      </x:c>
    </x:row>
    <x:row r="1537" spans="1:17">
      <x:c r="D1537" s="147" t="n">
        <x:v>10128597</x:v>
      </x:c>
      <x:c r="E1537" s="147" t="s">
        <x:v>114</x:v>
      </x:c>
    </x:row>
    <x:row r="1538" spans="1:17">
      <x:c r="D1538" s="147" t="n">
        <x:v>10128598</x:v>
      </x:c>
      <x:c r="E1538" s="147" t="s">
        <x:v>132</x:v>
      </x:c>
    </x:row>
    <x:row r="1539" spans="1:17">
      <x:c r="D1539" s="147" t="n">
        <x:v>10128599</x:v>
      </x:c>
      <x:c r="E1539" s="147" t="s">
        <x:v>154</x:v>
      </x:c>
    </x:row>
    <x:row r="1540" spans="1:17">
      <x:c r="D1540" s="147" t="n">
        <x:v>10128600</x:v>
      </x:c>
      <x:c r="E1540" s="147" t="s">
        <x:v>114</x:v>
      </x:c>
    </x:row>
    <x:row r="1541" spans="1:17">
      <x:c r="D1541" s="147" t="n">
        <x:v>10128579</x:v>
      </x:c>
      <x:c r="E1541" s="147" t="s">
        <x:v>154</x:v>
      </x:c>
    </x:row>
    <x:row r="1542" spans="1:17">
      <x:c r="D1542" s="147" t="n">
        <x:v>10128580</x:v>
      </x:c>
      <x:c r="E1542" s="147" t="s">
        <x:v>114</x:v>
      </x:c>
    </x:row>
    <x:row r="1543" spans="1:17">
      <x:c r="D1543" s="147" t="n">
        <x:v>10128581</x:v>
      </x:c>
      <x:c r="E1543" s="147" t="s">
        <x:v>114</x:v>
      </x:c>
    </x:row>
    <x:row r="1544" spans="1:17">
      <x:c r="D1544" s="147" t="n">
        <x:v>10128582</x:v>
      </x:c>
      <x:c r="E1544" s="147" t="s">
        <x:v>132</x:v>
      </x:c>
    </x:row>
    <x:row r="1545" spans="1:17">
      <x:c r="D1545" s="147" t="n">
        <x:v>10128595</x:v>
      </x:c>
      <x:c r="E1545" s="147" t="s">
        <x:v>132</x:v>
      </x:c>
    </x:row>
    <x:row r="1546" spans="1:17">
      <x:c r="D1546" s="147" t="n">
        <x:v>10128596</x:v>
      </x:c>
      <x:c r="E1546" s="147" t="s">
        <x:v>56</x:v>
      </x:c>
    </x:row>
    <x:row r="1547" spans="1:17">
      <x:c r="D1547" s="147" t="n">
        <x:v>10128597</x:v>
      </x:c>
      <x:c r="E1547" s="147" t="s">
        <x:v>114</x:v>
      </x:c>
    </x:row>
    <x:row r="1548" spans="1:17">
      <x:c r="D1548" s="147" t="n">
        <x:v>10128598</x:v>
      </x:c>
      <x:c r="E1548" s="147" t="s">
        <x:v>132</x:v>
      </x:c>
    </x:row>
    <x:row r="1549" spans="1:17">
      <x:c r="D1549" s="147" t="n">
        <x:v>10128599</x:v>
      </x:c>
      <x:c r="E1549" s="147" t="s">
        <x:v>154</x:v>
      </x:c>
    </x:row>
    <x:row r="1550" spans="1:17">
      <x:c r="D1550" s="147" t="n">
        <x:v>10128600</x:v>
      </x:c>
      <x:c r="E1550" s="147" t="s">
        <x:v>114</x:v>
      </x:c>
    </x:row>
    <x:row r="1551" spans="1:17">
      <x:c r="D1551" s="147" t="n">
        <x:v>10128579</x:v>
      </x:c>
      <x:c r="E1551" s="147" t="s">
        <x:v>154</x:v>
      </x:c>
    </x:row>
    <x:row r="1552" spans="1:17">
      <x:c r="D1552" s="147" t="n">
        <x:v>10128580</x:v>
      </x:c>
      <x:c r="E1552" s="147" t="s">
        <x:v>114</x:v>
      </x:c>
    </x:row>
    <x:row r="1553" spans="1:17">
      <x:c r="D1553" s="147" t="n">
        <x:v>10128581</x:v>
      </x:c>
      <x:c r="E1553" s="147" t="s">
        <x:v>114</x:v>
      </x:c>
    </x:row>
    <x:row r="1554" spans="1:17">
      <x:c r="D1554" s="147" t="n">
        <x:v>10128582</x:v>
      </x:c>
      <x:c r="E1554" s="147" t="s">
        <x:v>132</x:v>
      </x:c>
    </x:row>
    <x:row r="1555" spans="1:17">
      <x:c r="D1555" s="147" t="n">
        <x:v>10128595</x:v>
      </x:c>
      <x:c r="E1555" s="147" t="s">
        <x:v>132</x:v>
      </x:c>
    </x:row>
    <x:row r="1556" spans="1:17">
      <x:c r="D1556" s="147" t="n">
        <x:v>10128596</x:v>
      </x:c>
      <x:c r="E1556" s="147" t="s">
        <x:v>56</x:v>
      </x:c>
    </x:row>
    <x:row r="1557" spans="1:17">
      <x:c r="D1557" s="147" t="n">
        <x:v>10128597</x:v>
      </x:c>
      <x:c r="E1557" s="147" t="s">
        <x:v>114</x:v>
      </x:c>
    </x:row>
    <x:row r="1558" spans="1:17">
      <x:c r="D1558" s="147" t="n">
        <x:v>10128598</x:v>
      </x:c>
      <x:c r="E1558" s="147" t="s">
        <x:v>132</x:v>
      </x:c>
    </x:row>
    <x:row r="1559" spans="1:17">
      <x:c r="D1559" s="147" t="n">
        <x:v>10128599</x:v>
      </x:c>
      <x:c r="E1559" s="147" t="s">
        <x:v>154</x:v>
      </x:c>
    </x:row>
    <x:row r="1560" spans="1:17">
      <x:c r="D1560" s="147" t="n">
        <x:v>10128600</x:v>
      </x:c>
      <x:c r="E1560" s="147" t="s">
        <x:v>114</x:v>
      </x:c>
    </x:row>
    <x:row r="1561" spans="1:17">
      <x:c r="D1561" s="147" t="n">
        <x:v>10128579</x:v>
      </x:c>
      <x:c r="E1561" s="147" t="s">
        <x:v>154</x:v>
      </x:c>
    </x:row>
    <x:row r="1562" spans="1:17">
      <x:c r="D1562" s="147" t="n">
        <x:v>10128580</x:v>
      </x:c>
      <x:c r="E1562" s="147" t="s">
        <x:v>114</x:v>
      </x:c>
    </x:row>
    <x:row r="1563" spans="1:17">
      <x:c r="D1563" s="147" t="n">
        <x:v>10128581</x:v>
      </x:c>
      <x:c r="E1563" s="147" t="s">
        <x:v>114</x:v>
      </x:c>
    </x:row>
    <x:row r="1564" spans="1:17">
      <x:c r="D1564" s="147" t="n">
        <x:v>10128582</x:v>
      </x:c>
      <x:c r="E1564" s="147" t="s">
        <x:v>132</x:v>
      </x:c>
    </x:row>
    <x:row r="1565" spans="1:17">
      <x:c r="D1565" s="147" t="n">
        <x:v>10128595</x:v>
      </x:c>
      <x:c r="E1565" s="147" t="s">
        <x:v>132</x:v>
      </x:c>
    </x:row>
    <x:row r="1566" spans="1:17">
      <x:c r="D1566" s="147" t="n">
        <x:v>10128596</x:v>
      </x:c>
      <x:c r="E1566" s="147" t="s">
        <x:v>56</x:v>
      </x:c>
    </x:row>
    <x:row r="1567" spans="1:17">
      <x:c r="D1567" s="147" t="n">
        <x:v>10128597</x:v>
      </x:c>
      <x:c r="E1567" s="147" t="s">
        <x:v>114</x:v>
      </x:c>
    </x:row>
    <x:row r="1568" spans="1:17">
      <x:c r="D1568" s="147" t="n">
        <x:v>10128598</x:v>
      </x:c>
      <x:c r="E1568" s="147" t="s">
        <x:v>132</x:v>
      </x:c>
    </x:row>
    <x:row r="1569" spans="1:17">
      <x:c r="D1569" s="147" t="n">
        <x:v>10128599</x:v>
      </x:c>
      <x:c r="E1569" s="147" t="s">
        <x:v>154</x:v>
      </x:c>
    </x:row>
    <x:row r="1570" spans="1:17">
      <x:c r="D1570" s="147" t="n">
        <x:v>10128600</x:v>
      </x:c>
      <x:c r="E1570" s="147" t="s">
        <x:v>114</x:v>
      </x:c>
    </x:row>
    <x:row r="1571" spans="1:17">
      <x:c r="D1571" s="147" t="n">
        <x:v>10128579</x:v>
      </x:c>
      <x:c r="E1571" s="147" t="s">
        <x:v>154</x:v>
      </x:c>
    </x:row>
    <x:row r="1572" spans="1:17">
      <x:c r="D1572" s="147" t="n">
        <x:v>10128580</x:v>
      </x:c>
      <x:c r="E1572" s="147" t="s">
        <x:v>114</x:v>
      </x:c>
    </x:row>
    <x:row r="1573" spans="1:17">
      <x:c r="D1573" s="147" t="n">
        <x:v>10128581</x:v>
      </x:c>
      <x:c r="E1573" s="147" t="s">
        <x:v>114</x:v>
      </x:c>
    </x:row>
    <x:row r="1574" spans="1:17">
      <x:c r="D1574" s="147" t="n">
        <x:v>10128582</x:v>
      </x:c>
      <x:c r="E1574" s="147" t="s">
        <x:v>132</x:v>
      </x:c>
    </x:row>
    <x:row r="1575" spans="1:17">
      <x:c r="D1575" s="147" t="n">
        <x:v>10128595</x:v>
      </x:c>
      <x:c r="E1575" s="147" t="s">
        <x:v>132</x:v>
      </x:c>
    </x:row>
    <x:row r="1576" spans="1:17">
      <x:c r="D1576" s="147" t="n">
        <x:v>10128596</x:v>
      </x:c>
      <x:c r="E1576" s="147" t="s">
        <x:v>56</x:v>
      </x:c>
    </x:row>
    <x:row r="1577" spans="1:17">
      <x:c r="D1577" s="147" t="n">
        <x:v>10128597</x:v>
      </x:c>
      <x:c r="E1577" s="147" t="s">
        <x:v>114</x:v>
      </x:c>
    </x:row>
    <x:row r="1578" spans="1:17">
      <x:c r="D1578" s="147" t="n">
        <x:v>10128598</x:v>
      </x:c>
      <x:c r="E1578" s="147" t="s">
        <x:v>132</x:v>
      </x:c>
    </x:row>
    <x:row r="1579" spans="1:17">
      <x:c r="D1579" s="147" t="n">
        <x:v>10128599</x:v>
      </x:c>
      <x:c r="E1579" s="147" t="s">
        <x:v>154</x:v>
      </x:c>
    </x:row>
    <x:row r="1580" spans="1:17">
      <x:c r="D1580" s="147" t="n">
        <x:v>10128600</x:v>
      </x:c>
      <x:c r="E1580" s="147" t="s">
        <x:v>114</x:v>
      </x:c>
    </x:row>
    <x:row r="1581" spans="1:17">
      <x:c r="D1581" s="147" t="n">
        <x:v>10128579</x:v>
      </x:c>
      <x:c r="E1581" s="147" t="s">
        <x:v>154</x:v>
      </x:c>
    </x:row>
    <x:row r="1582" spans="1:17">
      <x:c r="D1582" s="147" t="n">
        <x:v>10128580</x:v>
      </x:c>
      <x:c r="E1582" s="147" t="s">
        <x:v>114</x:v>
      </x:c>
    </x:row>
    <x:row r="1583" spans="1:17">
      <x:c r="D1583" s="147" t="n">
        <x:v>10128581</x:v>
      </x:c>
      <x:c r="E1583" s="147" t="s">
        <x:v>114</x:v>
      </x:c>
    </x:row>
    <x:row r="1584" spans="1:17">
      <x:c r="D1584" s="147" t="n">
        <x:v>10128582</x:v>
      </x:c>
      <x:c r="E1584" s="147" t="s">
        <x:v>132</x:v>
      </x:c>
    </x:row>
    <x:row r="1585" spans="1:17">
      <x:c r="D1585" s="147" t="n">
        <x:v>10128595</x:v>
      </x:c>
      <x:c r="E1585" s="147" t="s">
        <x:v>132</x:v>
      </x:c>
    </x:row>
    <x:row r="1586" spans="1:17">
      <x:c r="D1586" s="147" t="n">
        <x:v>10128596</x:v>
      </x:c>
      <x:c r="E1586" s="147" t="s">
        <x:v>56</x:v>
      </x:c>
    </x:row>
    <x:row r="1587" spans="1:17">
      <x:c r="D1587" s="147" t="n">
        <x:v>10128597</x:v>
      </x:c>
      <x:c r="E1587" s="147" t="s">
        <x:v>114</x:v>
      </x:c>
    </x:row>
    <x:row r="1588" spans="1:17">
      <x:c r="D1588" s="147" t="n">
        <x:v>10128598</x:v>
      </x:c>
      <x:c r="E1588" s="147" t="s">
        <x:v>132</x:v>
      </x:c>
    </x:row>
    <x:row r="1589" spans="1:17">
      <x:c r="D1589" s="147" t="n">
        <x:v>10128599</x:v>
      </x:c>
      <x:c r="E1589" s="147" t="s">
        <x:v>154</x:v>
      </x:c>
    </x:row>
    <x:row r="1590" spans="1:17">
      <x:c r="D1590" s="147" t="n">
        <x:v>10128600</x:v>
      </x:c>
      <x:c r="E1590" s="147" t="s">
        <x:v>114</x:v>
      </x:c>
    </x:row>
    <x:row r="1591" spans="1:17">
      <x:c r="D1591" s="147" t="n">
        <x:v>10128579</x:v>
      </x:c>
      <x:c r="E1591" s="147" t="s">
        <x:v>154</x:v>
      </x:c>
    </x:row>
    <x:row r="1592" spans="1:17">
      <x:c r="D1592" s="147" t="n">
        <x:v>10128580</x:v>
      </x:c>
      <x:c r="E1592" s="147" t="s">
        <x:v>114</x:v>
      </x:c>
    </x:row>
    <x:row r="1593" spans="1:17">
      <x:c r="D1593" s="147" t="n">
        <x:v>10128581</x:v>
      </x:c>
      <x:c r="E1593" s="147" t="s">
        <x:v>114</x:v>
      </x:c>
    </x:row>
    <x:row r="1594" spans="1:17">
      <x:c r="D1594" s="147" t="n">
        <x:v>10128582</x:v>
      </x:c>
      <x:c r="E1594" s="147" t="s">
        <x:v>132</x:v>
      </x:c>
    </x:row>
    <x:row r="1595" spans="1:17">
      <x:c r="D1595" s="147" t="n">
        <x:v>10128595</x:v>
      </x:c>
      <x:c r="E1595" s="147" t="s">
        <x:v>132</x:v>
      </x:c>
    </x:row>
    <x:row r="1596" spans="1:17">
      <x:c r="D1596" s="147" t="n">
        <x:v>10128596</x:v>
      </x:c>
      <x:c r="E1596" s="147" t="s">
        <x:v>56</x:v>
      </x:c>
    </x:row>
    <x:row r="1597" spans="1:17">
      <x:c r="D1597" s="147" t="n">
        <x:v>10128597</x:v>
      </x:c>
      <x:c r="E1597" s="147" t="s">
        <x:v>114</x:v>
      </x:c>
    </x:row>
    <x:row r="1598" spans="1:17">
      <x:c r="D1598" s="147" t="n">
        <x:v>10128598</x:v>
      </x:c>
      <x:c r="E1598" s="147" t="s">
        <x:v>132</x:v>
      </x:c>
    </x:row>
    <x:row r="1599" spans="1:17">
      <x:c r="D1599" s="147" t="n">
        <x:v>10128599</x:v>
      </x:c>
      <x:c r="E1599" s="147" t="s">
        <x:v>154</x:v>
      </x:c>
    </x:row>
    <x:row r="1600" spans="1:17">
      <x:c r="D1600" s="147" t="n">
        <x:v>10128600</x:v>
      </x:c>
      <x:c r="E1600" s="147" t="s">
        <x:v>114</x:v>
      </x:c>
    </x:row>
    <x:row r="1601" spans="1:17">
      <x:c r="D1601" s="147" t="n">
        <x:v>10128579</x:v>
      </x:c>
      <x:c r="E1601" s="147" t="s">
        <x:v>154</x:v>
      </x:c>
    </x:row>
    <x:row r="1602" spans="1:17">
      <x:c r="D1602" s="147" t="n">
        <x:v>10128580</x:v>
      </x:c>
      <x:c r="E1602" s="147" t="s">
        <x:v>114</x:v>
      </x:c>
    </x:row>
    <x:row r="1603" spans="1:17">
      <x:c r="D1603" s="147" t="n">
        <x:v>10128581</x:v>
      </x:c>
      <x:c r="E1603" s="147" t="s">
        <x:v>114</x:v>
      </x:c>
    </x:row>
    <x:row r="1604" spans="1:17">
      <x:c r="D1604" s="147" t="n">
        <x:v>10128582</x:v>
      </x:c>
      <x:c r="E1604" s="147" t="s">
        <x:v>132</x:v>
      </x:c>
    </x:row>
    <x:row r="1605" spans="1:17">
      <x:c r="D1605" s="147" t="n">
        <x:v>10128595</x:v>
      </x:c>
      <x:c r="E1605" s="147" t="s">
        <x:v>132</x:v>
      </x:c>
    </x:row>
    <x:row r="1606" spans="1:17">
      <x:c r="D1606" s="147" t="n">
        <x:v>10128596</x:v>
      </x:c>
      <x:c r="E1606" s="147" t="s">
        <x:v>56</x:v>
      </x:c>
    </x:row>
    <x:row r="1607" spans="1:17">
      <x:c r="D1607" s="147" t="n">
        <x:v>10128597</x:v>
      </x:c>
      <x:c r="E1607" s="147" t="s">
        <x:v>114</x:v>
      </x:c>
    </x:row>
    <x:row r="1608" spans="1:17">
      <x:c r="D1608" s="147" t="n">
        <x:v>10128598</x:v>
      </x:c>
      <x:c r="E1608" s="147" t="s">
        <x:v>132</x:v>
      </x:c>
    </x:row>
    <x:row r="1609" spans="1:17">
      <x:c r="D1609" s="147" t="n">
        <x:v>10128599</x:v>
      </x:c>
      <x:c r="E1609" s="147" t="s">
        <x:v>154</x:v>
      </x:c>
    </x:row>
    <x:row r="1610" spans="1:17">
      <x:c r="D1610" s="147" t="n">
        <x:v>10128600</x:v>
      </x:c>
      <x:c r="E1610" s="147" t="s">
        <x:v>114</x:v>
      </x:c>
    </x:row>
    <x:row r="1611" spans="1:17">
      <x:c r="D1611" s="147" t="n">
        <x:v>10128579</x:v>
      </x:c>
      <x:c r="E1611" s="147" t="s">
        <x:v>154</x:v>
      </x:c>
    </x:row>
    <x:row r="1612" spans="1:17">
      <x:c r="D1612" s="147" t="n">
        <x:v>10128580</x:v>
      </x:c>
      <x:c r="E1612" s="147" t="s">
        <x:v>114</x:v>
      </x:c>
    </x:row>
    <x:row r="1613" spans="1:17">
      <x:c r="D1613" s="147" t="n">
        <x:v>10128581</x:v>
      </x:c>
      <x:c r="E1613" s="147" t="s">
        <x:v>114</x:v>
      </x:c>
    </x:row>
    <x:row r="1614" spans="1:17">
      <x:c r="D1614" s="147" t="n">
        <x:v>10128582</x:v>
      </x:c>
      <x:c r="E1614" s="147" t="s">
        <x:v>132</x:v>
      </x:c>
    </x:row>
    <x:row r="1615" spans="1:17">
      <x:c r="D1615" s="147" t="n">
        <x:v>10128595</x:v>
      </x:c>
      <x:c r="E1615" s="147" t="s">
        <x:v>132</x:v>
      </x:c>
    </x:row>
    <x:row r="1616" spans="1:17">
      <x:c r="D1616" s="147" t="n">
        <x:v>10128596</x:v>
      </x:c>
      <x:c r="E1616" s="147" t="s">
        <x:v>56</x:v>
      </x:c>
    </x:row>
    <x:row r="1617" spans="1:17">
      <x:c r="D1617" s="147" t="n">
        <x:v>10128597</x:v>
      </x:c>
      <x:c r="E1617" s="147" t="s">
        <x:v>114</x:v>
      </x:c>
    </x:row>
    <x:row r="1618" spans="1:17">
      <x:c r="D1618" s="147" t="n">
        <x:v>10128598</x:v>
      </x:c>
      <x:c r="E1618" s="147" t="s">
        <x:v>132</x:v>
      </x:c>
    </x:row>
    <x:row r="1619" spans="1:17">
      <x:c r="D1619" s="147" t="n">
        <x:v>10128599</x:v>
      </x:c>
      <x:c r="E1619" s="147" t="s">
        <x:v>154</x:v>
      </x:c>
    </x:row>
    <x:row r="1620" spans="1:17">
      <x:c r="D1620" s="147" t="n">
        <x:v>10128600</x:v>
      </x:c>
      <x:c r="E1620" s="147" t="s">
        <x:v>114</x:v>
      </x:c>
    </x:row>
    <x:row r="1621" spans="1:17">
      <x:c r="D1621" s="147" t="n">
        <x:v>10128579</x:v>
      </x:c>
      <x:c r="E1621" s="147" t="s">
        <x:v>154</x:v>
      </x:c>
    </x:row>
    <x:row r="1622" spans="1:17">
      <x:c r="D1622" s="147" t="n">
        <x:v>10128580</x:v>
      </x:c>
      <x:c r="E1622" s="147" t="s">
        <x:v>114</x:v>
      </x:c>
    </x:row>
    <x:row r="1623" spans="1:17">
      <x:c r="D1623" s="147" t="n">
        <x:v>10128581</x:v>
      </x:c>
      <x:c r="E1623" s="147" t="s">
        <x:v>114</x:v>
      </x:c>
    </x:row>
    <x:row r="1624" spans="1:17">
      <x:c r="D1624" s="147" t="n">
        <x:v>10128582</x:v>
      </x:c>
      <x:c r="E1624" s="147" t="s">
        <x:v>132</x:v>
      </x:c>
    </x:row>
    <x:row r="1625" spans="1:17">
      <x:c r="D1625" s="147" t="n">
        <x:v>10128595</x:v>
      </x:c>
      <x:c r="E1625" s="147" t="s">
        <x:v>132</x:v>
      </x:c>
    </x:row>
    <x:row r="1626" spans="1:17">
      <x:c r="D1626" s="147" t="n">
        <x:v>10128596</x:v>
      </x:c>
      <x:c r="E1626" s="147" t="s">
        <x:v>56</x:v>
      </x:c>
    </x:row>
    <x:row r="1627" spans="1:17">
      <x:c r="D1627" s="147" t="n">
        <x:v>10128597</x:v>
      </x:c>
      <x:c r="E1627" s="147" t="s">
        <x:v>114</x:v>
      </x:c>
    </x:row>
    <x:row r="1628" spans="1:17">
      <x:c r="D1628" s="147" t="n">
        <x:v>10128598</x:v>
      </x:c>
      <x:c r="E1628" s="147" t="s">
        <x:v>132</x:v>
      </x:c>
    </x:row>
    <x:row r="1629" spans="1:17">
      <x:c r="D1629" s="147" t="n">
        <x:v>10128599</x:v>
      </x:c>
      <x:c r="E1629" s="147" t="s">
        <x:v>154</x:v>
      </x:c>
    </x:row>
    <x:row r="1630" spans="1:17">
      <x:c r="D1630" s="147" t="n">
        <x:v>10128600</x:v>
      </x:c>
      <x:c r="E1630" s="147" t="s">
        <x:v>114</x:v>
      </x:c>
    </x:row>
    <x:row r="1631" spans="1:17">
      <x:c r="D1631" s="147" t="n">
        <x:v>10128579</x:v>
      </x:c>
      <x:c r="E1631" s="147" t="s">
        <x:v>154</x:v>
      </x:c>
    </x:row>
    <x:row r="1632" spans="1:17">
      <x:c r="D1632" s="147" t="n">
        <x:v>10128580</x:v>
      </x:c>
      <x:c r="E1632" s="147" t="s">
        <x:v>114</x:v>
      </x:c>
    </x:row>
    <x:row r="1633" spans="1:17">
      <x:c r="D1633" s="147" t="n">
        <x:v>10128581</x:v>
      </x:c>
      <x:c r="E1633" s="147" t="s">
        <x:v>114</x:v>
      </x:c>
    </x:row>
    <x:row r="1634" spans="1:17">
      <x:c r="D1634" s="147" t="n">
        <x:v>10128582</x:v>
      </x:c>
      <x:c r="E1634" s="147" t="s">
        <x:v>132</x:v>
      </x:c>
    </x:row>
    <x:row r="1635" spans="1:17">
      <x:c r="D1635" s="147" t="n">
        <x:v>10128595</x:v>
      </x:c>
      <x:c r="E1635" s="147" t="s">
        <x:v>132</x:v>
      </x:c>
    </x:row>
    <x:row r="1636" spans="1:17">
      <x:c r="D1636" s="147" t="n">
        <x:v>10128596</x:v>
      </x:c>
      <x:c r="E1636" s="147" t="s">
        <x:v>56</x:v>
      </x:c>
    </x:row>
    <x:row r="1637" spans="1:17">
      <x:c r="D1637" s="147" t="n">
        <x:v>10128597</x:v>
      </x:c>
      <x:c r="E1637" s="147" t="s">
        <x:v>114</x:v>
      </x:c>
    </x:row>
    <x:row r="1638" spans="1:17">
      <x:c r="D1638" s="147" t="n">
        <x:v>10128598</x:v>
      </x:c>
      <x:c r="E1638" s="147" t="s">
        <x:v>132</x:v>
      </x:c>
    </x:row>
    <x:row r="1639" spans="1:17">
      <x:c r="D1639" s="147" t="n">
        <x:v>10128599</x:v>
      </x:c>
      <x:c r="E1639" s="147" t="s">
        <x:v>154</x:v>
      </x:c>
    </x:row>
    <x:row r="1640" spans="1:17">
      <x:c r="D1640" s="147" t="n">
        <x:v>10128600</x:v>
      </x:c>
      <x:c r="E1640" s="147" t="s">
        <x:v>114</x:v>
      </x:c>
    </x:row>
    <x:row r="1641" spans="1:17">
      <x:c r="D1641" s="147" t="n">
        <x:v>10128579</x:v>
      </x:c>
      <x:c r="E1641" s="147" t="s">
        <x:v>154</x:v>
      </x:c>
    </x:row>
    <x:row r="1642" spans="1:17">
      <x:c r="D1642" s="147" t="n">
        <x:v>10128580</x:v>
      </x:c>
      <x:c r="E1642" s="147" t="s">
        <x:v>114</x:v>
      </x:c>
    </x:row>
    <x:row r="1643" spans="1:17">
      <x:c r="D1643" s="147" t="n">
        <x:v>10128581</x:v>
      </x:c>
      <x:c r="E1643" s="147" t="s">
        <x:v>114</x:v>
      </x:c>
    </x:row>
    <x:row r="1644" spans="1:17">
      <x:c r="D1644" s="147" t="n">
        <x:v>10128582</x:v>
      </x:c>
      <x:c r="E1644" s="147" t="s">
        <x:v>132</x:v>
      </x:c>
    </x:row>
    <x:row r="1645" spans="1:17">
      <x:c r="D1645" s="147" t="n">
        <x:v>10128595</x:v>
      </x:c>
      <x:c r="E1645" s="147" t="s">
        <x:v>132</x:v>
      </x:c>
    </x:row>
    <x:row r="1646" spans="1:17">
      <x:c r="D1646" s="147" t="n">
        <x:v>10128596</x:v>
      </x:c>
      <x:c r="E1646" s="147" t="s">
        <x:v>56</x:v>
      </x:c>
    </x:row>
    <x:row r="1647" spans="1:17">
      <x:c r="D1647" s="147" t="n">
        <x:v>10128597</x:v>
      </x:c>
      <x:c r="E1647" s="147" t="s">
        <x:v>114</x:v>
      </x:c>
    </x:row>
    <x:row r="1648" spans="1:17">
      <x:c r="D1648" s="147" t="n">
        <x:v>10128598</x:v>
      </x:c>
      <x:c r="E1648" s="147" t="s">
        <x:v>132</x:v>
      </x:c>
    </x:row>
    <x:row r="1649" spans="1:17">
      <x:c r="D1649" s="147" t="n">
        <x:v>10128599</x:v>
      </x:c>
      <x:c r="E1649" s="147" t="s">
        <x:v>154</x:v>
      </x:c>
    </x:row>
    <x:row r="1650" spans="1:17">
      <x:c r="D1650" s="147" t="n">
        <x:v>10128600</x:v>
      </x:c>
      <x:c r="E1650" s="147" t="s">
        <x:v>114</x:v>
      </x:c>
    </x:row>
    <x:row r="1651" spans="1:17">
      <x:c r="D1651" s="147" t="n">
        <x:v>10128579</x:v>
      </x:c>
      <x:c r="E1651" s="147" t="s">
        <x:v>154</x:v>
      </x:c>
    </x:row>
    <x:row r="1652" spans="1:17">
      <x:c r="D1652" s="147" t="n">
        <x:v>10128580</x:v>
      </x:c>
      <x:c r="E1652" s="147" t="s">
        <x:v>114</x:v>
      </x:c>
    </x:row>
    <x:row r="1653" spans="1:17">
      <x:c r="D1653" s="147" t="n">
        <x:v>10128581</x:v>
      </x:c>
      <x:c r="E1653" s="147" t="s">
        <x:v>114</x:v>
      </x:c>
    </x:row>
    <x:row r="1654" spans="1:17">
      <x:c r="D1654" s="147" t="n">
        <x:v>10128582</x:v>
      </x:c>
      <x:c r="E1654" s="147" t="s">
        <x:v>132</x:v>
      </x:c>
    </x:row>
    <x:row r="1655" spans="1:17">
      <x:c r="D1655" s="147" t="n">
        <x:v>10128595</x:v>
      </x:c>
      <x:c r="E1655" s="147" t="s">
        <x:v>132</x:v>
      </x:c>
    </x:row>
    <x:row r="1656" spans="1:17">
      <x:c r="D1656" s="147" t="n">
        <x:v>10128596</x:v>
      </x:c>
      <x:c r="E1656" s="147" t="s">
        <x:v>56</x:v>
      </x:c>
    </x:row>
    <x:row r="1657" spans="1:17">
      <x:c r="D1657" s="147" t="n">
        <x:v>10128597</x:v>
      </x:c>
      <x:c r="E1657" s="147" t="s">
        <x:v>114</x:v>
      </x:c>
    </x:row>
    <x:row r="1658" spans="1:17">
      <x:c r="D1658" s="147" t="n">
        <x:v>10128598</x:v>
      </x:c>
      <x:c r="E1658" s="147" t="s">
        <x:v>132</x:v>
      </x:c>
    </x:row>
    <x:row r="1659" spans="1:17">
      <x:c r="D1659" s="147" t="n">
        <x:v>10128599</x:v>
      </x:c>
      <x:c r="E1659" s="147" t="s">
        <x:v>154</x:v>
      </x:c>
    </x:row>
    <x:row r="1660" spans="1:17">
      <x:c r="D1660" s="147" t="n">
        <x:v>10128600</x:v>
      </x:c>
      <x:c r="E1660" s="147" t="s">
        <x:v>114</x:v>
      </x:c>
    </x:row>
    <x:row r="1661" spans="1:17">
      <x:c r="D1661" s="147" t="n">
        <x:v>10128579</x:v>
      </x:c>
      <x:c r="E1661" s="147" t="s">
        <x:v>154</x:v>
      </x:c>
    </x:row>
    <x:row r="1662" spans="1:17">
      <x:c r="D1662" s="147" t="n">
        <x:v>10128580</x:v>
      </x:c>
      <x:c r="E1662" s="147" t="s">
        <x:v>114</x:v>
      </x:c>
    </x:row>
    <x:row r="1663" spans="1:17">
      <x:c r="D1663" s="147" t="n">
        <x:v>10128581</x:v>
      </x:c>
      <x:c r="E1663" s="147" t="s">
        <x:v>114</x:v>
      </x:c>
    </x:row>
    <x:row r="1664" spans="1:17">
      <x:c r="D1664" s="147" t="n">
        <x:v>10128582</x:v>
      </x:c>
      <x:c r="E1664" s="147" t="s">
        <x:v>132</x:v>
      </x:c>
    </x:row>
    <x:row r="1665" spans="1:17">
      <x:c r="D1665" s="147" t="n">
        <x:v>10128595</x:v>
      </x:c>
      <x:c r="E1665" s="147" t="s">
        <x:v>132</x:v>
      </x:c>
    </x:row>
    <x:row r="1666" spans="1:17">
      <x:c r="D1666" s="147" t="n">
        <x:v>10128596</x:v>
      </x:c>
      <x:c r="E1666" s="147" t="s">
        <x:v>56</x:v>
      </x:c>
    </x:row>
    <x:row r="1667" spans="1:17">
      <x:c r="D1667" s="147" t="n">
        <x:v>10128597</x:v>
      </x:c>
      <x:c r="E1667" s="147" t="s">
        <x:v>114</x:v>
      </x:c>
    </x:row>
    <x:row r="1668" spans="1:17">
      <x:c r="D1668" s="147" t="n">
        <x:v>10128598</x:v>
      </x:c>
      <x:c r="E1668" s="147" t="s">
        <x:v>132</x:v>
      </x:c>
    </x:row>
    <x:row r="1669" spans="1:17">
      <x:c r="D1669" s="147" t="n">
        <x:v>10128599</x:v>
      </x:c>
      <x:c r="E1669" s="147" t="s">
        <x:v>154</x:v>
      </x:c>
    </x:row>
    <x:row r="1670" spans="1:17">
      <x:c r="D1670" s="147" t="n">
        <x:v>10128600</x:v>
      </x:c>
      <x:c r="E1670" s="147" t="s">
        <x:v>114</x:v>
      </x:c>
    </x:row>
    <x:row r="1671" spans="1:17">
      <x:c r="D1671" s="147" t="n">
        <x:v>10128579</x:v>
      </x:c>
      <x:c r="E1671" s="147" t="s">
        <x:v>154</x:v>
      </x:c>
    </x:row>
    <x:row r="1672" spans="1:17">
      <x:c r="D1672" s="147" t="n">
        <x:v>10128580</x:v>
      </x:c>
      <x:c r="E1672" s="147" t="s">
        <x:v>114</x:v>
      </x:c>
    </x:row>
    <x:row r="1673" spans="1:17">
      <x:c r="D1673" s="147" t="n">
        <x:v>10128581</x:v>
      </x:c>
      <x:c r="E1673" s="147" t="s">
        <x:v>114</x:v>
      </x:c>
    </x:row>
    <x:row r="1674" spans="1:17">
      <x:c r="D1674" s="147" t="n">
        <x:v>10128582</x:v>
      </x:c>
      <x:c r="E1674" s="147" t="s">
        <x:v>132</x:v>
      </x:c>
    </x:row>
    <x:row r="1675" spans="1:17">
      <x:c r="D1675" s="147" t="n">
        <x:v>10128595</x:v>
      </x:c>
      <x:c r="E1675" s="147" t="s">
        <x:v>132</x:v>
      </x:c>
    </x:row>
    <x:row r="1676" spans="1:17">
      <x:c r="D1676" s="147" t="n">
        <x:v>10128596</x:v>
      </x:c>
      <x:c r="E1676" s="147" t="s">
        <x:v>56</x:v>
      </x:c>
    </x:row>
    <x:row r="1677" spans="1:17">
      <x:c r="D1677" s="147" t="n">
        <x:v>10128597</x:v>
      </x:c>
      <x:c r="E1677" s="147" t="s">
        <x:v>114</x:v>
      </x:c>
    </x:row>
    <x:row r="1678" spans="1:17">
      <x:c r="D1678" s="147" t="n">
        <x:v>10128598</x:v>
      </x:c>
      <x:c r="E1678" s="147" t="s">
        <x:v>132</x:v>
      </x:c>
    </x:row>
    <x:row r="1679" spans="1:17">
      <x:c r="D1679" s="147" t="n">
        <x:v>10128599</x:v>
      </x:c>
      <x:c r="E1679" s="147" t="s">
        <x:v>154</x:v>
      </x:c>
    </x:row>
    <x:row r="1680" spans="1:17">
      <x:c r="D1680" s="147" t="n">
        <x:v>10128600</x:v>
      </x:c>
      <x:c r="E1680" s="147" t="s">
        <x:v>114</x:v>
      </x:c>
    </x:row>
    <x:row r="1681" spans="1:17">
      <x:c r="D1681" s="147" t="n">
        <x:v>10128579</x:v>
      </x:c>
      <x:c r="E1681" s="147" t="s">
        <x:v>154</x:v>
      </x:c>
    </x:row>
    <x:row r="1682" spans="1:17">
      <x:c r="D1682" s="147" t="n">
        <x:v>10128580</x:v>
      </x:c>
      <x:c r="E1682" s="147" t="s">
        <x:v>114</x:v>
      </x:c>
    </x:row>
    <x:row r="1683" spans="1:17">
      <x:c r="D1683" s="147" t="n">
        <x:v>10128581</x:v>
      </x:c>
      <x:c r="E1683" s="147" t="s">
        <x:v>114</x:v>
      </x:c>
    </x:row>
    <x:row r="1684" spans="1:17">
      <x:c r="D1684" s="147" t="n">
        <x:v>10128582</x:v>
      </x:c>
      <x:c r="E1684" s="147" t="s">
        <x:v>132</x:v>
      </x:c>
    </x:row>
    <x:row r="1685" spans="1:17">
      <x:c r="D1685" s="147" t="n">
        <x:v>10128595</x:v>
      </x:c>
      <x:c r="E1685" s="147" t="s">
        <x:v>132</x:v>
      </x:c>
    </x:row>
    <x:row r="1686" spans="1:17">
      <x:c r="D1686" s="147" t="n">
        <x:v>10128596</x:v>
      </x:c>
      <x:c r="E1686" s="147" t="s">
        <x:v>56</x:v>
      </x:c>
    </x:row>
    <x:row r="1687" spans="1:17">
      <x:c r="D1687" s="147" t="n">
        <x:v>10128597</x:v>
      </x:c>
      <x:c r="E1687" s="147" t="s">
        <x:v>114</x:v>
      </x:c>
    </x:row>
    <x:row r="1688" spans="1:17">
      <x:c r="D1688" s="147" t="n">
        <x:v>10128598</x:v>
      </x:c>
      <x:c r="E1688" s="147" t="s">
        <x:v>132</x:v>
      </x:c>
    </x:row>
    <x:row r="1689" spans="1:17">
      <x:c r="D1689" s="147" t="n">
        <x:v>10128599</x:v>
      </x:c>
      <x:c r="E1689" s="147" t="s">
        <x:v>154</x:v>
      </x:c>
    </x:row>
    <x:row r="1690" spans="1:17">
      <x:c r="D1690" s="147" t="n">
        <x:v>10128600</x:v>
      </x:c>
      <x:c r="E1690" s="147" t="s">
        <x:v>114</x:v>
      </x:c>
    </x:row>
    <x:row r="1691" spans="1:17">
      <x:c r="D1691" s="147" t="n">
        <x:v>10128579</x:v>
      </x:c>
      <x:c r="E1691" s="147" t="s">
        <x:v>154</x:v>
      </x:c>
    </x:row>
    <x:row r="1692" spans="1:17">
      <x:c r="D1692" s="147" t="n">
        <x:v>10128580</x:v>
      </x:c>
      <x:c r="E1692" s="147" t="s">
        <x:v>114</x:v>
      </x:c>
    </x:row>
    <x:row r="1693" spans="1:17">
      <x:c r="D1693" s="147" t="n">
        <x:v>10128581</x:v>
      </x:c>
      <x:c r="E1693" s="147" t="s">
        <x:v>114</x:v>
      </x:c>
    </x:row>
    <x:row r="1694" spans="1:17">
      <x:c r="D1694" s="147" t="n">
        <x:v>10128582</x:v>
      </x:c>
      <x:c r="E1694" s="147" t="s">
        <x:v>132</x:v>
      </x:c>
    </x:row>
    <x:row r="1695" spans="1:17">
      <x:c r="D1695" s="147" t="n">
        <x:v>10128595</x:v>
      </x:c>
      <x:c r="E1695" s="147" t="s">
        <x:v>132</x:v>
      </x:c>
    </x:row>
    <x:row r="1696" spans="1:17">
      <x:c r="D1696" s="147" t="n">
        <x:v>10128596</x:v>
      </x:c>
      <x:c r="E1696" s="147" t="s">
        <x:v>56</x:v>
      </x:c>
    </x:row>
    <x:row r="1697" spans="1:17">
      <x:c r="D1697" s="147" t="n">
        <x:v>10128597</x:v>
      </x:c>
      <x:c r="E1697" s="147" t="s">
        <x:v>114</x:v>
      </x:c>
    </x:row>
    <x:row r="1698" spans="1:17">
      <x:c r="D1698" s="147" t="n">
        <x:v>10128598</x:v>
      </x:c>
      <x:c r="E1698" s="147" t="s">
        <x:v>132</x:v>
      </x:c>
    </x:row>
    <x:row r="1699" spans="1:17">
      <x:c r="D1699" s="147" t="n">
        <x:v>10128599</x:v>
      </x:c>
      <x:c r="E1699" s="147" t="s">
        <x:v>154</x:v>
      </x:c>
    </x:row>
    <x:row r="1700" spans="1:17">
      <x:c r="D1700" s="147" t="n">
        <x:v>10128600</x:v>
      </x:c>
      <x:c r="E1700" s="147" t="s">
        <x:v>114</x:v>
      </x:c>
    </x:row>
    <x:row r="1701" spans="1:17">
      <x:c r="D1701" s="147" t="n">
        <x:v>10128579</x:v>
      </x:c>
      <x:c r="E1701" s="147" t="s">
        <x:v>154</x:v>
      </x:c>
    </x:row>
    <x:row r="1702" spans="1:17">
      <x:c r="D1702" s="147" t="n">
        <x:v>10128580</x:v>
      </x:c>
      <x:c r="E1702" s="147" t="s">
        <x:v>114</x:v>
      </x:c>
    </x:row>
    <x:row r="1703" spans="1:17">
      <x:c r="D1703" s="147" t="n">
        <x:v>10128581</x:v>
      </x:c>
      <x:c r="E1703" s="147" t="s">
        <x:v>114</x:v>
      </x:c>
    </x:row>
    <x:row r="1704" spans="1:17">
      <x:c r="D1704" s="147" t="n">
        <x:v>10128582</x:v>
      </x:c>
      <x:c r="E1704" s="147" t="s">
        <x:v>132</x:v>
      </x:c>
    </x:row>
    <x:row r="1705" spans="1:17">
      <x:c r="D1705" s="147" t="n">
        <x:v>10128595</x:v>
      </x:c>
      <x:c r="E1705" s="147" t="s">
        <x:v>132</x:v>
      </x:c>
    </x:row>
    <x:row r="1706" spans="1:17">
      <x:c r="D1706" s="147" t="n">
        <x:v>10128596</x:v>
      </x:c>
      <x:c r="E1706" s="147" t="s">
        <x:v>56</x:v>
      </x:c>
    </x:row>
    <x:row r="1707" spans="1:17">
      <x:c r="D1707" s="147" t="n">
        <x:v>10128597</x:v>
      </x:c>
      <x:c r="E1707" s="147" t="s">
        <x:v>114</x:v>
      </x:c>
    </x:row>
    <x:row r="1708" spans="1:17">
      <x:c r="D1708" s="147" t="n">
        <x:v>10128598</x:v>
      </x:c>
      <x:c r="E1708" s="147" t="s">
        <x:v>132</x:v>
      </x:c>
    </x:row>
    <x:row r="1709" spans="1:17">
      <x:c r="D1709" s="147" t="n">
        <x:v>10128599</x:v>
      </x:c>
      <x:c r="E1709" s="147" t="s">
        <x:v>154</x:v>
      </x:c>
    </x:row>
    <x:row r="1710" spans="1:17">
      <x:c r="D1710" s="147" t="n">
        <x:v>10128600</x:v>
      </x:c>
      <x:c r="E1710" s="147" t="s">
        <x:v>114</x:v>
      </x:c>
    </x:row>
    <x:row r="1711" spans="1:17">
      <x:c r="D1711" s="147" t="n">
        <x:v>10128579</x:v>
      </x:c>
      <x:c r="E1711" s="147" t="s">
        <x:v>154</x:v>
      </x:c>
    </x:row>
    <x:row r="1712" spans="1:17">
      <x:c r="D1712" s="147" t="n">
        <x:v>10128580</x:v>
      </x:c>
      <x:c r="E1712" s="147" t="s">
        <x:v>114</x:v>
      </x:c>
    </x:row>
    <x:row r="1713" spans="1:17">
      <x:c r="D1713" s="147" t="n">
        <x:v>10128581</x:v>
      </x:c>
      <x:c r="E1713" s="147" t="s">
        <x:v>114</x:v>
      </x:c>
    </x:row>
    <x:row r="1714" spans="1:17">
      <x:c r="D1714" s="147" t="n">
        <x:v>10128582</x:v>
      </x:c>
      <x:c r="E1714" s="147" t="s">
        <x:v>132</x:v>
      </x:c>
    </x:row>
    <x:row r="1715" spans="1:17">
      <x:c r="D1715" s="147" t="n">
        <x:v>10128595</x:v>
      </x:c>
      <x:c r="E1715" s="147" t="s">
        <x:v>132</x:v>
      </x:c>
    </x:row>
    <x:row r="1716" spans="1:17">
      <x:c r="D1716" s="147" t="n">
        <x:v>10128596</x:v>
      </x:c>
      <x:c r="E1716" s="147" t="s">
        <x:v>56</x:v>
      </x:c>
    </x:row>
    <x:row r="1717" spans="1:17">
      <x:c r="D1717" s="147" t="n">
        <x:v>10128597</x:v>
      </x:c>
      <x:c r="E1717" s="147" t="s">
        <x:v>114</x:v>
      </x:c>
    </x:row>
    <x:row r="1718" spans="1:17">
      <x:c r="D1718" s="147" t="n">
        <x:v>10128598</x:v>
      </x:c>
      <x:c r="E1718" s="147" t="s">
        <x:v>132</x:v>
      </x:c>
    </x:row>
    <x:row r="1719" spans="1:17">
      <x:c r="D1719" s="147" t="n">
        <x:v>10128599</x:v>
      </x:c>
      <x:c r="E1719" s="147" t="s">
        <x:v>154</x:v>
      </x:c>
    </x:row>
    <x:row r="1720" spans="1:17">
      <x:c r="D1720" s="147" t="n">
        <x:v>10128600</x:v>
      </x:c>
      <x:c r="E1720" s="147" t="s">
        <x:v>114</x:v>
      </x:c>
    </x:row>
    <x:row r="1721" spans="1:17">
      <x:c r="D1721" s="147" t="n">
        <x:v>10128579</x:v>
      </x:c>
      <x:c r="E1721" s="147" t="s">
        <x:v>154</x:v>
      </x:c>
    </x:row>
    <x:row r="1722" spans="1:17">
      <x:c r="D1722" s="147" t="n">
        <x:v>10128580</x:v>
      </x:c>
      <x:c r="E1722" s="147" t="s">
        <x:v>114</x:v>
      </x:c>
    </x:row>
    <x:row r="1723" spans="1:17">
      <x:c r="D1723" s="147" t="n">
        <x:v>10128581</x:v>
      </x:c>
      <x:c r="E1723" s="147" t="s">
        <x:v>114</x:v>
      </x:c>
    </x:row>
    <x:row r="1724" spans="1:17">
      <x:c r="D1724" s="147" t="n">
        <x:v>10128582</x:v>
      </x:c>
      <x:c r="E1724" s="147" t="s">
        <x:v>132</x:v>
      </x:c>
    </x:row>
    <x:row r="1725" spans="1:17">
      <x:c r="D1725" s="147" t="n">
        <x:v>10128595</x:v>
      </x:c>
      <x:c r="E1725" s="147" t="s">
        <x:v>132</x:v>
      </x:c>
    </x:row>
    <x:row r="1726" spans="1:17">
      <x:c r="D1726" s="147" t="n">
        <x:v>10128596</x:v>
      </x:c>
      <x:c r="E1726" s="147" t="s">
        <x:v>56</x:v>
      </x:c>
    </x:row>
    <x:row r="1727" spans="1:17">
      <x:c r="D1727" s="147" t="n">
        <x:v>10128597</x:v>
      </x:c>
      <x:c r="E1727" s="147" t="s">
        <x:v>114</x:v>
      </x:c>
    </x:row>
    <x:row r="1728" spans="1:17">
      <x:c r="D1728" s="147" t="n">
        <x:v>10128598</x:v>
      </x:c>
      <x:c r="E1728" s="147" t="s">
        <x:v>132</x:v>
      </x:c>
    </x:row>
    <x:row r="1729" spans="1:17">
      <x:c r="D1729" s="147" t="n">
        <x:v>10128599</x:v>
      </x:c>
      <x:c r="E1729" s="147" t="s">
        <x:v>154</x:v>
      </x:c>
    </x:row>
    <x:row r="1730" spans="1:17">
      <x:c r="D1730" s="147" t="n">
        <x:v>10128600</x:v>
      </x:c>
      <x:c r="E1730" s="147" t="s">
        <x:v>114</x:v>
      </x:c>
    </x:row>
    <x:row r="1731" spans="1:17">
      <x:c r="D1731" s="147" t="n">
        <x:v>10128579</x:v>
      </x:c>
      <x:c r="E1731" s="147" t="s">
        <x:v>154</x:v>
      </x:c>
    </x:row>
    <x:row r="1732" spans="1:17">
      <x:c r="D1732" s="147" t="n">
        <x:v>10128580</x:v>
      </x:c>
      <x:c r="E1732" s="147" t="s">
        <x:v>114</x:v>
      </x:c>
    </x:row>
    <x:row r="1733" spans="1:17">
      <x:c r="D1733" s="147" t="n">
        <x:v>10128581</x:v>
      </x:c>
      <x:c r="E1733" s="147" t="s">
        <x:v>114</x:v>
      </x:c>
    </x:row>
    <x:row r="1734" spans="1:17">
      <x:c r="D1734" s="147" t="n">
        <x:v>10128582</x:v>
      </x:c>
      <x:c r="E1734" s="147" t="s">
        <x:v>132</x:v>
      </x:c>
    </x:row>
    <x:row r="1735" spans="1:17">
      <x:c r="D1735" s="147" t="n">
        <x:v>10128595</x:v>
      </x:c>
      <x:c r="E1735" s="147" t="s">
        <x:v>132</x:v>
      </x:c>
    </x:row>
    <x:row r="1736" spans="1:17">
      <x:c r="D1736" s="147" t="n">
        <x:v>10128596</x:v>
      </x:c>
      <x:c r="E1736" s="147" t="s">
        <x:v>56</x:v>
      </x:c>
    </x:row>
    <x:row r="1737" spans="1:17">
      <x:c r="D1737" s="147" t="n">
        <x:v>10128597</x:v>
      </x:c>
      <x:c r="E1737" s="147" t="s">
        <x:v>114</x:v>
      </x:c>
    </x:row>
    <x:row r="1738" spans="1:17">
      <x:c r="D1738" s="147" t="n">
        <x:v>10128598</x:v>
      </x:c>
      <x:c r="E1738" s="147" t="s">
        <x:v>132</x:v>
      </x:c>
    </x:row>
    <x:row r="1739" spans="1:17">
      <x:c r="D1739" s="147" t="n">
        <x:v>10128599</x:v>
      </x:c>
      <x:c r="E1739" s="147" t="s">
        <x:v>154</x:v>
      </x:c>
    </x:row>
    <x:row r="1740" spans="1:17">
      <x:c r="D1740" s="147" t="n">
        <x:v>10128600</x:v>
      </x:c>
      <x:c r="E1740" s="147" t="s">
        <x:v>114</x:v>
      </x:c>
    </x:row>
    <x:row r="1741" spans="1:17">
      <x:c r="D1741" s="147" t="n">
        <x:v>10128579</x:v>
      </x:c>
      <x:c r="E1741" s="147" t="s">
        <x:v>154</x:v>
      </x:c>
    </x:row>
    <x:row r="1742" spans="1:17">
      <x:c r="D1742" s="147" t="n">
        <x:v>10128580</x:v>
      </x:c>
      <x:c r="E1742" s="147" t="s">
        <x:v>114</x:v>
      </x:c>
    </x:row>
    <x:row r="1743" spans="1:17">
      <x:c r="D1743" s="147" t="n">
        <x:v>10128581</x:v>
      </x:c>
      <x:c r="E1743" s="147" t="s">
        <x:v>114</x:v>
      </x:c>
    </x:row>
    <x:row r="1744" spans="1:17">
      <x:c r="D1744" s="147" t="n">
        <x:v>10128582</x:v>
      </x:c>
      <x:c r="E1744" s="147" t="s">
        <x:v>132</x:v>
      </x:c>
    </x:row>
    <x:row r="1745" spans="1:17">
      <x:c r="D1745" s="147" t="n">
        <x:v>10128595</x:v>
      </x:c>
      <x:c r="E1745" s="147" t="s">
        <x:v>132</x:v>
      </x:c>
    </x:row>
    <x:row r="1746" spans="1:17">
      <x:c r="D1746" s="147" t="n">
        <x:v>10128596</x:v>
      </x:c>
      <x:c r="E1746" s="147" t="s">
        <x:v>56</x:v>
      </x:c>
    </x:row>
    <x:row r="1747" spans="1:17">
      <x:c r="D1747" s="147" t="n">
        <x:v>10128597</x:v>
      </x:c>
      <x:c r="E1747" s="147" t="s">
        <x:v>114</x:v>
      </x:c>
    </x:row>
    <x:row r="1748" spans="1:17">
      <x:c r="D1748" s="147" t="n">
        <x:v>10128598</x:v>
      </x:c>
      <x:c r="E1748" s="147" t="s">
        <x:v>132</x:v>
      </x:c>
    </x:row>
    <x:row r="1749" spans="1:17">
      <x:c r="D1749" s="147" t="n">
        <x:v>10128599</x:v>
      </x:c>
      <x:c r="E1749" s="147" t="s">
        <x:v>154</x:v>
      </x:c>
    </x:row>
    <x:row r="1750" spans="1:17">
      <x:c r="D1750" s="147" t="n">
        <x:v>10128600</x:v>
      </x:c>
      <x:c r="E1750" s="147" t="s">
        <x:v>114</x:v>
      </x:c>
    </x:row>
    <x:row r="1751" spans="1:17">
      <x:c r="D1751" s="147" t="n">
        <x:v>10128579</x:v>
      </x:c>
      <x:c r="E1751" s="147" t="s">
        <x:v>154</x:v>
      </x:c>
    </x:row>
    <x:row r="1752" spans="1:17">
      <x:c r="D1752" s="147" t="n">
        <x:v>10128580</x:v>
      </x:c>
      <x:c r="E1752" s="147" t="s">
        <x:v>114</x:v>
      </x:c>
    </x:row>
    <x:row r="1753" spans="1:17">
      <x:c r="D1753" s="147" t="n">
        <x:v>10128581</x:v>
      </x:c>
      <x:c r="E1753" s="147" t="s">
        <x:v>114</x:v>
      </x:c>
    </x:row>
    <x:row r="1754" spans="1:17">
      <x:c r="D1754" s="147" t="n">
        <x:v>10128582</x:v>
      </x:c>
      <x:c r="E1754" s="147" t="s">
        <x:v>132</x:v>
      </x:c>
    </x:row>
    <x:row r="1755" spans="1:17">
      <x:c r="D1755" s="147" t="n">
        <x:v>10128595</x:v>
      </x:c>
      <x:c r="E1755" s="147" t="s">
        <x:v>132</x:v>
      </x:c>
    </x:row>
    <x:row r="1756" spans="1:17">
      <x:c r="D1756" s="147" t="n">
        <x:v>10128596</x:v>
      </x:c>
      <x:c r="E1756" s="147" t="s">
        <x:v>56</x:v>
      </x:c>
    </x:row>
    <x:row r="1757" spans="1:17">
      <x:c r="D1757" s="147" t="n">
        <x:v>10128597</x:v>
      </x:c>
      <x:c r="E1757" s="147" t="s">
        <x:v>114</x:v>
      </x:c>
    </x:row>
    <x:row r="1758" spans="1:17">
      <x:c r="D1758" s="147" t="n">
        <x:v>10128598</x:v>
      </x:c>
      <x:c r="E1758" s="147" t="s">
        <x:v>132</x:v>
      </x:c>
    </x:row>
    <x:row r="1759" spans="1:17">
      <x:c r="D1759" s="147" t="n">
        <x:v>10128599</x:v>
      </x:c>
      <x:c r="E1759" s="147" t="s">
        <x:v>154</x:v>
      </x:c>
    </x:row>
    <x:row r="1760" spans="1:17">
      <x:c r="D1760" s="147" t="n">
        <x:v>10128600</x:v>
      </x:c>
      <x:c r="E1760" s="147" t="s">
        <x:v>114</x:v>
      </x:c>
    </x:row>
    <x:row r="1761" spans="1:17">
      <x:c r="D1761" s="147" t="n">
        <x:v>10128579</x:v>
      </x:c>
      <x:c r="E1761" s="147" t="s">
        <x:v>154</x:v>
      </x:c>
    </x:row>
    <x:row r="1762" spans="1:17">
      <x:c r="D1762" s="147" t="n">
        <x:v>10128580</x:v>
      </x:c>
      <x:c r="E1762" s="147" t="s">
        <x:v>114</x:v>
      </x:c>
    </x:row>
    <x:row r="1763" spans="1:17">
      <x:c r="D1763" s="147" t="n">
        <x:v>10128581</x:v>
      </x:c>
      <x:c r="E1763" s="147" t="s">
        <x:v>114</x:v>
      </x:c>
    </x:row>
    <x:row r="1764" spans="1:17">
      <x:c r="D1764" s="147" t="n">
        <x:v>10128582</x:v>
      </x:c>
      <x:c r="E1764" s="147" t="s">
        <x:v>132</x:v>
      </x:c>
    </x:row>
    <x:row r="1765" spans="1:17">
      <x:c r="D1765" s="147" t="n">
        <x:v>10128595</x:v>
      </x:c>
      <x:c r="E1765" s="147" t="s">
        <x:v>132</x:v>
      </x:c>
    </x:row>
    <x:row r="1766" spans="1:17">
      <x:c r="D1766" s="147" t="n">
        <x:v>10128596</x:v>
      </x:c>
      <x:c r="E1766" s="147" t="s">
        <x:v>56</x:v>
      </x:c>
    </x:row>
    <x:row r="1767" spans="1:17">
      <x:c r="D1767" s="147" t="n">
        <x:v>10128597</x:v>
      </x:c>
      <x:c r="E1767" s="147" t="s">
        <x:v>114</x:v>
      </x:c>
    </x:row>
    <x:row r="1768" spans="1:17">
      <x:c r="D1768" s="147" t="n">
        <x:v>10128598</x:v>
      </x:c>
      <x:c r="E1768" s="147" t="s">
        <x:v>132</x:v>
      </x:c>
    </x:row>
    <x:row r="1769" spans="1:17">
      <x:c r="D1769" s="147" t="n">
        <x:v>10128599</x:v>
      </x:c>
      <x:c r="E1769" s="147" t="s">
        <x:v>154</x:v>
      </x:c>
    </x:row>
    <x:row r="1770" spans="1:17">
      <x:c r="D1770" s="147" t="n">
        <x:v>10128600</x:v>
      </x:c>
      <x:c r="E1770" s="147" t="s">
        <x:v>114</x:v>
      </x:c>
    </x:row>
    <x:row r="1771" spans="1:17">
      <x:c r="D1771" s="147" t="n">
        <x:v>10128579</x:v>
      </x:c>
      <x:c r="E1771" s="147" t="s">
        <x:v>154</x:v>
      </x:c>
    </x:row>
    <x:row r="1772" spans="1:17">
      <x:c r="D1772" s="147" t="n">
        <x:v>10128580</x:v>
      </x:c>
      <x:c r="E1772" s="147" t="s">
        <x:v>114</x:v>
      </x:c>
    </x:row>
    <x:row r="1773" spans="1:17">
      <x:c r="D1773" s="147" t="n">
        <x:v>10128581</x:v>
      </x:c>
      <x:c r="E1773" s="147" t="s">
        <x:v>114</x:v>
      </x:c>
    </x:row>
    <x:row r="1774" spans="1:17">
      <x:c r="D1774" s="147" t="n">
        <x:v>10128582</x:v>
      </x:c>
      <x:c r="E1774" s="147" t="s">
        <x:v>132</x:v>
      </x:c>
    </x:row>
    <x:row r="1775" spans="1:17">
      <x:c r="D1775" s="147" t="n">
        <x:v>10128595</x:v>
      </x:c>
      <x:c r="E1775" s="147" t="s">
        <x:v>132</x:v>
      </x:c>
    </x:row>
    <x:row r="1776" spans="1:17">
      <x:c r="D1776" s="147" t="n">
        <x:v>10128596</x:v>
      </x:c>
      <x:c r="E1776" s="147" t="s">
        <x:v>56</x:v>
      </x:c>
    </x:row>
    <x:row r="1777" spans="1:17">
      <x:c r="D1777" s="147" t="n">
        <x:v>10128597</x:v>
      </x:c>
      <x:c r="E1777" s="147" t="s">
        <x:v>114</x:v>
      </x:c>
    </x:row>
    <x:row r="1778" spans="1:17">
      <x:c r="D1778" s="147" t="n">
        <x:v>10128598</x:v>
      </x:c>
      <x:c r="E1778" s="147" t="s">
        <x:v>132</x:v>
      </x:c>
    </x:row>
    <x:row r="1779" spans="1:17">
      <x:c r="D1779" s="147" t="n">
        <x:v>10128599</x:v>
      </x:c>
      <x:c r="E1779" s="147" t="s">
        <x:v>154</x:v>
      </x:c>
    </x:row>
    <x:row r="1780" spans="1:17">
      <x:c r="D1780" s="147" t="n">
        <x:v>10128600</x:v>
      </x:c>
      <x:c r="E1780" s="147" t="s">
        <x:v>114</x:v>
      </x:c>
    </x:row>
    <x:row r="1781" spans="1:17">
      <x:c r="D1781" s="147" t="n">
        <x:v>10128579</x:v>
      </x:c>
      <x:c r="E1781" s="147" t="s">
        <x:v>154</x:v>
      </x:c>
    </x:row>
    <x:row r="1782" spans="1:17">
      <x:c r="D1782" s="147" t="n">
        <x:v>10128580</x:v>
      </x:c>
      <x:c r="E1782" s="147" t="s">
        <x:v>114</x:v>
      </x:c>
    </x:row>
    <x:row r="1783" spans="1:17">
      <x:c r="D1783" s="147" t="n">
        <x:v>10128581</x:v>
      </x:c>
      <x:c r="E1783" s="147" t="s">
        <x:v>114</x:v>
      </x:c>
    </x:row>
    <x:row r="1784" spans="1:17">
      <x:c r="D1784" s="147" t="n">
        <x:v>10128582</x:v>
      </x:c>
      <x:c r="E1784" s="147" t="s">
        <x:v>132</x:v>
      </x:c>
    </x:row>
    <x:row r="1785" spans="1:17">
      <x:c r="D1785" s="147" t="n">
        <x:v>10128595</x:v>
      </x:c>
      <x:c r="E1785" s="147" t="s">
        <x:v>132</x:v>
      </x:c>
    </x:row>
    <x:row r="1786" spans="1:17">
      <x:c r="D1786" s="147" t="n">
        <x:v>10128596</x:v>
      </x:c>
      <x:c r="E1786" s="147" t="s">
        <x:v>56</x:v>
      </x:c>
    </x:row>
    <x:row r="1787" spans="1:17">
      <x:c r="D1787" s="147" t="n">
        <x:v>10128597</x:v>
      </x:c>
      <x:c r="E1787" s="147" t="s">
        <x:v>114</x:v>
      </x:c>
    </x:row>
    <x:row r="1788" spans="1:17">
      <x:c r="D1788" s="147" t="n">
        <x:v>10128598</x:v>
      </x:c>
      <x:c r="E1788" s="147" t="s">
        <x:v>132</x:v>
      </x:c>
    </x:row>
    <x:row r="1789" spans="1:17">
      <x:c r="D1789" s="147" t="n">
        <x:v>10128599</x:v>
      </x:c>
      <x:c r="E1789" s="147" t="s">
        <x:v>154</x:v>
      </x:c>
    </x:row>
    <x:row r="1790" spans="1:17">
      <x:c r="D1790" s="147" t="n">
        <x:v>10128600</x:v>
      </x:c>
      <x:c r="E1790" s="147" t="s">
        <x:v>114</x:v>
      </x:c>
    </x:row>
    <x:row r="1791" spans="1:17">
      <x:c r="D1791" s="147" t="n">
        <x:v>10128579</x:v>
      </x:c>
      <x:c r="E1791" s="147" t="s">
        <x:v>154</x:v>
      </x:c>
    </x:row>
    <x:row r="1792" spans="1:17">
      <x:c r="D1792" s="147" t="n">
        <x:v>10128580</x:v>
      </x:c>
      <x:c r="E1792" s="147" t="s">
        <x:v>114</x:v>
      </x:c>
    </x:row>
    <x:row r="1793" spans="1:17">
      <x:c r="D1793" s="147" t="n">
        <x:v>10128581</x:v>
      </x:c>
      <x:c r="E1793" s="147" t="s">
        <x:v>114</x:v>
      </x:c>
    </x:row>
    <x:row r="1794" spans="1:17">
      <x:c r="D1794" s="147" t="n">
        <x:v>10128582</x:v>
      </x:c>
      <x:c r="E1794" s="147" t="s">
        <x:v>132</x:v>
      </x:c>
    </x:row>
    <x:row r="1795" spans="1:17">
      <x:c r="D1795" s="147" t="n">
        <x:v>10128595</x:v>
      </x:c>
      <x:c r="E1795" s="147" t="s">
        <x:v>132</x:v>
      </x:c>
    </x:row>
    <x:row r="1796" spans="1:17">
      <x:c r="D1796" s="147" t="n">
        <x:v>10128596</x:v>
      </x:c>
      <x:c r="E1796" s="147" t="s">
        <x:v>56</x:v>
      </x:c>
    </x:row>
    <x:row r="1797" spans="1:17">
      <x:c r="D1797" s="147" t="n">
        <x:v>10128597</x:v>
      </x:c>
      <x:c r="E1797" s="147" t="s">
        <x:v>114</x:v>
      </x:c>
    </x:row>
    <x:row r="1798" spans="1:17">
      <x:c r="D1798" s="147" t="n">
        <x:v>10128598</x:v>
      </x:c>
      <x:c r="E1798" s="147" t="s">
        <x:v>132</x:v>
      </x:c>
    </x:row>
    <x:row r="1799" spans="1:17">
      <x:c r="D1799" s="147" t="n">
        <x:v>10128599</x:v>
      </x:c>
      <x:c r="E1799" s="147" t="s">
        <x:v>154</x:v>
      </x:c>
    </x:row>
    <x:row r="1800" spans="1:17">
      <x:c r="D1800" s="147" t="n">
        <x:v>10128600</x:v>
      </x:c>
      <x:c r="E1800" s="147" t="s">
        <x:v>114</x:v>
      </x:c>
    </x:row>
    <x:row r="1801" spans="1:17">
      <x:c r="D1801" s="147" t="n">
        <x:v>10128579</x:v>
      </x:c>
      <x:c r="E1801" s="147" t="s">
        <x:v>154</x:v>
      </x:c>
    </x:row>
    <x:row r="1802" spans="1:17">
      <x:c r="D1802" s="147" t="n">
        <x:v>10128580</x:v>
      </x:c>
      <x:c r="E1802" s="147" t="s">
        <x:v>114</x:v>
      </x:c>
    </x:row>
    <x:row r="1803" spans="1:17">
      <x:c r="D1803" s="147" t="n">
        <x:v>10128581</x:v>
      </x:c>
      <x:c r="E1803" s="147" t="s">
        <x:v>114</x:v>
      </x:c>
    </x:row>
    <x:row r="1804" spans="1:17">
      <x:c r="D1804" s="147" t="n">
        <x:v>10128582</x:v>
      </x:c>
      <x:c r="E1804" s="147" t="s">
        <x:v>132</x:v>
      </x:c>
    </x:row>
    <x:row r="1805" spans="1:17">
      <x:c r="D1805" s="147" t="n">
        <x:v>10128595</x:v>
      </x:c>
      <x:c r="E1805" s="147" t="s">
        <x:v>132</x:v>
      </x:c>
    </x:row>
    <x:row r="1806" spans="1:17">
      <x:c r="D1806" s="147" t="n">
        <x:v>10128596</x:v>
      </x:c>
      <x:c r="E1806" s="147" t="s">
        <x:v>56</x:v>
      </x:c>
    </x:row>
    <x:row r="1807" spans="1:17">
      <x:c r="D1807" s="147" t="n">
        <x:v>10128597</x:v>
      </x:c>
      <x:c r="E1807" s="147" t="s">
        <x:v>114</x:v>
      </x:c>
    </x:row>
    <x:row r="1808" spans="1:17">
      <x:c r="D1808" s="147" t="n">
        <x:v>10128598</x:v>
      </x:c>
      <x:c r="E1808" s="147" t="s">
        <x:v>132</x:v>
      </x:c>
    </x:row>
    <x:row r="1809" spans="1:17">
      <x:c r="D1809" s="147" t="n">
        <x:v>10128599</x:v>
      </x:c>
      <x:c r="E1809" s="147" t="s">
        <x:v>154</x:v>
      </x:c>
    </x:row>
    <x:row r="1810" spans="1:17">
      <x:c r="D1810" s="147" t="n">
        <x:v>10128600</x:v>
      </x:c>
      <x:c r="E1810" s="147" t="s">
        <x:v>114</x:v>
      </x:c>
    </x:row>
    <x:row r="1811" spans="1:17">
      <x:c r="D1811" s="147" t="n">
        <x:v>10128579</x:v>
      </x:c>
      <x:c r="E1811" s="147" t="s">
        <x:v>154</x:v>
      </x:c>
    </x:row>
    <x:row r="1812" spans="1:17">
      <x:c r="D1812" s="147" t="n">
        <x:v>10128580</x:v>
      </x:c>
      <x:c r="E1812" s="147" t="s">
        <x:v>114</x:v>
      </x:c>
    </x:row>
    <x:row r="1813" spans="1:17">
      <x:c r="D1813" s="147" t="n">
        <x:v>10128581</x:v>
      </x:c>
      <x:c r="E1813" s="147" t="s">
        <x:v>114</x:v>
      </x:c>
    </x:row>
    <x:row r="1814" spans="1:17">
      <x:c r="D1814" s="147" t="n">
        <x:v>10128582</x:v>
      </x:c>
      <x:c r="E1814" s="147" t="s">
        <x:v>132</x:v>
      </x:c>
    </x:row>
    <x:row r="1815" spans="1:17">
      <x:c r="D1815" s="147" t="n">
        <x:v>10128595</x:v>
      </x:c>
      <x:c r="E1815" s="147" t="s">
        <x:v>132</x:v>
      </x:c>
    </x:row>
    <x:row r="1816" spans="1:17">
      <x:c r="D1816" s="147" t="n">
        <x:v>10128596</x:v>
      </x:c>
      <x:c r="E1816" s="147" t="s">
        <x:v>56</x:v>
      </x:c>
    </x:row>
    <x:row r="1817" spans="1:17">
      <x:c r="D1817" s="147" t="n">
        <x:v>10128597</x:v>
      </x:c>
      <x:c r="E1817" s="147" t="s">
        <x:v>114</x:v>
      </x:c>
    </x:row>
    <x:row r="1818" spans="1:17">
      <x:c r="D1818" s="147" t="n">
        <x:v>10128598</x:v>
      </x:c>
      <x:c r="E1818" s="147" t="s">
        <x:v>132</x:v>
      </x:c>
    </x:row>
    <x:row r="1819" spans="1:17">
      <x:c r="D1819" s="147" t="n">
        <x:v>10128599</x:v>
      </x:c>
      <x:c r="E1819" s="147" t="s">
        <x:v>154</x:v>
      </x:c>
    </x:row>
    <x:row r="1820" spans="1:17">
      <x:c r="D1820" s="147" t="n">
        <x:v>10128600</x:v>
      </x:c>
      <x:c r="E1820" s="147" t="s">
        <x:v>114</x:v>
      </x:c>
    </x:row>
    <x:row r="1821" spans="1:17">
      <x:c r="D1821" s="147" t="n">
        <x:v>10128579</x:v>
      </x:c>
      <x:c r="E1821" s="147" t="s">
        <x:v>154</x:v>
      </x:c>
    </x:row>
    <x:row r="1822" spans="1:17">
      <x:c r="D1822" s="147" t="n">
        <x:v>10128580</x:v>
      </x:c>
      <x:c r="E1822" s="147" t="s">
        <x:v>114</x:v>
      </x:c>
    </x:row>
    <x:row r="1823" spans="1:17">
      <x:c r="D1823" s="147" t="n">
        <x:v>10128581</x:v>
      </x:c>
      <x:c r="E1823" s="147" t="s">
        <x:v>114</x:v>
      </x:c>
    </x:row>
    <x:row r="1824" spans="1:17">
      <x:c r="D1824" s="147" t="n">
        <x:v>10128582</x:v>
      </x:c>
      <x:c r="E1824" s="147" t="s">
        <x:v>132</x:v>
      </x:c>
    </x:row>
    <x:row r="1825" spans="1:17">
      <x:c r="D1825" s="147" t="n">
        <x:v>10128595</x:v>
      </x:c>
      <x:c r="E1825" s="147" t="s">
        <x:v>132</x:v>
      </x:c>
    </x:row>
    <x:row r="1826" spans="1:17">
      <x:c r="D1826" s="147" t="n">
        <x:v>10128596</x:v>
      </x:c>
      <x:c r="E1826" s="147" t="s">
        <x:v>56</x:v>
      </x:c>
    </x:row>
    <x:row r="1827" spans="1:17">
      <x:c r="D1827" s="147" t="n">
        <x:v>10128597</x:v>
      </x:c>
      <x:c r="E1827" s="147" t="s">
        <x:v>114</x:v>
      </x:c>
    </x:row>
    <x:row r="1828" spans="1:17">
      <x:c r="D1828" s="147" t="n">
        <x:v>10128598</x:v>
      </x:c>
      <x:c r="E1828" s="147" t="s">
        <x:v>132</x:v>
      </x:c>
    </x:row>
    <x:row r="1829" spans="1:17">
      <x:c r="D1829" s="147" t="n">
        <x:v>10128599</x:v>
      </x:c>
      <x:c r="E1829" s="147" t="s">
        <x:v>154</x:v>
      </x:c>
    </x:row>
    <x:row r="1830" spans="1:17">
      <x:c r="D1830" s="147" t="n">
        <x:v>10128600</x:v>
      </x:c>
      <x:c r="E1830" s="147" t="s">
        <x:v>114</x:v>
      </x:c>
    </x:row>
    <x:row r="1831" spans="1:17">
      <x:c r="D1831" s="147" t="n">
        <x:v>10128579</x:v>
      </x:c>
      <x:c r="E1831" s="147" t="s">
        <x:v>154</x:v>
      </x:c>
    </x:row>
    <x:row r="1832" spans="1:17">
      <x:c r="D1832" s="147" t="n">
        <x:v>10128580</x:v>
      </x:c>
      <x:c r="E1832" s="147" t="s">
        <x:v>114</x:v>
      </x:c>
    </x:row>
    <x:row r="1833" spans="1:17">
      <x:c r="D1833" s="147" t="n">
        <x:v>10128581</x:v>
      </x:c>
      <x:c r="E1833" s="147" t="s">
        <x:v>114</x:v>
      </x:c>
    </x:row>
    <x:row r="1834" spans="1:17">
      <x:c r="D1834" s="147" t="n">
        <x:v>10128582</x:v>
      </x:c>
      <x:c r="E1834" s="147" t="s">
        <x:v>132</x:v>
      </x:c>
    </x:row>
    <x:row r="1835" spans="1:17">
      <x:c r="D1835" s="147" t="n">
        <x:v>10128595</x:v>
      </x:c>
      <x:c r="E1835" s="147" t="s">
        <x:v>132</x:v>
      </x:c>
    </x:row>
    <x:row r="1836" spans="1:17">
      <x:c r="D1836" s="147" t="n">
        <x:v>10128596</x:v>
      </x:c>
      <x:c r="E1836" s="147" t="s">
        <x:v>56</x:v>
      </x:c>
    </x:row>
    <x:row r="1837" spans="1:17">
      <x:c r="D1837" s="147" t="n">
        <x:v>10128597</x:v>
      </x:c>
      <x:c r="E1837" s="147" t="s">
        <x:v>114</x:v>
      </x:c>
    </x:row>
    <x:row r="1838" spans="1:17">
      <x:c r="D1838" s="147" t="n">
        <x:v>10128598</x:v>
      </x:c>
      <x:c r="E1838" s="147" t="s">
        <x:v>132</x:v>
      </x:c>
    </x:row>
    <x:row r="1839" spans="1:17">
      <x:c r="D1839" s="147" t="n">
        <x:v>10128599</x:v>
      </x:c>
      <x:c r="E1839" s="147" t="s">
        <x:v>154</x:v>
      </x:c>
    </x:row>
    <x:row r="1840" spans="1:17">
      <x:c r="D1840" s="147" t="n">
        <x:v>10128600</x:v>
      </x:c>
      <x:c r="E1840" s="147" t="s">
        <x:v>114</x:v>
      </x:c>
    </x:row>
    <x:row r="1841" spans="1:17">
      <x:c r="D1841" s="147" t="n">
        <x:v>10128579</x:v>
      </x:c>
      <x:c r="E1841" s="147" t="s">
        <x:v>154</x:v>
      </x:c>
    </x:row>
    <x:row r="1842" spans="1:17">
      <x:c r="D1842" s="147" t="n">
        <x:v>10128580</x:v>
      </x:c>
      <x:c r="E1842" s="147" t="s">
        <x:v>114</x:v>
      </x:c>
    </x:row>
    <x:row r="1843" spans="1:17">
      <x:c r="D1843" s="147" t="n">
        <x:v>10128581</x:v>
      </x:c>
      <x:c r="E1843" s="147" t="s">
        <x:v>114</x:v>
      </x:c>
    </x:row>
    <x:row r="1844" spans="1:17">
      <x:c r="D1844" s="147" t="n">
        <x:v>10128582</x:v>
      </x:c>
      <x:c r="E1844" s="147" t="s">
        <x:v>132</x:v>
      </x:c>
    </x:row>
    <x:row r="1845" spans="1:17">
      <x:c r="D1845" s="147" t="n">
        <x:v>10128595</x:v>
      </x:c>
      <x:c r="E1845" s="147" t="s">
        <x:v>132</x:v>
      </x:c>
    </x:row>
    <x:row r="1846" spans="1:17">
      <x:c r="D1846" s="147" t="n">
        <x:v>10128596</x:v>
      </x:c>
      <x:c r="E1846" s="147" t="s">
        <x:v>56</x:v>
      </x:c>
    </x:row>
    <x:row r="1847" spans="1:17">
      <x:c r="D1847" s="147" t="n">
        <x:v>10128597</x:v>
      </x:c>
      <x:c r="E1847" s="147" t="s">
        <x:v>114</x:v>
      </x:c>
    </x:row>
    <x:row r="1848" spans="1:17">
      <x:c r="D1848" s="147" t="n">
        <x:v>10128598</x:v>
      </x:c>
      <x:c r="E1848" s="147" t="s">
        <x:v>132</x:v>
      </x:c>
    </x:row>
    <x:row r="1849" spans="1:17">
      <x:c r="D1849" s="147" t="n">
        <x:v>10128599</x:v>
      </x:c>
      <x:c r="E1849" s="147" t="s">
        <x:v>154</x:v>
      </x:c>
    </x:row>
    <x:row r="1850" spans="1:17">
      <x:c r="D1850" s="147" t="n">
        <x:v>10128600</x:v>
      </x:c>
      <x:c r="E1850" s="147" t="s">
        <x:v>114</x:v>
      </x:c>
    </x:row>
    <x:row r="1851" spans="1:17">
      <x:c r="D1851" s="147" t="n">
        <x:v>10128579</x:v>
      </x:c>
      <x:c r="E1851" s="147" t="s">
        <x:v>154</x:v>
      </x:c>
    </x:row>
    <x:row r="1852" spans="1:17">
      <x:c r="D1852" s="147" t="n">
        <x:v>10128580</x:v>
      </x:c>
      <x:c r="E1852" s="147" t="s">
        <x:v>114</x:v>
      </x:c>
    </x:row>
    <x:row r="1853" spans="1:17">
      <x:c r="D1853" s="147" t="n">
        <x:v>10128581</x:v>
      </x:c>
      <x:c r="E1853" s="147" t="s">
        <x:v>114</x:v>
      </x:c>
    </x:row>
    <x:row r="1854" spans="1:17">
      <x:c r="D1854" s="147" t="n">
        <x:v>10128582</x:v>
      </x:c>
      <x:c r="E1854" s="147" t="s">
        <x:v>132</x:v>
      </x:c>
    </x:row>
    <x:row r="1855" spans="1:17">
      <x:c r="D1855" s="147" t="n">
        <x:v>10128595</x:v>
      </x:c>
      <x:c r="E1855" s="147" t="s">
        <x:v>132</x:v>
      </x:c>
    </x:row>
    <x:row r="1856" spans="1:17">
      <x:c r="D1856" s="147" t="n">
        <x:v>10128596</x:v>
      </x:c>
      <x:c r="E1856" s="147" t="s">
        <x:v>56</x:v>
      </x:c>
    </x:row>
    <x:row r="1857" spans="1:17">
      <x:c r="D1857" s="147" t="n">
        <x:v>10128597</x:v>
      </x:c>
      <x:c r="E1857" s="147" t="s">
        <x:v>114</x:v>
      </x:c>
    </x:row>
    <x:row r="1858" spans="1:17">
      <x:c r="D1858" s="147" t="n">
        <x:v>10128598</x:v>
      </x:c>
      <x:c r="E1858" s="147" t="s">
        <x:v>132</x:v>
      </x:c>
    </x:row>
    <x:row r="1859" spans="1:17">
      <x:c r="D1859" s="147" t="n">
        <x:v>10128599</x:v>
      </x:c>
      <x:c r="E1859" s="147" t="s">
        <x:v>154</x:v>
      </x:c>
    </x:row>
    <x:row r="1860" spans="1:17">
      <x:c r="D1860" s="147" t="n">
        <x:v>10128600</x:v>
      </x:c>
      <x:c r="E1860" s="147" t="s">
        <x:v>114</x:v>
      </x:c>
    </x:row>
    <x:row r="1861" spans="1:17">
      <x:c r="D1861" s="147" t="n">
        <x:v>10128579</x:v>
      </x:c>
      <x:c r="E1861" s="147" t="s">
        <x:v>154</x:v>
      </x:c>
    </x:row>
    <x:row r="1862" spans="1:17">
      <x:c r="D1862" s="147" t="n">
        <x:v>10128580</x:v>
      </x:c>
      <x:c r="E1862" s="147" t="s">
        <x:v>114</x:v>
      </x:c>
    </x:row>
    <x:row r="1863" spans="1:17">
      <x:c r="D1863" s="147" t="n">
        <x:v>10128581</x:v>
      </x:c>
      <x:c r="E1863" s="147" t="s">
        <x:v>114</x:v>
      </x:c>
    </x:row>
    <x:row r="1864" spans="1:17">
      <x:c r="D1864" s="147" t="n">
        <x:v>10128582</x:v>
      </x:c>
      <x:c r="E1864" s="147" t="s">
        <x:v>132</x:v>
      </x:c>
    </x:row>
    <x:row r="1865" spans="1:17">
      <x:c r="D1865" s="147" t="n">
        <x:v>10128595</x:v>
      </x:c>
      <x:c r="E1865" s="147" t="s">
        <x:v>132</x:v>
      </x:c>
    </x:row>
    <x:row r="1866" spans="1:17">
      <x:c r="D1866" s="147" t="n">
        <x:v>10128596</x:v>
      </x:c>
      <x:c r="E1866" s="147" t="s">
        <x:v>56</x:v>
      </x:c>
    </x:row>
    <x:row r="1867" spans="1:17">
      <x:c r="D1867" s="147" t="n">
        <x:v>10128597</x:v>
      </x:c>
      <x:c r="E1867" s="147" t="s">
        <x:v>114</x:v>
      </x:c>
    </x:row>
    <x:row r="1868" spans="1:17">
      <x:c r="D1868" s="147" t="n">
        <x:v>10128598</x:v>
      </x:c>
      <x:c r="E1868" s="147" t="s">
        <x:v>132</x:v>
      </x:c>
    </x:row>
    <x:row r="1869" spans="1:17">
      <x:c r="D1869" s="147" t="n">
        <x:v>10128599</x:v>
      </x:c>
      <x:c r="E1869" s="147" t="s">
        <x:v>154</x:v>
      </x:c>
    </x:row>
    <x:row r="1870" spans="1:17">
      <x:c r="D1870" s="147" t="n">
        <x:v>10128600</x:v>
      </x:c>
      <x:c r="E1870" s="147" t="s">
        <x:v>114</x:v>
      </x:c>
    </x:row>
    <x:row r="1871" spans="1:17">
      <x:c r="D1871" s="147" t="n">
        <x:v>10128579</x:v>
      </x:c>
      <x:c r="E1871" s="147" t="s">
        <x:v>154</x:v>
      </x:c>
    </x:row>
    <x:row r="1872" spans="1:17">
      <x:c r="D1872" s="147" t="n">
        <x:v>10128580</x:v>
      </x:c>
      <x:c r="E1872" s="147" t="s">
        <x:v>114</x:v>
      </x:c>
    </x:row>
    <x:row r="1873" spans="1:17">
      <x:c r="D1873" s="147" t="n">
        <x:v>10128581</x:v>
      </x:c>
      <x:c r="E1873" s="147" t="s">
        <x:v>114</x:v>
      </x:c>
    </x:row>
    <x:row r="1874" spans="1:17">
      <x:c r="D1874" s="147" t="n">
        <x:v>10128582</x:v>
      </x:c>
      <x:c r="E1874" s="147" t="s">
        <x:v>132</x:v>
      </x:c>
    </x:row>
    <x:row r="1875" spans="1:17">
      <x:c r="D1875" s="147" t="n">
        <x:v>10128595</x:v>
      </x:c>
      <x:c r="E1875" s="147" t="s">
        <x:v>132</x:v>
      </x:c>
    </x:row>
    <x:row r="1876" spans="1:17">
      <x:c r="D1876" s="147" t="n">
        <x:v>10128596</x:v>
      </x:c>
      <x:c r="E1876" s="147" t="s">
        <x:v>56</x:v>
      </x:c>
    </x:row>
    <x:row r="1877" spans="1:17">
      <x:c r="D1877" s="147" t="n">
        <x:v>10128597</x:v>
      </x:c>
      <x:c r="E1877" s="147" t="s">
        <x:v>114</x:v>
      </x:c>
    </x:row>
    <x:row r="1878" spans="1:17">
      <x:c r="D1878" s="147" t="n">
        <x:v>10128598</x:v>
      </x:c>
      <x:c r="E1878" s="147" t="s">
        <x:v>132</x:v>
      </x:c>
    </x:row>
    <x:row r="1879" spans="1:17">
      <x:c r="D1879" s="147" t="n">
        <x:v>10128599</x:v>
      </x:c>
      <x:c r="E1879" s="147" t="s">
        <x:v>154</x:v>
      </x:c>
    </x:row>
    <x:row r="1880" spans="1:17">
      <x:c r="D1880" s="147" t="n">
        <x:v>10128600</x:v>
      </x:c>
      <x:c r="E1880" s="147" t="s">
        <x:v>114</x:v>
      </x:c>
    </x:row>
    <x:row r="1881" spans="1:17">
      <x:c r="D1881" s="147" t="n">
        <x:v>10128579</x:v>
      </x:c>
      <x:c r="E1881" s="147" t="s">
        <x:v>154</x:v>
      </x:c>
    </x:row>
    <x:row r="1882" spans="1:17">
      <x:c r="D1882" s="147" t="n">
        <x:v>10128580</x:v>
      </x:c>
      <x:c r="E1882" s="147" t="s">
        <x:v>114</x:v>
      </x:c>
    </x:row>
    <x:row r="1883" spans="1:17">
      <x:c r="D1883" s="147" t="n">
        <x:v>10128581</x:v>
      </x:c>
      <x:c r="E1883" s="147" t="s">
        <x:v>114</x:v>
      </x:c>
    </x:row>
    <x:row r="1884" spans="1:17">
      <x:c r="D1884" s="147" t="n">
        <x:v>10128582</x:v>
      </x:c>
      <x:c r="E1884" s="147" t="s">
        <x:v>132</x:v>
      </x:c>
    </x:row>
    <x:row r="1885" spans="1:17">
      <x:c r="D1885" s="147" t="n">
        <x:v>10128595</x:v>
      </x:c>
      <x:c r="E1885" s="147" t="s">
        <x:v>132</x:v>
      </x:c>
    </x:row>
    <x:row r="1886" spans="1:17">
      <x:c r="D1886" s="147" t="n">
        <x:v>10128596</x:v>
      </x:c>
      <x:c r="E1886" s="147" t="s">
        <x:v>56</x:v>
      </x:c>
    </x:row>
    <x:row r="1887" spans="1:17">
      <x:c r="D1887" s="147" t="n">
        <x:v>10128597</x:v>
      </x:c>
      <x:c r="E1887" s="147" t="s">
        <x:v>114</x:v>
      </x:c>
    </x:row>
    <x:row r="1888" spans="1:17">
      <x:c r="D1888" s="147" t="n">
        <x:v>10128598</x:v>
      </x:c>
      <x:c r="E1888" s="147" t="s">
        <x:v>132</x:v>
      </x:c>
    </x:row>
    <x:row r="1889" spans="1:17">
      <x:c r="D1889" s="147" t="n">
        <x:v>10128599</x:v>
      </x:c>
      <x:c r="E1889" s="147" t="s">
        <x:v>154</x:v>
      </x:c>
    </x:row>
    <x:row r="1890" spans="1:17">
      <x:c r="D1890" s="147" t="n">
        <x:v>10128600</x:v>
      </x:c>
      <x:c r="E1890" s="147" t="s">
        <x:v>114</x:v>
      </x:c>
    </x:row>
    <x:row r="1891" spans="1:17">
      <x:c r="D1891" s="147" t="n">
        <x:v>10128579</x:v>
      </x:c>
      <x:c r="E1891" s="147" t="s">
        <x:v>154</x:v>
      </x:c>
    </x:row>
    <x:row r="1892" spans="1:17">
      <x:c r="D1892" s="147" t="n">
        <x:v>10128580</x:v>
      </x:c>
      <x:c r="E1892" s="147" t="s">
        <x:v>114</x:v>
      </x:c>
    </x:row>
    <x:row r="1893" spans="1:17">
      <x:c r="D1893" s="147" t="n">
        <x:v>10128581</x:v>
      </x:c>
      <x:c r="E1893" s="147" t="s">
        <x:v>114</x:v>
      </x:c>
    </x:row>
    <x:row r="1894" spans="1:17">
      <x:c r="D1894" s="147" t="n">
        <x:v>10128582</x:v>
      </x:c>
      <x:c r="E1894" s="147" t="s">
        <x:v>132</x:v>
      </x:c>
    </x:row>
    <x:row r="1895" spans="1:17">
      <x:c r="D1895" s="147" t="n">
        <x:v>10128595</x:v>
      </x:c>
      <x:c r="E1895" s="147" t="s">
        <x:v>132</x:v>
      </x:c>
    </x:row>
    <x:row r="1896" spans="1:17">
      <x:c r="D1896" s="147" t="n">
        <x:v>10128596</x:v>
      </x:c>
      <x:c r="E1896" s="147" t="s">
        <x:v>56</x:v>
      </x:c>
    </x:row>
    <x:row r="1897" spans="1:17">
      <x:c r="D1897" s="147" t="n">
        <x:v>10128597</x:v>
      </x:c>
      <x:c r="E1897" s="147" t="s">
        <x:v>114</x:v>
      </x:c>
    </x:row>
    <x:row r="1898" spans="1:17">
      <x:c r="D1898" s="147" t="n">
        <x:v>10128598</x:v>
      </x:c>
      <x:c r="E1898" s="147" t="s">
        <x:v>132</x:v>
      </x:c>
    </x:row>
    <x:row r="1899" spans="1:17">
      <x:c r="D1899" s="147" t="n">
        <x:v>10128599</x:v>
      </x:c>
      <x:c r="E1899" s="147" t="s">
        <x:v>154</x:v>
      </x:c>
    </x:row>
    <x:row r="1900" spans="1:17">
      <x:c r="D1900" s="147" t="n">
        <x:v>10128600</x:v>
      </x:c>
      <x:c r="E1900" s="147" t="s">
        <x:v>114</x:v>
      </x:c>
    </x:row>
    <x:row r="1901" spans="1:17">
      <x:c r="D1901" s="147" t="n">
        <x:v>10128579</x:v>
      </x:c>
      <x:c r="E1901" s="147" t="s">
        <x:v>154</x:v>
      </x:c>
    </x:row>
    <x:row r="1902" spans="1:17">
      <x:c r="D1902" s="147" t="n">
        <x:v>10128580</x:v>
      </x:c>
      <x:c r="E1902" s="147" t="s">
        <x:v>114</x:v>
      </x:c>
    </x:row>
    <x:row r="1903" spans="1:17">
      <x:c r="D1903" s="147" t="n">
        <x:v>10128581</x:v>
      </x:c>
      <x:c r="E1903" s="147" t="s">
        <x:v>114</x:v>
      </x:c>
    </x:row>
    <x:row r="1904" spans="1:17">
      <x:c r="D1904" s="147" t="n">
        <x:v>10128582</x:v>
      </x:c>
      <x:c r="E1904" s="147" t="s">
        <x:v>132</x:v>
      </x:c>
    </x:row>
    <x:row r="1905" spans="1:17">
      <x:c r="D1905" s="147" t="n">
        <x:v>10128595</x:v>
      </x:c>
      <x:c r="E1905" s="147" t="s">
        <x:v>132</x:v>
      </x:c>
    </x:row>
    <x:row r="1906" spans="1:17">
      <x:c r="D1906" s="147" t="n">
        <x:v>10128596</x:v>
      </x:c>
      <x:c r="E1906" s="147" t="s">
        <x:v>56</x:v>
      </x:c>
    </x:row>
    <x:row r="1907" spans="1:17">
      <x:c r="D1907" s="147" t="n">
        <x:v>10128597</x:v>
      </x:c>
      <x:c r="E1907" s="147" t="s">
        <x:v>114</x:v>
      </x:c>
    </x:row>
    <x:row r="1908" spans="1:17">
      <x:c r="D1908" s="147" t="n">
        <x:v>10128598</x:v>
      </x:c>
      <x:c r="E1908" s="147" t="s">
        <x:v>132</x:v>
      </x:c>
    </x:row>
    <x:row r="1909" spans="1:17">
      <x:c r="D1909" s="147" t="n">
        <x:v>10128599</x:v>
      </x:c>
      <x:c r="E1909" s="147" t="s">
        <x:v>154</x:v>
      </x:c>
    </x:row>
    <x:row r="1910" spans="1:17">
      <x:c r="D1910" s="147" t="n">
        <x:v>10128600</x:v>
      </x:c>
      <x:c r="E1910" s="147" t="s">
        <x:v>114</x:v>
      </x:c>
    </x:row>
    <x:row r="1911" spans="1:17">
      <x:c r="D1911" s="147" t="n">
        <x:v>10128579</x:v>
      </x:c>
      <x:c r="E1911" s="147" t="s">
        <x:v>154</x:v>
      </x:c>
    </x:row>
    <x:row r="1912" spans="1:17">
      <x:c r="D1912" s="147" t="n">
        <x:v>10128580</x:v>
      </x:c>
      <x:c r="E1912" s="147" t="s">
        <x:v>114</x:v>
      </x:c>
    </x:row>
    <x:row r="1913" spans="1:17">
      <x:c r="D1913" s="147" t="n">
        <x:v>10128581</x:v>
      </x:c>
      <x:c r="E1913" s="147" t="s">
        <x:v>114</x:v>
      </x:c>
    </x:row>
    <x:row r="1914" spans="1:17">
      <x:c r="D1914" s="147" t="n">
        <x:v>10128582</x:v>
      </x:c>
      <x:c r="E1914" s="147" t="s">
        <x:v>132</x:v>
      </x:c>
    </x:row>
    <x:row r="1915" spans="1:17">
      <x:c r="D1915" s="147" t="n">
        <x:v>10128595</x:v>
      </x:c>
      <x:c r="E1915" s="147" t="s">
        <x:v>132</x:v>
      </x:c>
    </x:row>
    <x:row r="1916" spans="1:17">
      <x:c r="D1916" s="147" t="n">
        <x:v>10128596</x:v>
      </x:c>
      <x:c r="E1916" s="147" t="s">
        <x:v>56</x:v>
      </x:c>
    </x:row>
    <x:row r="1917" spans="1:17">
      <x:c r="D1917" s="147" t="n">
        <x:v>10128597</x:v>
      </x:c>
      <x:c r="E1917" s="147" t="s">
        <x:v>114</x:v>
      </x:c>
    </x:row>
    <x:row r="1918" spans="1:17">
      <x:c r="D1918" s="147" t="n">
        <x:v>10128598</x:v>
      </x:c>
      <x:c r="E1918" s="147" t="s">
        <x:v>132</x:v>
      </x:c>
    </x:row>
    <x:row r="1919" spans="1:17">
      <x:c r="D1919" s="147" t="n">
        <x:v>10128599</x:v>
      </x:c>
      <x:c r="E1919" s="147" t="s">
        <x:v>154</x:v>
      </x:c>
    </x:row>
    <x:row r="1920" spans="1:17">
      <x:c r="D1920" s="147" t="n">
        <x:v>10128600</x:v>
      </x:c>
      <x:c r="E1920" s="147" t="s">
        <x:v>114</x:v>
      </x:c>
    </x:row>
    <x:row r="1921" spans="1:17">
      <x:c r="D1921" s="147" t="n">
        <x:v>10128579</x:v>
      </x:c>
      <x:c r="E1921" s="147" t="s">
        <x:v>154</x:v>
      </x:c>
    </x:row>
    <x:row r="1922" spans="1:17">
      <x:c r="D1922" s="147" t="n">
        <x:v>10128580</x:v>
      </x:c>
      <x:c r="E1922" s="147" t="s">
        <x:v>114</x:v>
      </x:c>
    </x:row>
    <x:row r="1923" spans="1:17">
      <x:c r="D1923" s="147" t="n">
        <x:v>10128581</x:v>
      </x:c>
      <x:c r="E1923" s="147" t="s">
        <x:v>114</x:v>
      </x:c>
    </x:row>
    <x:row r="1924" spans="1:17">
      <x:c r="D1924" s="147" t="n">
        <x:v>10128582</x:v>
      </x:c>
      <x:c r="E1924" s="147" t="s">
        <x:v>132</x:v>
      </x:c>
    </x:row>
    <x:row r="1925" spans="1:17">
      <x:c r="D1925" s="147" t="n">
        <x:v>10128595</x:v>
      </x:c>
      <x:c r="E1925" s="147" t="s">
        <x:v>132</x:v>
      </x:c>
    </x:row>
    <x:row r="1926" spans="1:17">
      <x:c r="D1926" s="147" t="n">
        <x:v>10128596</x:v>
      </x:c>
      <x:c r="E1926" s="147" t="s">
        <x:v>56</x:v>
      </x:c>
    </x:row>
    <x:row r="1927" spans="1:17">
      <x:c r="D1927" s="147" t="n">
        <x:v>10128597</x:v>
      </x:c>
      <x:c r="E1927" s="147" t="s">
        <x:v>114</x:v>
      </x:c>
    </x:row>
    <x:row r="1928" spans="1:17">
      <x:c r="D1928" s="147" t="n">
        <x:v>10128598</x:v>
      </x:c>
      <x:c r="E1928" s="147" t="s">
        <x:v>132</x:v>
      </x:c>
    </x:row>
    <x:row r="1929" spans="1:17">
      <x:c r="D1929" s="147" t="n">
        <x:v>10128599</x:v>
      </x:c>
      <x:c r="E1929" s="147" t="s">
        <x:v>154</x:v>
      </x:c>
    </x:row>
    <x:row r="1930" spans="1:17">
      <x:c r="D1930" s="147" t="n">
        <x:v>10128600</x:v>
      </x:c>
      <x:c r="E1930" s="147" t="s">
        <x:v>114</x:v>
      </x:c>
    </x:row>
    <x:row r="1931" spans="1:17">
      <x:c r="D1931" s="147" t="n">
        <x:v>10128579</x:v>
      </x:c>
      <x:c r="E1931" s="147" t="s">
        <x:v>154</x:v>
      </x:c>
    </x:row>
    <x:row r="1932" spans="1:17">
      <x:c r="D1932" s="147" t="n">
        <x:v>10128580</x:v>
      </x:c>
      <x:c r="E1932" s="147" t="s">
        <x:v>114</x:v>
      </x:c>
    </x:row>
    <x:row r="1933" spans="1:17">
      <x:c r="D1933" s="147" t="n">
        <x:v>10128581</x:v>
      </x:c>
      <x:c r="E1933" s="147" t="s">
        <x:v>114</x:v>
      </x:c>
    </x:row>
    <x:row r="1934" spans="1:17">
      <x:c r="D1934" s="147" t="n">
        <x:v>10128582</x:v>
      </x:c>
      <x:c r="E1934" s="147" t="s">
        <x:v>132</x:v>
      </x:c>
    </x:row>
    <x:row r="1935" spans="1:17">
      <x:c r="D1935" s="147" t="n">
        <x:v>10128595</x:v>
      </x:c>
      <x:c r="E1935" s="147" t="s">
        <x:v>132</x:v>
      </x:c>
    </x:row>
    <x:row r="1936" spans="1:17">
      <x:c r="D1936" s="147" t="n">
        <x:v>10128596</x:v>
      </x:c>
      <x:c r="E1936" s="147" t="s">
        <x:v>56</x:v>
      </x:c>
    </x:row>
    <x:row r="1937" spans="1:17">
      <x:c r="D1937" s="147" t="n">
        <x:v>10128597</x:v>
      </x:c>
      <x:c r="E1937" s="147" t="s">
        <x:v>114</x:v>
      </x:c>
    </x:row>
    <x:row r="1938" spans="1:17">
      <x:c r="D1938" s="147" t="n">
        <x:v>10128598</x:v>
      </x:c>
      <x:c r="E1938" s="147" t="s">
        <x:v>132</x:v>
      </x:c>
    </x:row>
    <x:row r="1939" spans="1:17">
      <x:c r="D1939" s="147" t="n">
        <x:v>10128599</x:v>
      </x:c>
      <x:c r="E1939" s="147" t="s">
        <x:v>154</x:v>
      </x:c>
    </x:row>
    <x:row r="1940" spans="1:17">
      <x:c r="D1940" s="147" t="n">
        <x:v>10128600</x:v>
      </x:c>
      <x:c r="E1940" s="147" t="s">
        <x:v>114</x:v>
      </x:c>
    </x:row>
    <x:row r="1941" spans="1:17">
      <x:c r="D1941" s="147" t="n">
        <x:v>10128579</x:v>
      </x:c>
      <x:c r="E1941" s="147" t="s">
        <x:v>154</x:v>
      </x:c>
    </x:row>
    <x:row r="1942" spans="1:17">
      <x:c r="D1942" s="147" t="n">
        <x:v>10128580</x:v>
      </x:c>
      <x:c r="E1942" s="147" t="s">
        <x:v>114</x:v>
      </x:c>
    </x:row>
    <x:row r="1943" spans="1:17">
      <x:c r="D1943" s="147" t="n">
        <x:v>10128581</x:v>
      </x:c>
      <x:c r="E1943" s="147" t="s">
        <x:v>114</x:v>
      </x:c>
    </x:row>
    <x:row r="1944" spans="1:17">
      <x:c r="D1944" s="147" t="n">
        <x:v>10128582</x:v>
      </x:c>
      <x:c r="E1944" s="147" t="s">
        <x:v>132</x:v>
      </x:c>
    </x:row>
    <x:row r="1945" spans="1:17">
      <x:c r="D1945" s="147" t="n">
        <x:v>10128595</x:v>
      </x:c>
      <x:c r="E1945" s="147" t="s">
        <x:v>132</x:v>
      </x:c>
    </x:row>
    <x:row r="1946" spans="1:17">
      <x:c r="D1946" s="147" t="n">
        <x:v>10128596</x:v>
      </x:c>
      <x:c r="E1946" s="147" t="s">
        <x:v>56</x:v>
      </x:c>
    </x:row>
    <x:row r="1947" spans="1:17">
      <x:c r="D1947" s="147" t="n">
        <x:v>10128597</x:v>
      </x:c>
      <x:c r="E1947" s="147" t="s">
        <x:v>114</x:v>
      </x:c>
    </x:row>
    <x:row r="1948" spans="1:17">
      <x:c r="D1948" s="147" t="n">
        <x:v>10128598</x:v>
      </x:c>
      <x:c r="E1948" s="147" t="s">
        <x:v>132</x:v>
      </x:c>
    </x:row>
    <x:row r="1949" spans="1:17">
      <x:c r="D1949" s="147" t="n">
        <x:v>10128599</x:v>
      </x:c>
      <x:c r="E1949" s="147" t="s">
        <x:v>154</x:v>
      </x:c>
    </x:row>
    <x:row r="1950" spans="1:17">
      <x:c r="D1950" s="147" t="n">
        <x:v>10128600</x:v>
      </x:c>
      <x:c r="E1950" s="147" t="s">
        <x:v>114</x:v>
      </x:c>
    </x:row>
    <x:row r="1951" spans="1:17">
      <x:c r="D1951" s="147" t="n">
        <x:v>10128579</x:v>
      </x:c>
      <x:c r="E1951" s="147" t="s">
        <x:v>154</x:v>
      </x:c>
    </x:row>
    <x:row r="1952" spans="1:17">
      <x:c r="D1952" s="147" t="n">
        <x:v>10128580</x:v>
      </x:c>
      <x:c r="E1952" s="147" t="s">
        <x:v>114</x:v>
      </x:c>
    </x:row>
    <x:row r="1953" spans="1:17">
      <x:c r="D1953" s="147" t="n">
        <x:v>10128581</x:v>
      </x:c>
      <x:c r="E1953" s="147" t="s">
        <x:v>114</x:v>
      </x:c>
    </x:row>
    <x:row r="1954" spans="1:17">
      <x:c r="D1954" s="147" t="n">
        <x:v>10128582</x:v>
      </x:c>
      <x:c r="E1954" s="147" t="s">
        <x:v>132</x:v>
      </x:c>
    </x:row>
    <x:row r="1955" spans="1:17">
      <x:c r="D1955" s="147" t="n">
        <x:v>10128595</x:v>
      </x:c>
      <x:c r="E1955" s="147" t="s">
        <x:v>132</x:v>
      </x:c>
    </x:row>
    <x:row r="1956" spans="1:17">
      <x:c r="D1956" s="147" t="n">
        <x:v>10128596</x:v>
      </x:c>
      <x:c r="E1956" s="147" t="s">
        <x:v>56</x:v>
      </x:c>
    </x:row>
    <x:row r="1957" spans="1:17">
      <x:c r="D1957" s="147" t="n">
        <x:v>10128597</x:v>
      </x:c>
      <x:c r="E1957" s="147" t="s">
        <x:v>114</x:v>
      </x:c>
    </x:row>
    <x:row r="1958" spans="1:17">
      <x:c r="D1958" s="147" t="n">
        <x:v>10128598</x:v>
      </x:c>
      <x:c r="E1958" s="147" t="s">
        <x:v>132</x:v>
      </x:c>
    </x:row>
    <x:row r="1959" spans="1:17">
      <x:c r="D1959" s="147" t="n">
        <x:v>10128599</x:v>
      </x:c>
      <x:c r="E1959" s="147" t="s">
        <x:v>154</x:v>
      </x:c>
    </x:row>
    <x:row r="1960" spans="1:17">
      <x:c r="D1960" s="147" t="n">
        <x:v>10128600</x:v>
      </x:c>
      <x:c r="E1960" s="147" t="s">
        <x:v>114</x:v>
      </x:c>
    </x:row>
    <x:row r="1961" spans="1:17">
      <x:c r="D1961" s="147" t="n">
        <x:v>10128579</x:v>
      </x:c>
      <x:c r="E1961" s="147" t="s">
        <x:v>154</x:v>
      </x:c>
    </x:row>
    <x:row r="1962" spans="1:17">
      <x:c r="D1962" s="147" t="n">
        <x:v>10128580</x:v>
      </x:c>
      <x:c r="E1962" s="147" t="s">
        <x:v>114</x:v>
      </x:c>
    </x:row>
    <x:row r="1963" spans="1:17">
      <x:c r="D1963" s="147" t="n">
        <x:v>10128581</x:v>
      </x:c>
      <x:c r="E1963" s="147" t="s">
        <x:v>114</x:v>
      </x:c>
    </x:row>
    <x:row r="1964" spans="1:17">
      <x:c r="D1964" s="147" t="n">
        <x:v>10128582</x:v>
      </x:c>
      <x:c r="E1964" s="147" t="s">
        <x:v>132</x:v>
      </x:c>
    </x:row>
    <x:row r="1965" spans="1:17">
      <x:c r="D1965" s="147" t="n">
        <x:v>10128595</x:v>
      </x:c>
      <x:c r="E1965" s="147" t="s">
        <x:v>132</x:v>
      </x:c>
    </x:row>
    <x:row r="1966" spans="1:17">
      <x:c r="D1966" s="147" t="n">
        <x:v>10128596</x:v>
      </x:c>
      <x:c r="E1966" s="147" t="s">
        <x:v>56</x:v>
      </x:c>
    </x:row>
    <x:row r="1967" spans="1:17">
      <x:c r="D1967" s="147" t="n">
        <x:v>10128597</x:v>
      </x:c>
      <x:c r="E1967" s="147" t="s">
        <x:v>114</x:v>
      </x:c>
    </x:row>
    <x:row r="1968" spans="1:17">
      <x:c r="D1968" s="147" t="n">
        <x:v>10128598</x:v>
      </x:c>
      <x:c r="E1968" s="147" t="s">
        <x:v>132</x:v>
      </x:c>
    </x:row>
    <x:row r="1969" spans="1:17">
      <x:c r="D1969" s="147" t="n">
        <x:v>10128599</x:v>
      </x:c>
      <x:c r="E1969" s="147" t="s">
        <x:v>154</x:v>
      </x:c>
    </x:row>
    <x:row r="1970" spans="1:17">
      <x:c r="D1970" s="147" t="n">
        <x:v>10128600</x:v>
      </x:c>
      <x:c r="E1970" s="147" t="s">
        <x:v>114</x:v>
      </x:c>
    </x:row>
    <x:row r="1971" spans="1:17">
      <x:c r="D1971" s="147" t="n">
        <x:v>10128579</x:v>
      </x:c>
      <x:c r="E1971" s="147" t="s">
        <x:v>154</x:v>
      </x:c>
    </x:row>
    <x:row r="1972" spans="1:17">
      <x:c r="D1972" s="147" t="n">
        <x:v>10128580</x:v>
      </x:c>
      <x:c r="E1972" s="147" t="s">
        <x:v>114</x:v>
      </x:c>
    </x:row>
    <x:row r="1973" spans="1:17">
      <x:c r="D1973" s="147" t="n">
        <x:v>10128581</x:v>
      </x:c>
      <x:c r="E1973" s="147" t="s">
        <x:v>114</x:v>
      </x:c>
    </x:row>
    <x:row r="1974" spans="1:17">
      <x:c r="D1974" s="147" t="n">
        <x:v>10128582</x:v>
      </x:c>
      <x:c r="E1974" s="147" t="s">
        <x:v>132</x:v>
      </x:c>
    </x:row>
    <x:row r="1975" spans="1:17">
      <x:c r="D1975" s="147" t="n">
        <x:v>10128595</x:v>
      </x:c>
      <x:c r="E1975" s="147" t="s">
        <x:v>132</x:v>
      </x:c>
    </x:row>
    <x:row r="1976" spans="1:17">
      <x:c r="D1976" s="147" t="n">
        <x:v>10128596</x:v>
      </x:c>
      <x:c r="E1976" s="147" t="s">
        <x:v>56</x:v>
      </x:c>
    </x:row>
    <x:row r="1977" spans="1:17">
      <x:c r="D1977" s="147" t="n">
        <x:v>10128597</x:v>
      </x:c>
      <x:c r="E1977" s="147" t="s">
        <x:v>114</x:v>
      </x:c>
    </x:row>
    <x:row r="1978" spans="1:17">
      <x:c r="D1978" s="147" t="n">
        <x:v>10128598</x:v>
      </x:c>
      <x:c r="E1978" s="147" t="s">
        <x:v>132</x:v>
      </x:c>
    </x:row>
    <x:row r="1979" spans="1:17">
      <x:c r="D1979" s="147" t="n">
        <x:v>10128599</x:v>
      </x:c>
      <x:c r="E1979" s="147" t="s">
        <x:v>154</x:v>
      </x:c>
    </x:row>
    <x:row r="1980" spans="1:17">
      <x:c r="D1980" s="147" t="n">
        <x:v>10128600</x:v>
      </x:c>
      <x:c r="E1980" s="147" t="s">
        <x:v>114</x:v>
      </x:c>
    </x:row>
    <x:row r="1981" spans="1:17">
      <x:c r="D1981" s="147" t="n">
        <x:v>10128579</x:v>
      </x:c>
      <x:c r="E1981" s="147" t="s">
        <x:v>154</x:v>
      </x:c>
    </x:row>
    <x:row r="1982" spans="1:17">
      <x:c r="D1982" s="147" t="n">
        <x:v>10128580</x:v>
      </x:c>
      <x:c r="E1982" s="147" t="s">
        <x:v>114</x:v>
      </x:c>
    </x:row>
    <x:row r="1983" spans="1:17">
      <x:c r="D1983" s="147" t="n">
        <x:v>10128581</x:v>
      </x:c>
      <x:c r="E1983" s="147" t="s">
        <x:v>114</x:v>
      </x:c>
    </x:row>
    <x:row r="1984" spans="1:17">
      <x:c r="D1984" s="147" t="n">
        <x:v>10128582</x:v>
      </x:c>
      <x:c r="E1984" s="147" t="s">
        <x:v>132</x:v>
      </x:c>
    </x:row>
    <x:row r="1985" spans="1:17">
      <x:c r="D1985" s="147" t="n">
        <x:v>10128595</x:v>
      </x:c>
      <x:c r="E1985" s="147" t="s">
        <x:v>132</x:v>
      </x:c>
    </x:row>
    <x:row r="1986" spans="1:17">
      <x:c r="D1986" s="147" t="n">
        <x:v>10128596</x:v>
      </x:c>
      <x:c r="E1986" s="147" t="s">
        <x:v>56</x:v>
      </x:c>
    </x:row>
    <x:row r="1987" spans="1:17">
      <x:c r="D1987" s="147" t="n">
        <x:v>10128597</x:v>
      </x:c>
      <x:c r="E1987" s="147" t="s">
        <x:v>114</x:v>
      </x:c>
    </x:row>
    <x:row r="1988" spans="1:17">
      <x:c r="D1988" s="147" t="n">
        <x:v>10128598</x:v>
      </x:c>
      <x:c r="E1988" s="147" t="s">
        <x:v>132</x:v>
      </x:c>
    </x:row>
    <x:row r="1989" spans="1:17">
      <x:c r="D1989" s="147" t="n">
        <x:v>10128599</x:v>
      </x:c>
      <x:c r="E1989" s="147" t="s">
        <x:v>154</x:v>
      </x:c>
    </x:row>
    <x:row r="1990" spans="1:17">
      <x:c r="D1990" s="147" t="n">
        <x:v>10128600</x:v>
      </x:c>
      <x:c r="E1990" s="147" t="s">
        <x:v>114</x:v>
      </x:c>
    </x:row>
    <x:row r="1991" spans="1:17">
      <x:c r="D1991" s="147" t="n">
        <x:v>10128579</x:v>
      </x:c>
      <x:c r="E1991" s="147" t="s">
        <x:v>154</x:v>
      </x:c>
    </x:row>
    <x:row r="1992" spans="1:17">
      <x:c r="D1992" s="147" t="n">
        <x:v>10128580</x:v>
      </x:c>
      <x:c r="E1992" s="147" t="s">
        <x:v>114</x:v>
      </x:c>
    </x:row>
    <x:row r="1993" spans="1:17">
      <x:c r="D1993" s="147" t="n">
        <x:v>10128581</x:v>
      </x:c>
      <x:c r="E1993" s="147" t="s">
        <x:v>114</x:v>
      </x:c>
    </x:row>
    <x:row r="1994" spans="1:17">
      <x:c r="D1994" s="147" t="n">
        <x:v>10128582</x:v>
      </x:c>
      <x:c r="E1994" s="147" t="s">
        <x:v>132</x:v>
      </x:c>
    </x:row>
    <x:row r="1995" spans="1:17">
      <x:c r="D1995" s="147" t="n">
        <x:v>10128595</x:v>
      </x:c>
      <x:c r="E1995" s="147" t="s">
        <x:v>132</x:v>
      </x:c>
    </x:row>
    <x:row r="1996" spans="1:17">
      <x:c r="D1996" s="147" t="n">
        <x:v>10128596</x:v>
      </x:c>
      <x:c r="E1996" s="147" t="s">
        <x:v>56</x:v>
      </x:c>
    </x:row>
    <x:row r="1997" spans="1:17">
      <x:c r="D1997" s="147" t="n">
        <x:v>10128597</x:v>
      </x:c>
      <x:c r="E1997" s="147" t="s">
        <x:v>114</x:v>
      </x:c>
    </x:row>
    <x:row r="1998" spans="1:17">
      <x:c r="D1998" s="147" t="n">
        <x:v>10128598</x:v>
      </x:c>
      <x:c r="E1998" s="147" t="s">
        <x:v>132</x:v>
      </x:c>
    </x:row>
    <x:row r="1999" spans="1:17">
      <x:c r="D1999" s="147" t="n">
        <x:v>10128599</x:v>
      </x:c>
      <x:c r="E1999" s="147" t="s">
        <x:v>154</x:v>
      </x:c>
    </x:row>
    <x:row r="2000" spans="1:17">
      <x:c r="D2000" s="147" t="n">
        <x:v>10128600</x:v>
      </x:c>
      <x:c r="E2000" s="147" t="s">
        <x:v>114</x:v>
      </x:c>
    </x:row>
    <x:row r="2001" spans="1:17">
      <x:c r="D2001" s="147" t="n">
        <x:v>10128579</x:v>
      </x:c>
      <x:c r="E2001" s="147" t="s">
        <x:v>154</x:v>
      </x:c>
    </x:row>
    <x:row r="2002" spans="1:17">
      <x:c r="D2002" s="147" t="n">
        <x:v>10128580</x:v>
      </x:c>
      <x:c r="E2002" s="147" t="s">
        <x:v>114</x:v>
      </x:c>
    </x:row>
    <x:row r="2003" spans="1:17">
      <x:c r="D2003" s="147" t="n">
        <x:v>10128581</x:v>
      </x:c>
      <x:c r="E2003" s="147" t="s">
        <x:v>114</x:v>
      </x:c>
    </x:row>
    <x:row r="2004" spans="1:17">
      <x:c r="D2004" s="147" t="n">
        <x:v>10128582</x:v>
      </x:c>
      <x:c r="E2004" s="147" t="s">
        <x:v>132</x:v>
      </x:c>
    </x:row>
    <x:row r="2005" spans="1:17">
      <x:c r="D2005" s="147" t="n">
        <x:v>10128595</x:v>
      </x:c>
      <x:c r="E2005" s="147" t="s">
        <x:v>132</x:v>
      </x:c>
    </x:row>
    <x:row r="2006" spans="1:17">
      <x:c r="D2006" s="147" t="n">
        <x:v>10128596</x:v>
      </x:c>
      <x:c r="E2006" s="147" t="s">
        <x:v>56</x:v>
      </x:c>
    </x:row>
    <x:row r="2007" spans="1:17">
      <x:c r="D2007" s="147" t="n">
        <x:v>10128597</x:v>
      </x:c>
      <x:c r="E2007" s="147" t="s">
        <x:v>114</x:v>
      </x:c>
    </x:row>
    <x:row r="2008" spans="1:17">
      <x:c r="D2008" s="147" t="n">
        <x:v>10128598</x:v>
      </x:c>
      <x:c r="E2008" s="147" t="s">
        <x:v>132</x:v>
      </x:c>
    </x:row>
    <x:row r="2009" spans="1:17">
      <x:c r="D2009" s="147" t="n">
        <x:v>10128599</x:v>
      </x:c>
      <x:c r="E2009" s="147" t="s">
        <x:v>154</x:v>
      </x:c>
    </x:row>
    <x:row r="2010" spans="1:17">
      <x:c r="D2010" s="147" t="n">
        <x:v>10128600</x:v>
      </x:c>
      <x:c r="E2010" s="147" t="s">
        <x:v>114</x:v>
      </x:c>
    </x:row>
    <x:row r="2011" spans="1:17">
      <x:c r="D2011" s="147" t="n">
        <x:v>10128579</x:v>
      </x:c>
      <x:c r="E2011" s="147" t="s">
        <x:v>154</x:v>
      </x:c>
    </x:row>
    <x:row r="2012" spans="1:17">
      <x:c r="D2012" s="147" t="n">
        <x:v>10128580</x:v>
      </x:c>
      <x:c r="E2012" s="147" t="s">
        <x:v>114</x:v>
      </x:c>
    </x:row>
    <x:row r="2013" spans="1:17">
      <x:c r="D2013" s="147" t="n">
        <x:v>10128581</x:v>
      </x:c>
      <x:c r="E2013" s="147" t="s">
        <x:v>114</x:v>
      </x:c>
    </x:row>
    <x:row r="2014" spans="1:17">
      <x:c r="D2014" s="147" t="n">
        <x:v>10128582</x:v>
      </x:c>
      <x:c r="E2014" s="147" t="s">
        <x:v>132</x:v>
      </x:c>
    </x:row>
    <x:row r="2015" spans="1:17">
      <x:c r="D2015" s="147" t="n">
        <x:v>10128595</x:v>
      </x:c>
      <x:c r="E2015" s="147" t="s">
        <x:v>132</x:v>
      </x:c>
    </x:row>
    <x:row r="2016" spans="1:17">
      <x:c r="D2016" s="147" t="n">
        <x:v>10128596</x:v>
      </x:c>
      <x:c r="E2016" s="147" t="s">
        <x:v>56</x:v>
      </x:c>
    </x:row>
    <x:row r="2017" spans="1:17">
      <x:c r="D2017" s="147" t="n">
        <x:v>10128597</x:v>
      </x:c>
      <x:c r="E2017" s="147" t="s">
        <x:v>114</x:v>
      </x:c>
    </x:row>
    <x:row r="2018" spans="1:17">
      <x:c r="D2018" s="147" t="n">
        <x:v>10128598</x:v>
      </x:c>
      <x:c r="E2018" s="147" t="s">
        <x:v>132</x:v>
      </x:c>
    </x:row>
    <x:row r="2019" spans="1:17">
      <x:c r="D2019" s="147" t="n">
        <x:v>10128599</x:v>
      </x:c>
      <x:c r="E2019" s="147" t="s">
        <x:v>154</x:v>
      </x:c>
    </x:row>
    <x:row r="2020" spans="1:17">
      <x:c r="D2020" s="147" t="n">
        <x:v>10128600</x:v>
      </x:c>
      <x:c r="E2020" s="147" t="s">
        <x:v>114</x:v>
      </x:c>
    </x:row>
    <x:row r="2021" spans="1:17">
      <x:c r="D2021" s="147" t="n">
        <x:v>10128579</x:v>
      </x:c>
      <x:c r="E2021" s="147" t="s">
        <x:v>154</x:v>
      </x:c>
    </x:row>
    <x:row r="2022" spans="1:17">
      <x:c r="D2022" s="147" t="n">
        <x:v>10128580</x:v>
      </x:c>
      <x:c r="E2022" s="147" t="s">
        <x:v>114</x:v>
      </x:c>
    </x:row>
    <x:row r="2023" spans="1:17">
      <x:c r="D2023" s="147" t="n">
        <x:v>10128581</x:v>
      </x:c>
      <x:c r="E2023" s="147" t="s">
        <x:v>114</x:v>
      </x:c>
    </x:row>
    <x:row r="2024" spans="1:17">
      <x:c r="D2024" s="147" t="n">
        <x:v>10128582</x:v>
      </x:c>
      <x:c r="E2024" s="147" t="s">
        <x:v>132</x:v>
      </x:c>
    </x:row>
    <x:row r="2025" spans="1:17">
      <x:c r="D2025" s="147" t="n">
        <x:v>10128595</x:v>
      </x:c>
      <x:c r="E2025" s="147" t="s">
        <x:v>132</x:v>
      </x:c>
    </x:row>
    <x:row r="2026" spans="1:17">
      <x:c r="D2026" s="147" t="n">
        <x:v>10128596</x:v>
      </x:c>
      <x:c r="E2026" s="147" t="s">
        <x:v>56</x:v>
      </x:c>
    </x:row>
    <x:row r="2027" spans="1:17">
      <x:c r="D2027" s="147" t="n">
        <x:v>10128597</x:v>
      </x:c>
      <x:c r="E2027" s="147" t="s">
        <x:v>114</x:v>
      </x:c>
    </x:row>
    <x:row r="2028" spans="1:17">
      <x:c r="D2028" s="147" t="n">
        <x:v>10128598</x:v>
      </x:c>
      <x:c r="E2028" s="147" t="s">
        <x:v>132</x:v>
      </x:c>
    </x:row>
    <x:row r="2029" spans="1:17">
      <x:c r="D2029" s="147" t="n">
        <x:v>10128599</x:v>
      </x:c>
      <x:c r="E2029" s="147" t="s">
        <x:v>154</x:v>
      </x:c>
    </x:row>
    <x:row r="2030" spans="1:17">
      <x:c r="D2030" s="147" t="n">
        <x:v>10128600</x:v>
      </x:c>
      <x:c r="E2030" s="147" t="s">
        <x:v>114</x:v>
      </x:c>
    </x:row>
    <x:row r="2031" spans="1:17">
      <x:c r="D2031" s="147" t="n">
        <x:v>10128579</x:v>
      </x:c>
      <x:c r="E2031" s="147" t="s">
        <x:v>154</x:v>
      </x:c>
    </x:row>
    <x:row r="2032" spans="1:17">
      <x:c r="D2032" s="147" t="n">
        <x:v>10128580</x:v>
      </x:c>
      <x:c r="E2032" s="147" t="s">
        <x:v>114</x:v>
      </x:c>
    </x:row>
    <x:row r="2033" spans="1:17">
      <x:c r="D2033" s="147" t="n">
        <x:v>10128581</x:v>
      </x:c>
      <x:c r="E2033" s="147" t="s">
        <x:v>114</x:v>
      </x:c>
    </x:row>
    <x:row r="2034" spans="1:17">
      <x:c r="D2034" s="147" t="n">
        <x:v>10128582</x:v>
      </x:c>
      <x:c r="E2034" s="147" t="s">
        <x:v>132</x:v>
      </x:c>
    </x:row>
    <x:row r="2035" spans="1:17">
      <x:c r="D2035" s="147" t="n">
        <x:v>10128595</x:v>
      </x:c>
      <x:c r="E2035" s="147" t="s">
        <x:v>132</x:v>
      </x:c>
    </x:row>
    <x:row r="2036" spans="1:17">
      <x:c r="D2036" s="147" t="n">
        <x:v>10128596</x:v>
      </x:c>
      <x:c r="E2036" s="147" t="s">
        <x:v>56</x:v>
      </x:c>
    </x:row>
    <x:row r="2037" spans="1:17">
      <x:c r="D2037" s="147" t="n">
        <x:v>10128597</x:v>
      </x:c>
      <x:c r="E2037" s="147" t="s">
        <x:v>114</x:v>
      </x:c>
    </x:row>
    <x:row r="2038" spans="1:17">
      <x:c r="D2038" s="147" t="n">
        <x:v>10128598</x:v>
      </x:c>
      <x:c r="E2038" s="147" t="s">
        <x:v>132</x:v>
      </x:c>
    </x:row>
    <x:row r="2039" spans="1:17">
      <x:c r="D2039" s="147" t="n">
        <x:v>10128599</x:v>
      </x:c>
      <x:c r="E2039" s="147" t="s">
        <x:v>154</x:v>
      </x:c>
    </x:row>
    <x:row r="2040" spans="1:17">
      <x:c r="D2040" s="147" t="n">
        <x:v>10128600</x:v>
      </x:c>
      <x:c r="E2040" s="147" t="s">
        <x:v>114</x:v>
      </x:c>
    </x:row>
    <x:row r="2041" spans="1:17">
      <x:c r="D2041" s="147" t="n">
        <x:v>10128579</x:v>
      </x:c>
      <x:c r="E2041" s="147" t="s">
        <x:v>154</x:v>
      </x:c>
    </x:row>
    <x:row r="2042" spans="1:17">
      <x:c r="D2042" s="147" t="n">
        <x:v>10128580</x:v>
      </x:c>
      <x:c r="E2042" s="147" t="s">
        <x:v>114</x:v>
      </x:c>
    </x:row>
    <x:row r="2043" spans="1:17">
      <x:c r="D2043" s="147" t="n">
        <x:v>10128581</x:v>
      </x:c>
      <x:c r="E2043" s="147" t="s">
        <x:v>114</x:v>
      </x:c>
    </x:row>
    <x:row r="2044" spans="1:17">
      <x:c r="D2044" s="147" t="n">
        <x:v>10128582</x:v>
      </x:c>
      <x:c r="E2044" s="147" t="s">
        <x:v>132</x:v>
      </x:c>
    </x:row>
    <x:row r="2045" spans="1:17">
      <x:c r="D2045" s="147" t="n">
        <x:v>10128595</x:v>
      </x:c>
      <x:c r="E2045" s="147" t="s">
        <x:v>132</x:v>
      </x:c>
    </x:row>
    <x:row r="2046" spans="1:17">
      <x:c r="D2046" s="147" t="n">
        <x:v>10128596</x:v>
      </x:c>
      <x:c r="E2046" s="147" t="s">
        <x:v>56</x:v>
      </x:c>
    </x:row>
    <x:row r="2047" spans="1:17">
      <x:c r="D2047" s="147" t="n">
        <x:v>10128597</x:v>
      </x:c>
      <x:c r="E2047" s="147" t="s">
        <x:v>114</x:v>
      </x:c>
    </x:row>
    <x:row r="2048" spans="1:17">
      <x:c r="D2048" s="147" t="n">
        <x:v>10128598</x:v>
      </x:c>
      <x:c r="E2048" s="147" t="s">
        <x:v>132</x:v>
      </x:c>
    </x:row>
    <x:row r="2049" spans="1:17">
      <x:c r="D2049" s="147" t="n">
        <x:v>10128599</x:v>
      </x:c>
      <x:c r="E2049" s="147" t="s">
        <x:v>154</x:v>
      </x:c>
    </x:row>
    <x:row r="2050" spans="1:17">
      <x:c r="D2050" s="147" t="n">
        <x:v>10128600</x:v>
      </x:c>
      <x:c r="E2050" s="147" t="s">
        <x:v>114</x:v>
      </x:c>
    </x:row>
    <x:row r="2051" spans="1:17">
      <x:c r="D2051" s="147" t="n">
        <x:v>10128579</x:v>
      </x:c>
      <x:c r="E2051" s="147" t="s">
        <x:v>154</x:v>
      </x:c>
    </x:row>
    <x:row r="2052" spans="1:17">
      <x:c r="D2052" s="147" t="n">
        <x:v>10128580</x:v>
      </x:c>
      <x:c r="E2052" s="147" t="s">
        <x:v>114</x:v>
      </x:c>
    </x:row>
    <x:row r="2053" spans="1:17">
      <x:c r="D2053" s="147" t="n">
        <x:v>10128581</x:v>
      </x:c>
      <x:c r="E2053" s="147" t="s">
        <x:v>114</x:v>
      </x:c>
    </x:row>
    <x:row r="2054" spans="1:17">
      <x:c r="D2054" s="147" t="n">
        <x:v>10128582</x:v>
      </x:c>
      <x:c r="E2054" s="147" t="s">
        <x:v>132</x:v>
      </x:c>
    </x:row>
    <x:row r="2055" spans="1:17">
      <x:c r="D2055" s="147" t="n">
        <x:v>10128595</x:v>
      </x:c>
      <x:c r="E2055" s="147" t="s">
        <x:v>132</x:v>
      </x:c>
    </x:row>
    <x:row r="2056" spans="1:17">
      <x:c r="D2056" s="147" t="n">
        <x:v>10128596</x:v>
      </x:c>
      <x:c r="E2056" s="147" t="s">
        <x:v>56</x:v>
      </x:c>
    </x:row>
    <x:row r="2057" spans="1:17">
      <x:c r="D2057" s="147" t="n">
        <x:v>10128597</x:v>
      </x:c>
      <x:c r="E2057" s="147" t="s">
        <x:v>114</x:v>
      </x:c>
    </x:row>
    <x:row r="2058" spans="1:17">
      <x:c r="D2058" s="147" t="n">
        <x:v>10128598</x:v>
      </x:c>
      <x:c r="E2058" s="147" t="s">
        <x:v>132</x:v>
      </x:c>
    </x:row>
    <x:row r="2059" spans="1:17">
      <x:c r="D2059" s="147" t="n">
        <x:v>10128599</x:v>
      </x:c>
      <x:c r="E2059" s="147" t="s">
        <x:v>154</x:v>
      </x:c>
    </x:row>
    <x:row r="2060" spans="1:17">
      <x:c r="D2060" s="147" t="n">
        <x:v>10128600</x:v>
      </x:c>
      <x:c r="E2060" s="147" t="s">
        <x:v>114</x:v>
      </x:c>
    </x:row>
    <x:row r="2061" spans="1:17">
      <x:c r="D2061" s="147" t="n">
        <x:v>10128579</x:v>
      </x:c>
      <x:c r="E2061" s="147" t="s">
        <x:v>154</x:v>
      </x:c>
    </x:row>
    <x:row r="2062" spans="1:17">
      <x:c r="D2062" s="147" t="n">
        <x:v>10128580</x:v>
      </x:c>
      <x:c r="E2062" s="147" t="s">
        <x:v>114</x:v>
      </x:c>
    </x:row>
    <x:row r="2063" spans="1:17">
      <x:c r="D2063" s="147" t="n">
        <x:v>10128581</x:v>
      </x:c>
      <x:c r="E2063" s="147" t="s">
        <x:v>114</x:v>
      </x:c>
    </x:row>
    <x:row r="2064" spans="1:17">
      <x:c r="D2064" s="147" t="n">
        <x:v>10128582</x:v>
      </x:c>
      <x:c r="E2064" s="147" t="s">
        <x:v>132</x:v>
      </x:c>
    </x:row>
    <x:row r="2065" spans="1:17">
      <x:c r="D2065" s="147" t="n">
        <x:v>10128595</x:v>
      </x:c>
      <x:c r="E2065" s="147" t="s">
        <x:v>132</x:v>
      </x:c>
    </x:row>
    <x:row r="2066" spans="1:17">
      <x:c r="D2066" s="147" t="n">
        <x:v>10128596</x:v>
      </x:c>
      <x:c r="E2066" s="147" t="s">
        <x:v>56</x:v>
      </x:c>
    </x:row>
    <x:row r="2067" spans="1:17">
      <x:c r="D2067" s="147" t="n">
        <x:v>10128597</x:v>
      </x:c>
      <x:c r="E2067" s="147" t="s">
        <x:v>114</x:v>
      </x:c>
    </x:row>
    <x:row r="2068" spans="1:17">
      <x:c r="D2068" s="147" t="n">
        <x:v>10128598</x:v>
      </x:c>
      <x:c r="E2068" s="147" t="s">
        <x:v>132</x:v>
      </x:c>
    </x:row>
    <x:row r="2069" spans="1:17">
      <x:c r="D2069" s="147" t="n">
        <x:v>10128599</x:v>
      </x:c>
      <x:c r="E2069" s="147" t="s">
        <x:v>154</x:v>
      </x:c>
    </x:row>
    <x:row r="2070" spans="1:17">
      <x:c r="D2070" s="147" t="n">
        <x:v>10128600</x:v>
      </x:c>
      <x:c r="E2070" s="147" t="s">
        <x:v>114</x:v>
      </x:c>
    </x:row>
    <x:row r="2071" spans="1:17">
      <x:c r="D2071" s="147" t="n">
        <x:v>10128579</x:v>
      </x:c>
      <x:c r="E2071" s="147" t="s">
        <x:v>154</x:v>
      </x:c>
    </x:row>
    <x:row r="2072" spans="1:17">
      <x:c r="D2072" s="147" t="n">
        <x:v>10128580</x:v>
      </x:c>
      <x:c r="E2072" s="147" t="s">
        <x:v>114</x:v>
      </x:c>
    </x:row>
    <x:row r="2073" spans="1:17">
      <x:c r="D2073" s="147" t="n">
        <x:v>10128581</x:v>
      </x:c>
      <x:c r="E2073" s="147" t="s">
        <x:v>114</x:v>
      </x:c>
    </x:row>
    <x:row r="2074" spans="1:17">
      <x:c r="D2074" s="147" t="n">
        <x:v>10128582</x:v>
      </x:c>
      <x:c r="E2074" s="147" t="s">
        <x:v>132</x:v>
      </x:c>
    </x:row>
    <x:row r="2075" spans="1:17">
      <x:c r="D2075" s="147" t="n">
        <x:v>10128595</x:v>
      </x:c>
      <x:c r="E2075" s="147" t="s">
        <x:v>132</x:v>
      </x:c>
    </x:row>
    <x:row r="2076" spans="1:17">
      <x:c r="D2076" s="147" t="n">
        <x:v>10128596</x:v>
      </x:c>
      <x:c r="E2076" s="147" t="s">
        <x:v>56</x:v>
      </x:c>
    </x:row>
    <x:row r="2077" spans="1:17">
      <x:c r="D2077" s="147" t="n">
        <x:v>10128597</x:v>
      </x:c>
      <x:c r="E2077" s="147" t="s">
        <x:v>114</x:v>
      </x:c>
    </x:row>
    <x:row r="2078" spans="1:17">
      <x:c r="D2078" s="147" t="n">
        <x:v>10128598</x:v>
      </x:c>
      <x:c r="E2078" s="147" t="s">
        <x:v>132</x:v>
      </x:c>
    </x:row>
    <x:row r="2079" spans="1:17">
      <x:c r="D2079" s="147" t="n">
        <x:v>10128599</x:v>
      </x:c>
      <x:c r="E2079" s="147" t="s">
        <x:v>154</x:v>
      </x:c>
    </x:row>
    <x:row r="2080" spans="1:17">
      <x:c r="D2080" s="147" t="n">
        <x:v>10128600</x:v>
      </x:c>
      <x:c r="E2080" s="147" t="s">
        <x:v>114</x:v>
      </x:c>
    </x:row>
    <x:row r="2081" spans="1:17">
      <x:c r="D2081" s="147" t="n">
        <x:v>10128579</x:v>
      </x:c>
      <x:c r="E2081" s="147" t="s">
        <x:v>154</x:v>
      </x:c>
    </x:row>
    <x:row r="2082" spans="1:17">
      <x:c r="D2082" s="147" t="n">
        <x:v>10128580</x:v>
      </x:c>
      <x:c r="E2082" s="147" t="s">
        <x:v>114</x:v>
      </x:c>
    </x:row>
    <x:row r="2083" spans="1:17">
      <x:c r="D2083" s="147" t="n">
        <x:v>10128581</x:v>
      </x:c>
      <x:c r="E2083" s="147" t="s">
        <x:v>114</x:v>
      </x:c>
    </x:row>
    <x:row r="2084" spans="1:17">
      <x:c r="D2084" s="147" t="n">
        <x:v>10128582</x:v>
      </x:c>
      <x:c r="E2084" s="147" t="s">
        <x:v>132</x:v>
      </x:c>
    </x:row>
    <x:row r="2085" spans="1:17">
      <x:c r="D2085" s="147" t="n">
        <x:v>10128595</x:v>
      </x:c>
      <x:c r="E2085" s="147" t="s">
        <x:v>132</x:v>
      </x:c>
    </x:row>
    <x:row r="2086" spans="1:17">
      <x:c r="D2086" s="147" t="n">
        <x:v>10128596</x:v>
      </x:c>
      <x:c r="E2086" s="147" t="s">
        <x:v>56</x:v>
      </x:c>
    </x:row>
    <x:row r="2087" spans="1:17">
      <x:c r="D2087" s="147" t="n">
        <x:v>10128597</x:v>
      </x:c>
      <x:c r="E2087" s="147" t="s">
        <x:v>114</x:v>
      </x:c>
    </x:row>
    <x:row r="2088" spans="1:17">
      <x:c r="D2088" s="147" t="n">
        <x:v>10128598</x:v>
      </x:c>
      <x:c r="E2088" s="147" t="s">
        <x:v>132</x:v>
      </x:c>
    </x:row>
    <x:row r="2089" spans="1:17">
      <x:c r="D2089" s="147" t="n">
        <x:v>10128599</x:v>
      </x:c>
      <x:c r="E2089" s="147" t="s">
        <x:v>154</x:v>
      </x:c>
    </x:row>
    <x:row r="2090" spans="1:17">
      <x:c r="D2090" s="147" t="n">
        <x:v>10128600</x:v>
      </x:c>
      <x:c r="E2090" s="147" t="s">
        <x:v>114</x:v>
      </x:c>
    </x:row>
    <x:row r="2091" spans="1:17">
      <x:c r="D2091" s="147" t="n">
        <x:v>10128579</x:v>
      </x:c>
      <x:c r="E2091" s="147" t="s">
        <x:v>154</x:v>
      </x:c>
    </x:row>
    <x:row r="2092" spans="1:17">
      <x:c r="D2092" s="147" t="n">
        <x:v>10128580</x:v>
      </x:c>
      <x:c r="E2092" s="147" t="s">
        <x:v>114</x:v>
      </x:c>
    </x:row>
    <x:row r="2093" spans="1:17">
      <x:c r="D2093" s="147" t="n">
        <x:v>10128581</x:v>
      </x:c>
      <x:c r="E2093" s="147" t="s">
        <x:v>114</x:v>
      </x:c>
    </x:row>
    <x:row r="2094" spans="1:17">
      <x:c r="D2094" s="147" t="n">
        <x:v>10128582</x:v>
      </x:c>
      <x:c r="E2094" s="147" t="s">
        <x:v>132</x:v>
      </x:c>
    </x:row>
    <x:row r="2095" spans="1:17">
      <x:c r="D2095" s="147" t="n">
        <x:v>10128595</x:v>
      </x:c>
      <x:c r="E2095" s="147" t="s">
        <x:v>132</x:v>
      </x:c>
    </x:row>
    <x:row r="2096" spans="1:17">
      <x:c r="D2096" s="147" t="n">
        <x:v>10128596</x:v>
      </x:c>
      <x:c r="E2096" s="147" t="s">
        <x:v>56</x:v>
      </x:c>
    </x:row>
    <x:row r="2097" spans="1:17">
      <x:c r="D2097" s="147" t="n">
        <x:v>10128597</x:v>
      </x:c>
      <x:c r="E2097" s="147" t="s">
        <x:v>114</x:v>
      </x:c>
    </x:row>
    <x:row r="2098" spans="1:17">
      <x:c r="D2098" s="147" t="n">
        <x:v>10128598</x:v>
      </x:c>
      <x:c r="E2098" s="147" t="s">
        <x:v>132</x:v>
      </x:c>
    </x:row>
    <x:row r="2099" spans="1:17">
      <x:c r="D2099" s="147" t="n">
        <x:v>10128599</x:v>
      </x:c>
      <x:c r="E2099" s="147" t="s">
        <x:v>154</x:v>
      </x:c>
    </x:row>
    <x:row r="2100" spans="1:17">
      <x:c r="D2100" s="147" t="n">
        <x:v>10128600</x:v>
      </x:c>
      <x:c r="E2100" s="147" t="s">
        <x:v>114</x:v>
      </x:c>
    </x:row>
    <x:row r="2101" spans="1:17">
      <x:c r="D2101" s="147" t="n">
        <x:v>10128579</x:v>
      </x:c>
      <x:c r="E2101" s="147" t="s">
        <x:v>154</x:v>
      </x:c>
    </x:row>
    <x:row r="2102" spans="1:17">
      <x:c r="D2102" s="147" t="n">
        <x:v>10128580</x:v>
      </x:c>
      <x:c r="E2102" s="147" t="s">
        <x:v>114</x:v>
      </x:c>
    </x:row>
    <x:row r="2103" spans="1:17">
      <x:c r="D2103" s="147" t="n">
        <x:v>10128581</x:v>
      </x:c>
      <x:c r="E2103" s="147" t="s">
        <x:v>114</x:v>
      </x:c>
    </x:row>
    <x:row r="2104" spans="1:17">
      <x:c r="D2104" s="147" t="n">
        <x:v>10128582</x:v>
      </x:c>
      <x:c r="E2104" s="147" t="s">
        <x:v>132</x:v>
      </x:c>
    </x:row>
    <x:row r="2105" spans="1:17">
      <x:c r="D2105" s="147" t="n">
        <x:v>10128595</x:v>
      </x:c>
      <x:c r="E2105" s="147" t="s">
        <x:v>132</x:v>
      </x:c>
    </x:row>
    <x:row r="2106" spans="1:17">
      <x:c r="D2106" s="147" t="n">
        <x:v>10128596</x:v>
      </x:c>
      <x:c r="E2106" s="147" t="s">
        <x:v>56</x:v>
      </x:c>
    </x:row>
    <x:row r="2107" spans="1:17">
      <x:c r="D2107" s="147" t="n">
        <x:v>10128597</x:v>
      </x:c>
      <x:c r="E2107" s="147" t="s">
        <x:v>114</x:v>
      </x:c>
    </x:row>
    <x:row r="2108" spans="1:17">
      <x:c r="D2108" s="147" t="n">
        <x:v>10128598</x:v>
      </x:c>
      <x:c r="E2108" s="147" t="s">
        <x:v>132</x:v>
      </x:c>
    </x:row>
    <x:row r="2109" spans="1:17">
      <x:c r="D2109" s="147" t="n">
        <x:v>10128599</x:v>
      </x:c>
      <x:c r="E2109" s="147" t="s">
        <x:v>154</x:v>
      </x:c>
    </x:row>
    <x:row r="2110" spans="1:17">
      <x:c r="D2110" s="147" t="n">
        <x:v>10128600</x:v>
      </x:c>
      <x:c r="E2110" s="147" t="s">
        <x:v>114</x:v>
      </x:c>
    </x:row>
    <x:row r="2111" spans="1:17">
      <x:c r="D2111" s="147" t="n">
        <x:v>10128579</x:v>
      </x:c>
      <x:c r="E2111" s="147" t="s">
        <x:v>154</x:v>
      </x:c>
    </x:row>
    <x:row r="2112" spans="1:17">
      <x:c r="D2112" s="147" t="n">
        <x:v>10128580</x:v>
      </x:c>
      <x:c r="E2112" s="147" t="s">
        <x:v>114</x:v>
      </x:c>
    </x:row>
    <x:row r="2113" spans="1:17">
      <x:c r="D2113" s="147" t="n">
        <x:v>10128581</x:v>
      </x:c>
      <x:c r="E2113" s="147" t="s">
        <x:v>114</x:v>
      </x:c>
    </x:row>
    <x:row r="2114" spans="1:17">
      <x:c r="D2114" s="147" t="n">
        <x:v>10128582</x:v>
      </x:c>
      <x:c r="E2114" s="147" t="s">
        <x:v>132</x:v>
      </x:c>
    </x:row>
    <x:row r="2115" spans="1:17">
      <x:c r="D2115" s="147" t="n">
        <x:v>10128595</x:v>
      </x:c>
      <x:c r="E2115" s="147" t="s">
        <x:v>132</x:v>
      </x:c>
    </x:row>
    <x:row r="2116" spans="1:17">
      <x:c r="D2116" s="147" t="n">
        <x:v>10128596</x:v>
      </x:c>
      <x:c r="E2116" s="147" t="s">
        <x:v>56</x:v>
      </x:c>
    </x:row>
    <x:row r="2117" spans="1:17">
      <x:c r="D2117" s="147" t="n">
        <x:v>10128597</x:v>
      </x:c>
      <x:c r="E2117" s="147" t="s">
        <x:v>114</x:v>
      </x:c>
    </x:row>
    <x:row r="2118" spans="1:17">
      <x:c r="D2118" s="147" t="n">
        <x:v>10128598</x:v>
      </x:c>
      <x:c r="E2118" s="147" t="s">
        <x:v>132</x:v>
      </x:c>
    </x:row>
    <x:row r="2119" spans="1:17">
      <x:c r="D2119" s="147" t="n">
        <x:v>10128599</x:v>
      </x:c>
      <x:c r="E2119" s="147" t="s">
        <x:v>154</x:v>
      </x:c>
    </x:row>
    <x:row r="2120" spans="1:17">
      <x:c r="D2120" s="147" t="n">
        <x:v>10128600</x:v>
      </x:c>
      <x:c r="E2120" s="147" t="s">
        <x:v>114</x:v>
      </x:c>
    </x:row>
    <x:row r="2121" spans="1:17">
      <x:c r="D2121" s="147" t="n">
        <x:v>10128579</x:v>
      </x:c>
      <x:c r="E2121" s="147" t="s">
        <x:v>154</x:v>
      </x:c>
    </x:row>
    <x:row r="2122" spans="1:17">
      <x:c r="D2122" s="147" t="n">
        <x:v>10128580</x:v>
      </x:c>
      <x:c r="E2122" s="147" t="s">
        <x:v>114</x:v>
      </x:c>
    </x:row>
    <x:row r="2123" spans="1:17">
      <x:c r="D2123" s="147" t="n">
        <x:v>10128581</x:v>
      </x:c>
      <x:c r="E2123" s="147" t="s">
        <x:v>114</x:v>
      </x:c>
    </x:row>
    <x:row r="2124" spans="1:17">
      <x:c r="D2124" s="147" t="n">
        <x:v>10128582</x:v>
      </x:c>
      <x:c r="E2124" s="147" t="s">
        <x:v>132</x:v>
      </x:c>
    </x:row>
    <x:row r="2125" spans="1:17">
      <x:c r="D2125" s="147" t="n">
        <x:v>10128595</x:v>
      </x:c>
      <x:c r="E2125" s="147" t="s">
        <x:v>132</x:v>
      </x:c>
    </x:row>
    <x:row r="2126" spans="1:17">
      <x:c r="D2126" s="147" t="n">
        <x:v>10128596</x:v>
      </x:c>
      <x:c r="E2126" s="147" t="s">
        <x:v>56</x:v>
      </x:c>
    </x:row>
    <x:row r="2127" spans="1:17">
      <x:c r="D2127" s="147" t="n">
        <x:v>10128597</x:v>
      </x:c>
      <x:c r="E2127" s="147" t="s">
        <x:v>114</x:v>
      </x:c>
    </x:row>
    <x:row r="2128" spans="1:17">
      <x:c r="D2128" s="147" t="n">
        <x:v>10128598</x:v>
      </x:c>
      <x:c r="E2128" s="147" t="s">
        <x:v>132</x:v>
      </x:c>
    </x:row>
    <x:row r="2129" spans="1:17">
      <x:c r="D2129" s="147" t="n">
        <x:v>10128599</x:v>
      </x:c>
      <x:c r="E2129" s="147" t="s">
        <x:v>154</x:v>
      </x:c>
    </x:row>
    <x:row r="2130" spans="1:17">
      <x:c r="D2130" s="147" t="n">
        <x:v>10128600</x:v>
      </x:c>
      <x:c r="E2130" s="147" t="s">
        <x:v>114</x:v>
      </x:c>
    </x:row>
    <x:row r="2131" spans="1:17">
      <x:c r="D2131" s="147" t="n">
        <x:v>10128579</x:v>
      </x:c>
      <x:c r="E2131" s="147" t="s">
        <x:v>154</x:v>
      </x:c>
    </x:row>
    <x:row r="2132" spans="1:17">
      <x:c r="D2132" s="147" t="n">
        <x:v>10128580</x:v>
      </x:c>
      <x:c r="E2132" s="147" t="s">
        <x:v>114</x:v>
      </x:c>
    </x:row>
    <x:row r="2133" spans="1:17">
      <x:c r="D2133" s="147" t="n">
        <x:v>10128581</x:v>
      </x:c>
      <x:c r="E2133" s="147" t="s">
        <x:v>114</x:v>
      </x:c>
    </x:row>
    <x:row r="2134" spans="1:17">
      <x:c r="D2134" s="147" t="n">
        <x:v>10128582</x:v>
      </x:c>
      <x:c r="E2134" s="147" t="s">
        <x:v>132</x:v>
      </x:c>
    </x:row>
    <x:row r="2135" spans="1:17">
      <x:c r="D2135" s="147" t="n">
        <x:v>10128595</x:v>
      </x:c>
      <x:c r="E2135" s="147" t="s">
        <x:v>132</x:v>
      </x:c>
    </x:row>
    <x:row r="2136" spans="1:17">
      <x:c r="D2136" s="147" t="n">
        <x:v>10128596</x:v>
      </x:c>
      <x:c r="E2136" s="147" t="s">
        <x:v>56</x:v>
      </x:c>
    </x:row>
    <x:row r="2137" spans="1:17">
      <x:c r="D2137" s="147" t="n">
        <x:v>10128597</x:v>
      </x:c>
      <x:c r="E2137" s="147" t="s">
        <x:v>114</x:v>
      </x:c>
    </x:row>
    <x:row r="2138" spans="1:17">
      <x:c r="D2138" s="147" t="n">
        <x:v>10128598</x:v>
      </x:c>
      <x:c r="E2138" s="147" t="s">
        <x:v>132</x:v>
      </x:c>
    </x:row>
    <x:row r="2139" spans="1:17">
      <x:c r="D2139" s="147" t="n">
        <x:v>10128599</x:v>
      </x:c>
      <x:c r="E2139" s="147" t="s">
        <x:v>154</x:v>
      </x:c>
    </x:row>
    <x:row r="2140" spans="1:17">
      <x:c r="D2140" s="147" t="n">
        <x:v>10128600</x:v>
      </x:c>
      <x:c r="E2140" s="147" t="s">
        <x:v>114</x:v>
      </x:c>
    </x:row>
    <x:row r="2141" spans="1:17">
      <x:c r="D2141" s="147" t="n">
        <x:v>10128579</x:v>
      </x:c>
      <x:c r="E2141" s="147" t="s">
        <x:v>154</x:v>
      </x:c>
    </x:row>
    <x:row r="2142" spans="1:17">
      <x:c r="D2142" s="147" t="n">
        <x:v>10128580</x:v>
      </x:c>
      <x:c r="E2142" s="147" t="s">
        <x:v>114</x:v>
      </x:c>
    </x:row>
    <x:row r="2143" spans="1:17">
      <x:c r="D2143" s="147" t="n">
        <x:v>10128581</x:v>
      </x:c>
      <x:c r="E2143" s="147" t="s">
        <x:v>114</x:v>
      </x:c>
    </x:row>
    <x:row r="2144" spans="1:17">
      <x:c r="D2144" s="147" t="n">
        <x:v>10128582</x:v>
      </x:c>
      <x:c r="E2144" s="147" t="s">
        <x:v>132</x:v>
      </x:c>
    </x:row>
    <x:row r="2145" spans="1:17">
      <x:c r="D2145" s="147" t="n">
        <x:v>10128595</x:v>
      </x:c>
      <x:c r="E2145" s="147" t="s">
        <x:v>132</x:v>
      </x:c>
    </x:row>
    <x:row r="2146" spans="1:17">
      <x:c r="D2146" s="147" t="n">
        <x:v>10128596</x:v>
      </x:c>
      <x:c r="E2146" s="147" t="s">
        <x:v>56</x:v>
      </x:c>
    </x:row>
    <x:row r="2147" spans="1:17">
      <x:c r="D2147" s="147" t="n">
        <x:v>10128597</x:v>
      </x:c>
      <x:c r="E2147" s="147" t="s">
        <x:v>114</x:v>
      </x:c>
    </x:row>
    <x:row r="2148" spans="1:17">
      <x:c r="D2148" s="147" t="n">
        <x:v>10128598</x:v>
      </x:c>
      <x:c r="E2148" s="147" t="s">
        <x:v>132</x:v>
      </x:c>
    </x:row>
    <x:row r="2149" spans="1:17">
      <x:c r="D2149" s="147" t="n">
        <x:v>10128599</x:v>
      </x:c>
      <x:c r="E2149" s="147" t="s">
        <x:v>154</x:v>
      </x:c>
    </x:row>
    <x:row r="2150" spans="1:17">
      <x:c r="D2150" s="147" t="n">
        <x:v>10128600</x:v>
      </x:c>
      <x:c r="E2150" s="147" t="s">
        <x:v>114</x:v>
      </x:c>
    </x:row>
    <x:row r="2151" spans="1:17">
      <x:c r="D2151" s="147" t="n">
        <x:v>10128579</x:v>
      </x:c>
      <x:c r="E2151" s="147" t="s">
        <x:v>154</x:v>
      </x:c>
    </x:row>
    <x:row r="2152" spans="1:17">
      <x:c r="D2152" s="147" t="n">
        <x:v>10128580</x:v>
      </x:c>
      <x:c r="E2152" s="147" t="s">
        <x:v>114</x:v>
      </x:c>
    </x:row>
    <x:row r="2153" spans="1:17">
      <x:c r="D2153" s="147" t="n">
        <x:v>10128581</x:v>
      </x:c>
      <x:c r="E2153" s="147" t="s">
        <x:v>114</x:v>
      </x:c>
    </x:row>
    <x:row r="2154" spans="1:17">
      <x:c r="D2154" s="147" t="n">
        <x:v>10128582</x:v>
      </x:c>
      <x:c r="E2154" s="147" t="s">
        <x:v>132</x:v>
      </x:c>
    </x:row>
    <x:row r="2155" spans="1:17">
      <x:c r="D2155" s="147" t="n">
        <x:v>10128595</x:v>
      </x:c>
      <x:c r="E2155" s="147" t="s">
        <x:v>132</x:v>
      </x:c>
    </x:row>
    <x:row r="2156" spans="1:17">
      <x:c r="D2156" s="147" t="n">
        <x:v>10128596</x:v>
      </x:c>
      <x:c r="E2156" s="147" t="s">
        <x:v>56</x:v>
      </x:c>
    </x:row>
    <x:row r="2157" spans="1:17">
      <x:c r="D2157" s="147" t="n">
        <x:v>10128597</x:v>
      </x:c>
      <x:c r="E2157" s="147" t="s">
        <x:v>114</x:v>
      </x:c>
    </x:row>
    <x:row r="2158" spans="1:17">
      <x:c r="D2158" s="147" t="n">
        <x:v>10128598</x:v>
      </x:c>
      <x:c r="E2158" s="147" t="s">
        <x:v>132</x:v>
      </x:c>
    </x:row>
    <x:row r="2159" spans="1:17">
      <x:c r="D2159" s="147" t="n">
        <x:v>10128599</x:v>
      </x:c>
      <x:c r="E2159" s="147" t="s">
        <x:v>154</x:v>
      </x:c>
    </x:row>
    <x:row r="2160" spans="1:17">
      <x:c r="D2160" s="147" t="n">
        <x:v>10128600</x:v>
      </x:c>
      <x:c r="E2160" s="147" t="s">
        <x:v>114</x:v>
      </x:c>
    </x:row>
    <x:row r="2161" spans="1:17">
      <x:c r="D2161" s="147" t="n">
        <x:v>10128579</x:v>
      </x:c>
      <x:c r="E2161" s="147" t="s">
        <x:v>154</x:v>
      </x:c>
    </x:row>
    <x:row r="2162" spans="1:17">
      <x:c r="D2162" s="147" t="n">
        <x:v>10128580</x:v>
      </x:c>
      <x:c r="E2162" s="147" t="s">
        <x:v>114</x:v>
      </x:c>
    </x:row>
    <x:row r="2163" spans="1:17">
      <x:c r="D2163" s="147" t="n">
        <x:v>10128581</x:v>
      </x:c>
      <x:c r="E2163" s="147" t="s">
        <x:v>114</x:v>
      </x:c>
    </x:row>
    <x:row r="2164" spans="1:17">
      <x:c r="D2164" s="147" t="n">
        <x:v>10128582</x:v>
      </x:c>
      <x:c r="E2164" s="147" t="s">
        <x:v>132</x:v>
      </x:c>
    </x:row>
    <x:row r="2165" spans="1:17">
      <x:c r="D2165" s="147" t="n">
        <x:v>10128595</x:v>
      </x:c>
      <x:c r="E2165" s="147" t="s">
        <x:v>132</x:v>
      </x:c>
    </x:row>
    <x:row r="2166" spans="1:17">
      <x:c r="D2166" s="147" t="n">
        <x:v>10128596</x:v>
      </x:c>
      <x:c r="E2166" s="147" t="s">
        <x:v>56</x:v>
      </x:c>
    </x:row>
    <x:row r="2167" spans="1:17">
      <x:c r="D2167" s="147" t="n">
        <x:v>10128597</x:v>
      </x:c>
      <x:c r="E2167" s="147" t="s">
        <x:v>114</x:v>
      </x:c>
    </x:row>
    <x:row r="2168" spans="1:17">
      <x:c r="D2168" s="147" t="n">
        <x:v>10128598</x:v>
      </x:c>
      <x:c r="E2168" s="147" t="s">
        <x:v>132</x:v>
      </x:c>
    </x:row>
    <x:row r="2169" spans="1:17">
      <x:c r="D2169" s="147" t="n">
        <x:v>10128599</x:v>
      </x:c>
      <x:c r="E2169" s="147" t="s">
        <x:v>154</x:v>
      </x:c>
    </x:row>
    <x:row r="2170" spans="1:17">
      <x:c r="D2170" s="147" t="n">
        <x:v>10128600</x:v>
      </x:c>
      <x:c r="E2170" s="147" t="s">
        <x:v>114</x:v>
      </x:c>
    </x:row>
    <x:row r="2171" spans="1:17">
      <x:c r="D2171" s="147" t="n">
        <x:v>10128579</x:v>
      </x:c>
      <x:c r="E2171" s="147" t="s">
        <x:v>154</x:v>
      </x:c>
    </x:row>
    <x:row r="2172" spans="1:17">
      <x:c r="D2172" s="147" t="n">
        <x:v>10128580</x:v>
      </x:c>
      <x:c r="E2172" s="147" t="s">
        <x:v>114</x:v>
      </x:c>
    </x:row>
    <x:row r="2173" spans="1:17">
      <x:c r="D2173" s="147" t="n">
        <x:v>10128581</x:v>
      </x:c>
      <x:c r="E2173" s="147" t="s">
        <x:v>114</x:v>
      </x:c>
    </x:row>
    <x:row r="2174" spans="1:17">
      <x:c r="D2174" s="147" t="n">
        <x:v>10128582</x:v>
      </x:c>
      <x:c r="E2174" s="147" t="s">
        <x:v>132</x:v>
      </x:c>
    </x:row>
    <x:row r="2175" spans="1:17">
      <x:c r="D2175" s="147" t="n">
        <x:v>10128595</x:v>
      </x:c>
      <x:c r="E2175" s="147" t="s">
        <x:v>132</x:v>
      </x:c>
    </x:row>
    <x:row r="2176" spans="1:17">
      <x:c r="D2176" s="147" t="n">
        <x:v>10128596</x:v>
      </x:c>
      <x:c r="E2176" s="147" t="s">
        <x:v>56</x:v>
      </x:c>
    </x:row>
    <x:row r="2177" spans="1:17">
      <x:c r="D2177" s="147" t="n">
        <x:v>10128597</x:v>
      </x:c>
      <x:c r="E2177" s="147" t="s">
        <x:v>114</x:v>
      </x:c>
    </x:row>
    <x:row r="2178" spans="1:17">
      <x:c r="D2178" s="147" t="n">
        <x:v>10128598</x:v>
      </x:c>
      <x:c r="E2178" s="147" t="s">
        <x:v>132</x:v>
      </x:c>
    </x:row>
    <x:row r="2179" spans="1:17">
      <x:c r="D2179" s="147" t="n">
        <x:v>10128599</x:v>
      </x:c>
      <x:c r="E2179" s="147" t="s">
        <x:v>154</x:v>
      </x:c>
    </x:row>
    <x:row r="2180" spans="1:17">
      <x:c r="D2180" s="147" t="n">
        <x:v>10128600</x:v>
      </x:c>
      <x:c r="E2180" s="147" t="s">
        <x:v>114</x:v>
      </x:c>
    </x:row>
    <x:row r="2181" spans="1:17">
      <x:c r="D2181" s="147" t="n">
        <x:v>10128579</x:v>
      </x:c>
      <x:c r="E2181" s="147" t="s">
        <x:v>154</x:v>
      </x:c>
    </x:row>
    <x:row r="2182" spans="1:17">
      <x:c r="D2182" s="147" t="n">
        <x:v>10128580</x:v>
      </x:c>
      <x:c r="E2182" s="147" t="s">
        <x:v>114</x:v>
      </x:c>
    </x:row>
    <x:row r="2183" spans="1:17">
      <x:c r="D2183" s="147" t="n">
        <x:v>10128581</x:v>
      </x:c>
      <x:c r="E2183" s="147" t="s">
        <x:v>114</x:v>
      </x:c>
    </x:row>
    <x:row r="2184" spans="1:17">
      <x:c r="D2184" s="147" t="n">
        <x:v>10128582</x:v>
      </x:c>
      <x:c r="E2184" s="147" t="s">
        <x:v>132</x:v>
      </x:c>
    </x:row>
    <x:row r="2185" spans="1:17">
      <x:c r="D2185" s="147" t="n">
        <x:v>10128595</x:v>
      </x:c>
      <x:c r="E2185" s="147" t="s">
        <x:v>132</x:v>
      </x:c>
    </x:row>
    <x:row r="2186" spans="1:17">
      <x:c r="D2186" s="147" t="n">
        <x:v>10128596</x:v>
      </x:c>
      <x:c r="E2186" s="147" t="s">
        <x:v>56</x:v>
      </x:c>
    </x:row>
    <x:row r="2187" spans="1:17">
      <x:c r="D2187" s="147" t="n">
        <x:v>10128597</x:v>
      </x:c>
      <x:c r="E2187" s="147" t="s">
        <x:v>114</x:v>
      </x:c>
    </x:row>
    <x:row r="2188" spans="1:17">
      <x:c r="D2188" s="147" t="n">
        <x:v>10128598</x:v>
      </x:c>
      <x:c r="E2188" s="147" t="s">
        <x:v>132</x:v>
      </x:c>
    </x:row>
    <x:row r="2189" spans="1:17">
      <x:c r="D2189" s="147" t="n">
        <x:v>10128599</x:v>
      </x:c>
      <x:c r="E2189" s="147" t="s">
        <x:v>154</x:v>
      </x:c>
    </x:row>
    <x:row r="2190" spans="1:17">
      <x:c r="D2190" s="147" t="n">
        <x:v>10128600</x:v>
      </x:c>
      <x:c r="E2190" s="147" t="s">
        <x:v>114</x:v>
      </x:c>
    </x:row>
    <x:row r="2191" spans="1:17">
      <x:c r="D2191" s="147" t="n">
        <x:v>10128579</x:v>
      </x:c>
      <x:c r="E2191" s="147" t="s">
        <x:v>154</x:v>
      </x:c>
    </x:row>
    <x:row r="2192" spans="1:17">
      <x:c r="D2192" s="147" t="n">
        <x:v>10128580</x:v>
      </x:c>
      <x:c r="E2192" s="147" t="s">
        <x:v>114</x:v>
      </x:c>
    </x:row>
    <x:row r="2193" spans="1:17">
      <x:c r="D2193" s="147" t="n">
        <x:v>10128581</x:v>
      </x:c>
      <x:c r="E2193" s="147" t="s">
        <x:v>114</x:v>
      </x:c>
    </x:row>
    <x:row r="2194" spans="1:17">
      <x:c r="D2194" s="147" t="n">
        <x:v>10128582</x:v>
      </x:c>
      <x:c r="E2194" s="147" t="s">
        <x:v>132</x:v>
      </x:c>
    </x:row>
    <x:row r="2195" spans="1:17">
      <x:c r="D2195" s="147" t="n">
        <x:v>10128595</x:v>
      </x:c>
      <x:c r="E2195" s="147" t="s">
        <x:v>132</x:v>
      </x:c>
    </x:row>
    <x:row r="2196" spans="1:17">
      <x:c r="D2196" s="147" t="n">
        <x:v>10128596</x:v>
      </x:c>
      <x:c r="E2196" s="147" t="s">
        <x:v>56</x:v>
      </x:c>
    </x:row>
    <x:row r="2197" spans="1:17">
      <x:c r="D2197" s="147" t="n">
        <x:v>10128597</x:v>
      </x:c>
      <x:c r="E2197" s="147" t="s">
        <x:v>114</x:v>
      </x:c>
    </x:row>
    <x:row r="2198" spans="1:17">
      <x:c r="D2198" s="147" t="n">
        <x:v>10128598</x:v>
      </x:c>
      <x:c r="E2198" s="147" t="s">
        <x:v>132</x:v>
      </x:c>
    </x:row>
    <x:row r="2199" spans="1:17">
      <x:c r="D2199" s="147" t="n">
        <x:v>10128599</x:v>
      </x:c>
      <x:c r="E2199" s="147" t="s">
        <x:v>154</x:v>
      </x:c>
    </x:row>
    <x:row r="2200" spans="1:17">
      <x:c r="D2200" s="147" t="n">
        <x:v>10128600</x:v>
      </x:c>
      <x:c r="E2200" s="147" t="s">
        <x:v>114</x:v>
      </x:c>
    </x:row>
    <x:row r="2201" spans="1:17">
      <x:c r="D2201" s="147" t="n">
        <x:v>10128579</x:v>
      </x:c>
      <x:c r="E2201" s="147" t="s">
        <x:v>154</x:v>
      </x:c>
    </x:row>
    <x:row r="2202" spans="1:17">
      <x:c r="D2202" s="147" t="n">
        <x:v>10128580</x:v>
      </x:c>
      <x:c r="E2202" s="147" t="s">
        <x:v>114</x:v>
      </x:c>
    </x:row>
    <x:row r="2203" spans="1:17">
      <x:c r="D2203" s="147" t="n">
        <x:v>10128581</x:v>
      </x:c>
      <x:c r="E2203" s="147" t="s">
        <x:v>114</x:v>
      </x:c>
    </x:row>
    <x:row r="2204" spans="1:17">
      <x:c r="D2204" s="147" t="n">
        <x:v>10128582</x:v>
      </x:c>
      <x:c r="E2204" s="147" t="s">
        <x:v>132</x:v>
      </x:c>
    </x:row>
    <x:row r="2205" spans="1:17">
      <x:c r="D2205" s="147" t="n">
        <x:v>10128595</x:v>
      </x:c>
      <x:c r="E2205" s="147" t="s">
        <x:v>132</x:v>
      </x:c>
    </x:row>
    <x:row r="2206" spans="1:17">
      <x:c r="D2206" s="147" t="n">
        <x:v>10128596</x:v>
      </x:c>
      <x:c r="E2206" s="147" t="s">
        <x:v>56</x:v>
      </x:c>
    </x:row>
    <x:row r="2207" spans="1:17">
      <x:c r="D2207" s="147" t="n">
        <x:v>10128597</x:v>
      </x:c>
      <x:c r="E2207" s="147" t="s">
        <x:v>114</x:v>
      </x:c>
    </x:row>
    <x:row r="2208" spans="1:17">
      <x:c r="D2208" s="147" t="n">
        <x:v>10128598</x:v>
      </x:c>
      <x:c r="E2208" s="147" t="s">
        <x:v>132</x:v>
      </x:c>
    </x:row>
    <x:row r="2209" spans="1:17">
      <x:c r="D2209" s="147" t="n">
        <x:v>10128599</x:v>
      </x:c>
      <x:c r="E2209" s="147" t="s">
        <x:v>154</x:v>
      </x:c>
    </x:row>
    <x:row r="2210" spans="1:17">
      <x:c r="D2210" s="147" t="n">
        <x:v>10128600</x:v>
      </x:c>
      <x:c r="E2210" s="147" t="s">
        <x:v>114</x:v>
      </x:c>
    </x:row>
    <x:row r="2211" spans="1:17">
      <x:c r="D2211" s="147" t="n">
        <x:v>10128579</x:v>
      </x:c>
      <x:c r="E2211" s="147" t="s">
        <x:v>154</x:v>
      </x:c>
    </x:row>
    <x:row r="2212" spans="1:17">
      <x:c r="D2212" s="147" t="n">
        <x:v>10128580</x:v>
      </x:c>
      <x:c r="E2212" s="147" t="s">
        <x:v>114</x:v>
      </x:c>
    </x:row>
    <x:row r="2213" spans="1:17">
      <x:c r="D2213" s="147" t="n">
        <x:v>10128581</x:v>
      </x:c>
      <x:c r="E2213" s="147" t="s">
        <x:v>114</x:v>
      </x:c>
    </x:row>
    <x:row r="2214" spans="1:17">
      <x:c r="D2214" s="147" t="n">
        <x:v>10128582</x:v>
      </x:c>
      <x:c r="E2214" s="147" t="s">
        <x:v>132</x:v>
      </x:c>
    </x:row>
    <x:row r="2215" spans="1:17">
      <x:c r="D2215" s="147" t="n">
        <x:v>10128595</x:v>
      </x:c>
      <x:c r="E2215" s="147" t="s">
        <x:v>132</x:v>
      </x:c>
    </x:row>
    <x:row r="2216" spans="1:17">
      <x:c r="D2216" s="147" t="n">
        <x:v>10128596</x:v>
      </x:c>
      <x:c r="E2216" s="147" t="s">
        <x:v>56</x:v>
      </x:c>
    </x:row>
    <x:row r="2217" spans="1:17">
      <x:c r="D2217" s="147" t="n">
        <x:v>10128597</x:v>
      </x:c>
      <x:c r="E2217" s="147" t="s">
        <x:v>114</x:v>
      </x:c>
    </x:row>
    <x:row r="2218" spans="1:17">
      <x:c r="D2218" s="147" t="n">
        <x:v>10128598</x:v>
      </x:c>
      <x:c r="E2218" s="147" t="s">
        <x:v>132</x:v>
      </x:c>
    </x:row>
    <x:row r="2219" spans="1:17">
      <x:c r="D2219" s="147" t="n">
        <x:v>10128599</x:v>
      </x:c>
      <x:c r="E2219" s="147" t="s">
        <x:v>154</x:v>
      </x:c>
    </x:row>
    <x:row r="2220" spans="1:17">
      <x:c r="D2220" s="147" t="n">
        <x:v>10128600</x:v>
      </x:c>
      <x:c r="E2220" s="147" t="s">
        <x:v>114</x:v>
      </x:c>
    </x:row>
    <x:row r="2221" spans="1:17">
      <x:c r="D2221" s="147" t="n">
        <x:v>10128579</x:v>
      </x:c>
      <x:c r="E2221" s="147" t="s">
        <x:v>154</x:v>
      </x:c>
    </x:row>
    <x:row r="2222" spans="1:17">
      <x:c r="D2222" s="147" t="n">
        <x:v>10128580</x:v>
      </x:c>
      <x:c r="E2222" s="147" t="s">
        <x:v>114</x:v>
      </x:c>
    </x:row>
    <x:row r="2223" spans="1:17">
      <x:c r="D2223" s="147" t="n">
        <x:v>10128581</x:v>
      </x:c>
      <x:c r="E2223" s="147" t="s">
        <x:v>114</x:v>
      </x:c>
    </x:row>
    <x:row r="2224" spans="1:17">
      <x:c r="D2224" s="147" t="n">
        <x:v>10128582</x:v>
      </x:c>
      <x:c r="E2224" s="147" t="s">
        <x:v>132</x:v>
      </x:c>
    </x:row>
    <x:row r="2225" spans="1:17">
      <x:c r="D2225" s="147" t="n">
        <x:v>10128595</x:v>
      </x:c>
      <x:c r="E2225" s="147" t="s">
        <x:v>132</x:v>
      </x:c>
    </x:row>
    <x:row r="2226" spans="1:17">
      <x:c r="D2226" s="147" t="n">
        <x:v>10128596</x:v>
      </x:c>
      <x:c r="E2226" s="147" t="s">
        <x:v>56</x:v>
      </x:c>
    </x:row>
    <x:row r="2227" spans="1:17">
      <x:c r="D2227" s="147" t="n">
        <x:v>10128597</x:v>
      </x:c>
      <x:c r="E2227" s="147" t="s">
        <x:v>114</x:v>
      </x:c>
    </x:row>
    <x:row r="2228" spans="1:17">
      <x:c r="D2228" s="147" t="n">
        <x:v>10128598</x:v>
      </x:c>
      <x:c r="E2228" s="147" t="s">
        <x:v>132</x:v>
      </x:c>
    </x:row>
    <x:row r="2229" spans="1:17">
      <x:c r="D2229" s="147" t="n">
        <x:v>10128599</x:v>
      </x:c>
      <x:c r="E2229" s="147" t="s">
        <x:v>154</x:v>
      </x:c>
    </x:row>
    <x:row r="2230" spans="1:17">
      <x:c r="D2230" s="147" t="n">
        <x:v>10128600</x:v>
      </x:c>
      <x:c r="E2230" s="147" t="s">
        <x:v>114</x:v>
      </x:c>
    </x:row>
    <x:row r="2231" spans="1:17">
      <x:c r="D2231" s="147" t="n">
        <x:v>10128579</x:v>
      </x:c>
      <x:c r="E2231" s="147" t="s">
        <x:v>154</x:v>
      </x:c>
    </x:row>
    <x:row r="2232" spans="1:17">
      <x:c r="D2232" s="147" t="n">
        <x:v>10128580</x:v>
      </x:c>
      <x:c r="E2232" s="147" t="s">
        <x:v>114</x:v>
      </x:c>
    </x:row>
    <x:row r="2233" spans="1:17">
      <x:c r="D2233" s="147" t="n">
        <x:v>10128581</x:v>
      </x:c>
      <x:c r="E2233" s="147" t="s">
        <x:v>114</x:v>
      </x:c>
    </x:row>
    <x:row r="2234" spans="1:17">
      <x:c r="D2234" s="147" t="n">
        <x:v>10128582</x:v>
      </x:c>
      <x:c r="E2234" s="147" t="s">
        <x:v>132</x:v>
      </x:c>
    </x:row>
    <x:row r="2235" spans="1:17">
      <x:c r="D2235" s="147" t="n">
        <x:v>10128595</x:v>
      </x:c>
      <x:c r="E2235" s="147" t="s">
        <x:v>132</x:v>
      </x:c>
    </x:row>
    <x:row r="2236" spans="1:17">
      <x:c r="D2236" s="147" t="n">
        <x:v>10128596</x:v>
      </x:c>
      <x:c r="E2236" s="147" t="s">
        <x:v>56</x:v>
      </x:c>
    </x:row>
    <x:row r="2237" spans="1:17">
      <x:c r="D2237" s="147" t="n">
        <x:v>10128597</x:v>
      </x:c>
      <x:c r="E2237" s="147" t="s">
        <x:v>114</x:v>
      </x:c>
    </x:row>
    <x:row r="2238" spans="1:17">
      <x:c r="D2238" s="147" t="n">
        <x:v>10128598</x:v>
      </x:c>
      <x:c r="E2238" s="147" t="s">
        <x:v>132</x:v>
      </x:c>
    </x:row>
    <x:row r="2239" spans="1:17">
      <x:c r="D2239" s="147" t="n">
        <x:v>10128599</x:v>
      </x:c>
      <x:c r="E2239" s="147" t="s">
        <x:v>154</x:v>
      </x:c>
    </x:row>
    <x:row r="2240" spans="1:17">
      <x:c r="D2240" s="147" t="n">
        <x:v>10128600</x:v>
      </x:c>
      <x:c r="E2240" s="147" t="s">
        <x:v>114</x:v>
      </x:c>
    </x:row>
    <x:row r="2241" spans="1:17">
      <x:c r="D2241" s="147" t="n">
        <x:v>10128579</x:v>
      </x:c>
      <x:c r="E2241" s="147" t="s">
        <x:v>154</x:v>
      </x:c>
    </x:row>
    <x:row r="2242" spans="1:17">
      <x:c r="D2242" s="147" t="n">
        <x:v>10128580</x:v>
      </x:c>
      <x:c r="E2242" s="147" t="s">
        <x:v>114</x:v>
      </x:c>
    </x:row>
    <x:row r="2243" spans="1:17">
      <x:c r="D2243" s="147" t="n">
        <x:v>10128581</x:v>
      </x:c>
      <x:c r="E2243" s="147" t="s">
        <x:v>114</x:v>
      </x:c>
    </x:row>
    <x:row r="2244" spans="1:17">
      <x:c r="D2244" s="147" t="n">
        <x:v>10128582</x:v>
      </x:c>
      <x:c r="E2244" s="147" t="s">
        <x:v>132</x:v>
      </x:c>
    </x:row>
    <x:row r="2245" spans="1:17">
      <x:c r="D2245" s="147" t="n">
        <x:v>10128595</x:v>
      </x:c>
      <x:c r="E2245" s="147" t="s">
        <x:v>132</x:v>
      </x:c>
    </x:row>
    <x:row r="2246" spans="1:17">
      <x:c r="D2246" s="147" t="n">
        <x:v>10128596</x:v>
      </x:c>
      <x:c r="E2246" s="147" t="s">
        <x:v>56</x:v>
      </x:c>
    </x:row>
    <x:row r="2247" spans="1:17">
      <x:c r="D2247" s="147" t="n">
        <x:v>10128597</x:v>
      </x:c>
      <x:c r="E2247" s="147" t="s">
        <x:v>114</x:v>
      </x:c>
    </x:row>
    <x:row r="2248" spans="1:17">
      <x:c r="D2248" s="147" t="n">
        <x:v>10128598</x:v>
      </x:c>
      <x:c r="E2248" s="147" t="s">
        <x:v>132</x:v>
      </x:c>
    </x:row>
    <x:row r="2249" spans="1:17">
      <x:c r="D2249" s="147" t="n">
        <x:v>10128599</x:v>
      </x:c>
      <x:c r="E2249" s="147" t="s">
        <x:v>154</x:v>
      </x:c>
    </x:row>
    <x:row r="2250" spans="1:17">
      <x:c r="D2250" s="147" t="n">
        <x:v>10128600</x:v>
      </x:c>
      <x:c r="E2250" s="147" t="s">
        <x:v>114</x:v>
      </x:c>
    </x:row>
    <x:row r="2251" spans="1:17">
      <x:c r="D2251" s="147" t="n">
        <x:v>10128579</x:v>
      </x:c>
      <x:c r="E2251" s="147" t="s">
        <x:v>154</x:v>
      </x:c>
    </x:row>
    <x:row r="2252" spans="1:17">
      <x:c r="D2252" s="147" t="n">
        <x:v>10128580</x:v>
      </x:c>
      <x:c r="E2252" s="147" t="s">
        <x:v>114</x:v>
      </x:c>
    </x:row>
    <x:row r="2253" spans="1:17">
      <x:c r="D2253" s="147" t="n">
        <x:v>10128581</x:v>
      </x:c>
      <x:c r="E2253" s="147" t="s">
        <x:v>114</x:v>
      </x:c>
    </x:row>
    <x:row r="2254" spans="1:17">
      <x:c r="D2254" s="147" t="n">
        <x:v>10128582</x:v>
      </x:c>
      <x:c r="E2254" s="147" t="s">
        <x:v>132</x:v>
      </x:c>
    </x:row>
    <x:row r="2255" spans="1:17">
      <x:c r="D2255" s="147" t="n">
        <x:v>10128595</x:v>
      </x:c>
      <x:c r="E2255" s="147" t="s">
        <x:v>132</x:v>
      </x:c>
    </x:row>
    <x:row r="2256" spans="1:17">
      <x:c r="D2256" s="147" t="n">
        <x:v>10128596</x:v>
      </x:c>
      <x:c r="E2256" s="147" t="s">
        <x:v>56</x:v>
      </x:c>
    </x:row>
    <x:row r="2257" spans="1:17">
      <x:c r="D2257" s="147" t="n">
        <x:v>10128597</x:v>
      </x:c>
      <x:c r="E2257" s="147" t="s">
        <x:v>114</x:v>
      </x:c>
    </x:row>
    <x:row r="2258" spans="1:17">
      <x:c r="D2258" s="147" t="n">
        <x:v>10128598</x:v>
      </x:c>
      <x:c r="E2258" s="147" t="s">
        <x:v>132</x:v>
      </x:c>
    </x:row>
    <x:row r="2259" spans="1:17">
      <x:c r="D2259" s="147" t="n">
        <x:v>10128599</x:v>
      </x:c>
      <x:c r="E2259" s="147" t="s">
        <x:v>154</x:v>
      </x:c>
    </x:row>
    <x:row r="2260" spans="1:17">
      <x:c r="D2260" s="147" t="n">
        <x:v>10128600</x:v>
      </x:c>
      <x:c r="E2260" s="147" t="s">
        <x:v>114</x:v>
      </x:c>
    </x:row>
    <x:row r="2261" spans="1:17">
      <x:c r="D2261" s="147" t="n">
        <x:v>10128579</x:v>
      </x:c>
      <x:c r="E2261" s="147" t="s">
        <x:v>154</x:v>
      </x:c>
    </x:row>
    <x:row r="2262" spans="1:17">
      <x:c r="D2262" s="147" t="n">
        <x:v>10128580</x:v>
      </x:c>
      <x:c r="E2262" s="147" t="s">
        <x:v>114</x:v>
      </x:c>
    </x:row>
    <x:row r="2263" spans="1:17">
      <x:c r="D2263" s="147" t="n">
        <x:v>10128581</x:v>
      </x:c>
      <x:c r="E2263" s="147" t="s">
        <x:v>114</x:v>
      </x:c>
    </x:row>
    <x:row r="2264" spans="1:17">
      <x:c r="D2264" s="147" t="n">
        <x:v>10128582</x:v>
      </x:c>
      <x:c r="E2264" s="147" t="s">
        <x:v>132</x:v>
      </x:c>
    </x:row>
    <x:row r="2265" spans="1:17">
      <x:c r="D2265" s="147" t="n">
        <x:v>10128595</x:v>
      </x:c>
      <x:c r="E2265" s="147" t="s">
        <x:v>132</x:v>
      </x:c>
    </x:row>
    <x:row r="2266" spans="1:17">
      <x:c r="D2266" s="147" t="n">
        <x:v>10128596</x:v>
      </x:c>
      <x:c r="E2266" s="147" t="s">
        <x:v>56</x:v>
      </x:c>
    </x:row>
    <x:row r="2267" spans="1:17">
      <x:c r="D2267" s="147" t="n">
        <x:v>10128597</x:v>
      </x:c>
      <x:c r="E2267" s="147" t="s">
        <x:v>114</x:v>
      </x:c>
    </x:row>
    <x:row r="2268" spans="1:17">
      <x:c r="D2268" s="147" t="n">
        <x:v>10128598</x:v>
      </x:c>
      <x:c r="E2268" s="147" t="s">
        <x:v>132</x:v>
      </x:c>
    </x:row>
    <x:row r="2269" spans="1:17">
      <x:c r="D2269" s="147" t="n">
        <x:v>10128599</x:v>
      </x:c>
      <x:c r="E2269" s="147" t="s">
        <x:v>154</x:v>
      </x:c>
    </x:row>
    <x:row r="2270" spans="1:17">
      <x:c r="D2270" s="147" t="n">
        <x:v>10128600</x:v>
      </x:c>
      <x:c r="E2270" s="147" t="s">
        <x:v>114</x:v>
      </x:c>
    </x:row>
    <x:row r="2271" spans="1:17">
      <x:c r="D2271" s="147" t="n">
        <x:v>10128579</x:v>
      </x:c>
      <x:c r="E2271" s="147" t="s">
        <x:v>154</x:v>
      </x:c>
    </x:row>
    <x:row r="2272" spans="1:17">
      <x:c r="D2272" s="147" t="n">
        <x:v>10128580</x:v>
      </x:c>
      <x:c r="E2272" s="147" t="s">
        <x:v>114</x:v>
      </x:c>
    </x:row>
    <x:row r="2273" spans="1:17">
      <x:c r="D2273" s="147" t="n">
        <x:v>10128581</x:v>
      </x:c>
      <x:c r="E2273" s="147" t="s">
        <x:v>114</x:v>
      </x:c>
    </x:row>
    <x:row r="2274" spans="1:17">
      <x:c r="D2274" s="147" t="n">
        <x:v>10128582</x:v>
      </x:c>
      <x:c r="E2274" s="147" t="s">
        <x:v>132</x:v>
      </x:c>
    </x:row>
    <x:row r="2275" spans="1:17">
      <x:c r="D2275" s="147" t="n">
        <x:v>10128595</x:v>
      </x:c>
      <x:c r="E2275" s="147" t="s">
        <x:v>132</x:v>
      </x:c>
    </x:row>
    <x:row r="2276" spans="1:17">
      <x:c r="D2276" s="147" t="n">
        <x:v>10128596</x:v>
      </x:c>
      <x:c r="E2276" s="147" t="s">
        <x:v>56</x:v>
      </x:c>
    </x:row>
    <x:row r="2277" spans="1:17">
      <x:c r="D2277" s="147" t="n">
        <x:v>10128597</x:v>
      </x:c>
      <x:c r="E2277" s="147" t="s">
        <x:v>114</x:v>
      </x:c>
    </x:row>
    <x:row r="2278" spans="1:17">
      <x:c r="D2278" s="147" t="n">
        <x:v>10128598</x:v>
      </x:c>
      <x:c r="E2278" s="147" t="s">
        <x:v>132</x:v>
      </x:c>
    </x:row>
    <x:row r="2279" spans="1:17">
      <x:c r="D2279" s="147" t="n">
        <x:v>10128599</x:v>
      </x:c>
      <x:c r="E2279" s="147" t="s">
        <x:v>154</x:v>
      </x:c>
    </x:row>
    <x:row r="2280" spans="1:17">
      <x:c r="D2280" s="147" t="n">
        <x:v>10128600</x:v>
      </x:c>
      <x:c r="E2280" s="147" t="s">
        <x:v>114</x:v>
      </x:c>
    </x:row>
    <x:row r="2281" spans="1:17">
      <x:c r="D2281" s="147" t="n">
        <x:v>10128579</x:v>
      </x:c>
      <x:c r="E2281" s="147" t="s">
        <x:v>154</x:v>
      </x:c>
    </x:row>
    <x:row r="2282" spans="1:17">
      <x:c r="D2282" s="147" t="n">
        <x:v>10128580</x:v>
      </x:c>
      <x:c r="E2282" s="147" t="s">
        <x:v>114</x:v>
      </x:c>
    </x:row>
    <x:row r="2283" spans="1:17">
      <x:c r="D2283" s="147" t="n">
        <x:v>10128581</x:v>
      </x:c>
      <x:c r="E2283" s="147" t="s">
        <x:v>114</x:v>
      </x:c>
    </x:row>
    <x:row r="2284" spans="1:17">
      <x:c r="D2284" s="147" t="n">
        <x:v>10128582</x:v>
      </x:c>
      <x:c r="E2284" s="147" t="s">
        <x:v>132</x:v>
      </x:c>
    </x:row>
    <x:row r="2285" spans="1:17">
      <x:c r="D2285" s="147" t="n">
        <x:v>10128595</x:v>
      </x:c>
      <x:c r="E2285" s="147" t="s">
        <x:v>132</x:v>
      </x:c>
    </x:row>
    <x:row r="2286" spans="1:17">
      <x:c r="D2286" s="147" t="n">
        <x:v>10128596</x:v>
      </x:c>
      <x:c r="E2286" s="147" t="s">
        <x:v>56</x:v>
      </x:c>
    </x:row>
    <x:row r="2287" spans="1:17">
      <x:c r="D2287" s="147" t="n">
        <x:v>10128597</x:v>
      </x:c>
      <x:c r="E2287" s="147" t="s">
        <x:v>114</x:v>
      </x:c>
    </x:row>
    <x:row r="2288" spans="1:17">
      <x:c r="D2288" s="147" t="n">
        <x:v>10128598</x:v>
      </x:c>
      <x:c r="E2288" s="147" t="s">
        <x:v>132</x:v>
      </x:c>
    </x:row>
    <x:row r="2289" spans="1:17">
      <x:c r="D2289" s="147" t="n">
        <x:v>10128599</x:v>
      </x:c>
      <x:c r="E2289" s="147" t="s">
        <x:v>154</x:v>
      </x:c>
    </x:row>
    <x:row r="2290" spans="1:17">
      <x:c r="D2290" s="147" t="n">
        <x:v>10128600</x:v>
      </x:c>
      <x:c r="E2290" s="147" t="s">
        <x:v>114</x:v>
      </x:c>
    </x:row>
    <x:row r="2291" spans="1:17">
      <x:c r="D2291" s="147" t="n">
        <x:v>10128579</x:v>
      </x:c>
      <x:c r="E2291" s="147" t="s">
        <x:v>154</x:v>
      </x:c>
    </x:row>
    <x:row r="2292" spans="1:17">
      <x:c r="D2292" s="147" t="n">
        <x:v>10128580</x:v>
      </x:c>
      <x:c r="E2292" s="147" t="s">
        <x:v>114</x:v>
      </x:c>
    </x:row>
    <x:row r="2293" spans="1:17">
      <x:c r="D2293" s="147" t="n">
        <x:v>10128581</x:v>
      </x:c>
      <x:c r="E2293" s="147" t="s">
        <x:v>114</x:v>
      </x:c>
    </x:row>
    <x:row r="2294" spans="1:17">
      <x:c r="D2294" s="147" t="n">
        <x:v>10128582</x:v>
      </x:c>
      <x:c r="E2294" s="147" t="s">
        <x:v>132</x:v>
      </x:c>
    </x:row>
    <x:row r="2295" spans="1:17">
      <x:c r="D2295" s="147" t="n">
        <x:v>10128595</x:v>
      </x:c>
      <x:c r="E2295" s="147" t="s">
        <x:v>132</x:v>
      </x:c>
    </x:row>
    <x:row r="2296" spans="1:17">
      <x:c r="D2296" s="147" t="n">
        <x:v>10128596</x:v>
      </x:c>
      <x:c r="E2296" s="147" t="s">
        <x:v>56</x:v>
      </x:c>
    </x:row>
    <x:row r="2297" spans="1:17">
      <x:c r="D2297" s="147" t="n">
        <x:v>10128597</x:v>
      </x:c>
      <x:c r="E2297" s="147" t="s">
        <x:v>114</x:v>
      </x:c>
    </x:row>
    <x:row r="2298" spans="1:17">
      <x:c r="D2298" s="147" t="n">
        <x:v>10128598</x:v>
      </x:c>
      <x:c r="E2298" s="147" t="s">
        <x:v>132</x:v>
      </x:c>
    </x:row>
    <x:row r="2299" spans="1:17">
      <x:c r="D2299" s="147" t="n">
        <x:v>10128599</x:v>
      </x:c>
      <x:c r="E2299" s="147" t="s">
        <x:v>154</x:v>
      </x:c>
    </x:row>
    <x:row r="2300" spans="1:17">
      <x:c r="D2300" s="147" t="n">
        <x:v>10128600</x:v>
      </x:c>
      <x:c r="E2300" s="147" t="s">
        <x:v>114</x:v>
      </x:c>
    </x:row>
    <x:row r="2301" spans="1:17">
      <x:c r="D2301" s="147" t="n">
        <x:v>10128579</x:v>
      </x:c>
      <x:c r="E2301" s="147" t="s">
        <x:v>154</x:v>
      </x:c>
    </x:row>
    <x:row r="2302" spans="1:17">
      <x:c r="D2302" s="147" t="n">
        <x:v>10128580</x:v>
      </x:c>
      <x:c r="E2302" s="147" t="s">
        <x:v>114</x:v>
      </x:c>
    </x:row>
    <x:row r="2303" spans="1:17">
      <x:c r="D2303" s="147" t="n">
        <x:v>10128581</x:v>
      </x:c>
      <x:c r="E2303" s="147" t="s">
        <x:v>114</x:v>
      </x:c>
    </x:row>
    <x:row r="2304" spans="1:17">
      <x:c r="D2304" s="147" t="n">
        <x:v>10128582</x:v>
      </x:c>
      <x:c r="E2304" s="147" t="s">
        <x:v>132</x:v>
      </x:c>
    </x:row>
    <x:row r="2305" spans="1:17">
      <x:c r="D2305" s="147" t="n">
        <x:v>10128595</x:v>
      </x:c>
      <x:c r="E2305" s="147" t="s">
        <x:v>132</x:v>
      </x:c>
    </x:row>
    <x:row r="2306" spans="1:17">
      <x:c r="D2306" s="147" t="n">
        <x:v>10128596</x:v>
      </x:c>
      <x:c r="E2306" s="147" t="s">
        <x:v>56</x:v>
      </x:c>
    </x:row>
    <x:row r="2307" spans="1:17">
      <x:c r="D2307" s="147" t="n">
        <x:v>10128597</x:v>
      </x:c>
      <x:c r="E2307" s="147" t="s">
        <x:v>114</x:v>
      </x:c>
    </x:row>
    <x:row r="2308" spans="1:17">
      <x:c r="D2308" s="147" t="n">
        <x:v>10128598</x:v>
      </x:c>
      <x:c r="E2308" s="147" t="s">
        <x:v>132</x:v>
      </x:c>
    </x:row>
    <x:row r="2309" spans="1:17">
      <x:c r="D2309" s="147" t="n">
        <x:v>10128599</x:v>
      </x:c>
      <x:c r="E2309" s="147" t="s">
        <x:v>154</x:v>
      </x:c>
    </x:row>
    <x:row r="2310" spans="1:17">
      <x:c r="D2310" s="147" t="n">
        <x:v>10128600</x:v>
      </x:c>
      <x:c r="E2310" s="147" t="s">
        <x:v>114</x:v>
      </x:c>
    </x:row>
    <x:row r="2311" spans="1:17">
      <x:c r="D2311" s="147" t="n">
        <x:v>10128579</x:v>
      </x:c>
      <x:c r="E2311" s="147" t="s">
        <x:v>154</x:v>
      </x:c>
    </x:row>
    <x:row r="2312" spans="1:17">
      <x:c r="D2312" s="147" t="n">
        <x:v>10128580</x:v>
      </x:c>
      <x:c r="E2312" s="147" t="s">
        <x:v>114</x:v>
      </x:c>
    </x:row>
    <x:row r="2313" spans="1:17">
      <x:c r="D2313" s="147" t="n">
        <x:v>10128581</x:v>
      </x:c>
      <x:c r="E2313" s="147" t="s">
        <x:v>114</x:v>
      </x:c>
    </x:row>
    <x:row r="2314" spans="1:17">
      <x:c r="D2314" s="147" t="n">
        <x:v>10128582</x:v>
      </x:c>
      <x:c r="E2314" s="147" t="s">
        <x:v>132</x:v>
      </x:c>
    </x:row>
    <x:row r="2315" spans="1:17">
      <x:c r="D2315" s="147" t="n">
        <x:v>10128595</x:v>
      </x:c>
      <x:c r="E2315" s="147" t="s">
        <x:v>132</x:v>
      </x:c>
    </x:row>
    <x:row r="2316" spans="1:17">
      <x:c r="D2316" s="147" t="n">
        <x:v>10128596</x:v>
      </x:c>
      <x:c r="E2316" s="147" t="s">
        <x:v>56</x:v>
      </x:c>
    </x:row>
    <x:row r="2317" spans="1:17">
      <x:c r="D2317" s="147" t="n">
        <x:v>10128597</x:v>
      </x:c>
      <x:c r="E2317" s="147" t="s">
        <x:v>114</x:v>
      </x:c>
    </x:row>
    <x:row r="2318" spans="1:17">
      <x:c r="D2318" s="147" t="n">
        <x:v>10128598</x:v>
      </x:c>
      <x:c r="E2318" s="147" t="s">
        <x:v>132</x:v>
      </x:c>
    </x:row>
    <x:row r="2319" spans="1:17">
      <x:c r="D2319" s="147" t="n">
        <x:v>10128599</x:v>
      </x:c>
      <x:c r="E2319" s="147" t="s">
        <x:v>154</x:v>
      </x:c>
    </x:row>
    <x:row r="2320" spans="1:17">
      <x:c r="D2320" s="147" t="n">
        <x:v>10128600</x:v>
      </x:c>
      <x:c r="E2320" s="147" t="s">
        <x:v>114</x:v>
      </x:c>
    </x:row>
    <x:row r="2321" spans="1:17">
      <x:c r="D2321" s="147" t="n">
        <x:v>10128579</x:v>
      </x:c>
      <x:c r="E2321" s="147" t="s">
        <x:v>154</x:v>
      </x:c>
    </x:row>
    <x:row r="2322" spans="1:17">
      <x:c r="D2322" s="147" t="n">
        <x:v>10128580</x:v>
      </x:c>
      <x:c r="E2322" s="147" t="s">
        <x:v>114</x:v>
      </x:c>
    </x:row>
    <x:row r="2323" spans="1:17">
      <x:c r="D2323" s="147" t="n">
        <x:v>10128581</x:v>
      </x:c>
      <x:c r="E2323" s="147" t="s">
        <x:v>114</x:v>
      </x:c>
    </x:row>
    <x:row r="2324" spans="1:17">
      <x:c r="D2324" s="147" t="n">
        <x:v>10128582</x:v>
      </x:c>
      <x:c r="E2324" s="147" t="s">
        <x:v>132</x:v>
      </x:c>
    </x:row>
    <x:row r="2325" spans="1:17">
      <x:c r="D2325" s="147" t="n">
        <x:v>10128595</x:v>
      </x:c>
      <x:c r="E2325" s="147" t="s">
        <x:v>132</x:v>
      </x:c>
    </x:row>
    <x:row r="2326" spans="1:17">
      <x:c r="D2326" s="147" t="n">
        <x:v>10128596</x:v>
      </x:c>
      <x:c r="E2326" s="147" t="s">
        <x:v>56</x:v>
      </x:c>
    </x:row>
    <x:row r="2327" spans="1:17">
      <x:c r="D2327" s="147" t="n">
        <x:v>10128597</x:v>
      </x:c>
      <x:c r="E2327" s="147" t="s">
        <x:v>114</x:v>
      </x:c>
    </x:row>
    <x:row r="2328" spans="1:17">
      <x:c r="D2328" s="147" t="n">
        <x:v>10128598</x:v>
      </x:c>
      <x:c r="E2328" s="147" t="s">
        <x:v>132</x:v>
      </x:c>
    </x:row>
    <x:row r="2329" spans="1:17">
      <x:c r="D2329" s="147" t="n">
        <x:v>10128599</x:v>
      </x:c>
      <x:c r="E2329" s="147" t="s">
        <x:v>154</x:v>
      </x:c>
    </x:row>
    <x:row r="2330" spans="1:17">
      <x:c r="D2330" s="147" t="n">
        <x:v>10128600</x:v>
      </x:c>
      <x:c r="E2330" s="147" t="s">
        <x:v>114</x:v>
      </x:c>
    </x:row>
    <x:row r="2331" spans="1:17">
      <x:c r="D2331" s="147" t="n">
        <x:v>10128579</x:v>
      </x:c>
      <x:c r="E2331" s="147" t="s">
        <x:v>154</x:v>
      </x:c>
    </x:row>
    <x:row r="2332" spans="1:17">
      <x:c r="D2332" s="147" t="n">
        <x:v>10128580</x:v>
      </x:c>
      <x:c r="E2332" s="147" t="s">
        <x:v>114</x:v>
      </x:c>
    </x:row>
    <x:row r="2333" spans="1:17">
      <x:c r="D2333" s="147" t="n">
        <x:v>10128581</x:v>
      </x:c>
      <x:c r="E2333" s="147" t="s">
        <x:v>114</x:v>
      </x:c>
    </x:row>
    <x:row r="2334" spans="1:17">
      <x:c r="D2334" s="147" t="n">
        <x:v>10128582</x:v>
      </x:c>
      <x:c r="E2334" s="147" t="s">
        <x:v>132</x:v>
      </x:c>
    </x:row>
    <x:row r="2335" spans="1:17">
      <x:c r="D2335" s="147" t="n">
        <x:v>10128595</x:v>
      </x:c>
      <x:c r="E2335" s="147" t="s">
        <x:v>132</x:v>
      </x:c>
    </x:row>
    <x:row r="2336" spans="1:17">
      <x:c r="D2336" s="147" t="n">
        <x:v>10128596</x:v>
      </x:c>
      <x:c r="E2336" s="147" t="s">
        <x:v>56</x:v>
      </x:c>
    </x:row>
    <x:row r="2337" spans="1:17">
      <x:c r="D2337" s="147" t="n">
        <x:v>10128597</x:v>
      </x:c>
      <x:c r="E2337" s="147" t="s">
        <x:v>114</x:v>
      </x:c>
    </x:row>
    <x:row r="2338" spans="1:17">
      <x:c r="D2338" s="147" t="n">
        <x:v>10128598</x:v>
      </x:c>
      <x:c r="E2338" s="147" t="s">
        <x:v>132</x:v>
      </x:c>
    </x:row>
    <x:row r="2339" spans="1:17">
      <x:c r="D2339" s="147" t="n">
        <x:v>10128599</x:v>
      </x:c>
      <x:c r="E2339" s="147" t="s">
        <x:v>154</x:v>
      </x:c>
    </x:row>
    <x:row r="2340" spans="1:17">
      <x:c r="D2340" s="147" t="n">
        <x:v>10128600</x:v>
      </x:c>
      <x:c r="E2340" s="147" t="s">
        <x:v>114</x:v>
      </x:c>
    </x:row>
    <x:row r="2341" spans="1:17">
      <x:c r="D2341" s="147" t="n">
        <x:v>10128579</x:v>
      </x:c>
      <x:c r="E2341" s="147" t="s">
        <x:v>154</x:v>
      </x:c>
    </x:row>
    <x:row r="2342" spans="1:17">
      <x:c r="D2342" s="147" t="n">
        <x:v>10128580</x:v>
      </x:c>
      <x:c r="E2342" s="147" t="s">
        <x:v>114</x:v>
      </x:c>
    </x:row>
    <x:row r="2343" spans="1:17">
      <x:c r="D2343" s="147" t="n">
        <x:v>10128581</x:v>
      </x:c>
      <x:c r="E2343" s="147" t="s">
        <x:v>114</x:v>
      </x:c>
    </x:row>
    <x:row r="2344" spans="1:17">
      <x:c r="D2344" s="147" t="n">
        <x:v>10128582</x:v>
      </x:c>
      <x:c r="E2344" s="147" t="s">
        <x:v>132</x:v>
      </x:c>
    </x:row>
    <x:row r="2345" spans="1:17">
      <x:c r="D2345" s="147" t="n">
        <x:v>10128595</x:v>
      </x:c>
      <x:c r="E2345" s="147" t="s">
        <x:v>132</x:v>
      </x:c>
    </x:row>
    <x:row r="2346" spans="1:17">
      <x:c r="D2346" s="147" t="n">
        <x:v>10128596</x:v>
      </x:c>
      <x:c r="E2346" s="147" t="s">
        <x:v>56</x:v>
      </x:c>
    </x:row>
    <x:row r="2347" spans="1:17">
      <x:c r="D2347" s="147" t="n">
        <x:v>10128597</x:v>
      </x:c>
      <x:c r="E2347" s="147" t="s">
        <x:v>114</x:v>
      </x:c>
    </x:row>
    <x:row r="2348" spans="1:17">
      <x:c r="D2348" s="147" t="n">
        <x:v>10128598</x:v>
      </x:c>
      <x:c r="E2348" s="147" t="s">
        <x:v>132</x:v>
      </x:c>
    </x:row>
    <x:row r="2349" spans="1:17">
      <x:c r="D2349" s="147" t="n">
        <x:v>10128599</x:v>
      </x:c>
      <x:c r="E2349" s="147" t="s">
        <x:v>154</x:v>
      </x:c>
    </x:row>
    <x:row r="2350" spans="1:17">
      <x:c r="D2350" s="147" t="n">
        <x:v>10128600</x:v>
      </x:c>
      <x:c r="E2350" s="147" t="s">
        <x:v>114</x:v>
      </x:c>
    </x:row>
    <x:row r="2351" spans="1:17">
      <x:c r="D2351" s="147" t="n">
        <x:v>10128579</x:v>
      </x:c>
      <x:c r="E2351" s="147" t="s">
        <x:v>154</x:v>
      </x:c>
    </x:row>
    <x:row r="2352" spans="1:17">
      <x:c r="D2352" s="147" t="n">
        <x:v>10128580</x:v>
      </x:c>
      <x:c r="E2352" s="147" t="s">
        <x:v>114</x:v>
      </x:c>
    </x:row>
    <x:row r="2353" spans="1:17">
      <x:c r="D2353" s="147" t="n">
        <x:v>10128581</x:v>
      </x:c>
      <x:c r="E2353" s="147" t="s">
        <x:v>114</x:v>
      </x:c>
    </x:row>
    <x:row r="2354" spans="1:17">
      <x:c r="D2354" s="147" t="n">
        <x:v>10128582</x:v>
      </x:c>
      <x:c r="E2354" s="147" t="s">
        <x:v>132</x:v>
      </x:c>
    </x:row>
    <x:row r="2355" spans="1:17">
      <x:c r="D2355" s="147" t="n">
        <x:v>10128595</x:v>
      </x:c>
      <x:c r="E2355" s="147" t="s">
        <x:v>132</x:v>
      </x:c>
    </x:row>
    <x:row r="2356" spans="1:17">
      <x:c r="D2356" s="147" t="n">
        <x:v>10128596</x:v>
      </x:c>
      <x:c r="E2356" s="147" t="s">
        <x:v>56</x:v>
      </x:c>
    </x:row>
    <x:row r="2357" spans="1:17">
      <x:c r="D2357" s="147" t="n">
        <x:v>10128597</x:v>
      </x:c>
      <x:c r="E2357" s="147" t="s">
        <x:v>114</x:v>
      </x:c>
    </x:row>
    <x:row r="2358" spans="1:17">
      <x:c r="D2358" s="147" t="n">
        <x:v>10128598</x:v>
      </x:c>
      <x:c r="E2358" s="147" t="s">
        <x:v>132</x:v>
      </x:c>
    </x:row>
    <x:row r="2359" spans="1:17">
      <x:c r="D2359" s="147" t="n">
        <x:v>10128599</x:v>
      </x:c>
      <x:c r="E2359" s="147" t="s">
        <x:v>154</x:v>
      </x:c>
    </x:row>
    <x:row r="2360" spans="1:17">
      <x:c r="D2360" s="147" t="n">
        <x:v>10128600</x:v>
      </x:c>
      <x:c r="E2360" s="147" t="s">
        <x:v>114</x:v>
      </x:c>
    </x:row>
    <x:row r="2361" spans="1:17">
      <x:c r="D2361" s="147" t="n">
        <x:v>10128579</x:v>
      </x:c>
      <x:c r="E2361" s="147" t="s">
        <x:v>154</x:v>
      </x:c>
    </x:row>
    <x:row r="2362" spans="1:17">
      <x:c r="D2362" s="147" t="n">
        <x:v>10128580</x:v>
      </x:c>
      <x:c r="E2362" s="147" t="s">
        <x:v>114</x:v>
      </x:c>
    </x:row>
    <x:row r="2363" spans="1:17">
      <x:c r="D2363" s="147" t="n">
        <x:v>10128581</x:v>
      </x:c>
      <x:c r="E2363" s="147" t="s">
        <x:v>114</x:v>
      </x:c>
    </x:row>
    <x:row r="2364" spans="1:17">
      <x:c r="D2364" s="147" t="n">
        <x:v>10128582</x:v>
      </x:c>
      <x:c r="E2364" s="147" t="s">
        <x:v>132</x:v>
      </x:c>
    </x:row>
    <x:row r="2365" spans="1:17">
      <x:c r="D2365" s="147" t="n">
        <x:v>10128595</x:v>
      </x:c>
      <x:c r="E2365" s="147" t="s">
        <x:v>132</x:v>
      </x:c>
    </x:row>
    <x:row r="2366" spans="1:17">
      <x:c r="D2366" s="147" t="n">
        <x:v>10128596</x:v>
      </x:c>
      <x:c r="E2366" s="147" t="s">
        <x:v>56</x:v>
      </x:c>
    </x:row>
    <x:row r="2367" spans="1:17">
      <x:c r="D2367" s="147" t="n">
        <x:v>10128597</x:v>
      </x:c>
      <x:c r="E2367" s="147" t="s">
        <x:v>114</x:v>
      </x:c>
    </x:row>
    <x:row r="2368" spans="1:17">
      <x:c r="D2368" s="147" t="n">
        <x:v>10128598</x:v>
      </x:c>
      <x:c r="E2368" s="147" t="s">
        <x:v>132</x:v>
      </x:c>
    </x:row>
    <x:row r="2369" spans="1:17">
      <x:c r="D2369" s="147" t="n">
        <x:v>10128599</x:v>
      </x:c>
      <x:c r="E2369" s="147" t="s">
        <x:v>154</x:v>
      </x:c>
    </x:row>
    <x:row r="2370" spans="1:17">
      <x:c r="D2370" s="147" t="n">
        <x:v>10128600</x:v>
      </x:c>
      <x:c r="E2370" s="147" t="s">
        <x:v>114</x:v>
      </x:c>
    </x:row>
    <x:row r="2371" spans="1:17">
      <x:c r="D2371" s="147" t="n">
        <x:v>10128579</x:v>
      </x:c>
      <x:c r="E2371" s="147" t="s">
        <x:v>154</x:v>
      </x:c>
    </x:row>
    <x:row r="2372" spans="1:17">
      <x:c r="D2372" s="147" t="n">
        <x:v>10128580</x:v>
      </x:c>
      <x:c r="E2372" s="147" t="s">
        <x:v>114</x:v>
      </x:c>
    </x:row>
    <x:row r="2373" spans="1:17">
      <x:c r="D2373" s="147" t="n">
        <x:v>10128581</x:v>
      </x:c>
      <x:c r="E2373" s="147" t="s">
        <x:v>114</x:v>
      </x:c>
    </x:row>
    <x:row r="2374" spans="1:17">
      <x:c r="D2374" s="147" t="n">
        <x:v>10128582</x:v>
      </x:c>
      <x:c r="E2374" s="147" t="s">
        <x:v>132</x:v>
      </x:c>
    </x:row>
    <x:row r="2375" spans="1:17">
      <x:c r="D2375" s="147" t="n">
        <x:v>10128595</x:v>
      </x:c>
      <x:c r="E2375" s="147" t="s">
        <x:v>132</x:v>
      </x:c>
    </x:row>
    <x:row r="2376" spans="1:17">
      <x:c r="D2376" s="147" t="n">
        <x:v>10128596</x:v>
      </x:c>
      <x:c r="E2376" s="147" t="s">
        <x:v>56</x:v>
      </x:c>
    </x:row>
    <x:row r="2377" spans="1:17">
      <x:c r="D2377" s="147" t="n">
        <x:v>10128597</x:v>
      </x:c>
      <x:c r="E2377" s="147" t="s">
        <x:v>114</x:v>
      </x:c>
    </x:row>
    <x:row r="2378" spans="1:17">
      <x:c r="D2378" s="147" t="n">
        <x:v>10128598</x:v>
      </x:c>
      <x:c r="E2378" s="147" t="s">
        <x:v>132</x:v>
      </x:c>
    </x:row>
    <x:row r="2379" spans="1:17">
      <x:c r="D2379" s="147" t="n">
        <x:v>10128599</x:v>
      </x:c>
      <x:c r="E2379" s="147" t="s">
        <x:v>154</x:v>
      </x:c>
    </x:row>
    <x:row r="2380" spans="1:17">
      <x:c r="D2380" s="147" t="n">
        <x:v>10128600</x:v>
      </x:c>
      <x:c r="E2380" s="147" t="s">
        <x:v>114</x:v>
      </x:c>
    </x:row>
    <x:row r="2381" spans="1:17">
      <x:c r="D2381" s="147" t="n">
        <x:v>10128579</x:v>
      </x:c>
      <x:c r="E2381" s="147" t="s">
        <x:v>154</x:v>
      </x:c>
    </x:row>
    <x:row r="2382" spans="1:17">
      <x:c r="D2382" s="147" t="n">
        <x:v>10128580</x:v>
      </x:c>
      <x:c r="E2382" s="147" t="s">
        <x:v>114</x:v>
      </x:c>
    </x:row>
    <x:row r="2383" spans="1:17">
      <x:c r="D2383" s="147" t="n">
        <x:v>10128581</x:v>
      </x:c>
      <x:c r="E2383" s="147" t="s">
        <x:v>114</x:v>
      </x:c>
    </x:row>
    <x:row r="2384" spans="1:17">
      <x:c r="D2384" s="147" t="n">
        <x:v>10128582</x:v>
      </x:c>
      <x:c r="E2384" s="147" t="s">
        <x:v>132</x:v>
      </x:c>
    </x:row>
    <x:row r="2385" spans="1:17">
      <x:c r="D2385" s="147" t="n">
        <x:v>10128595</x:v>
      </x:c>
      <x:c r="E2385" s="147" t="s">
        <x:v>132</x:v>
      </x:c>
    </x:row>
    <x:row r="2386" spans="1:17">
      <x:c r="D2386" s="147" t="n">
        <x:v>10128596</x:v>
      </x:c>
      <x:c r="E2386" s="147" t="s">
        <x:v>56</x:v>
      </x:c>
    </x:row>
    <x:row r="2387" spans="1:17">
      <x:c r="D2387" s="147" t="n">
        <x:v>10128597</x:v>
      </x:c>
      <x:c r="E2387" s="147" t="s">
        <x:v>114</x:v>
      </x:c>
    </x:row>
    <x:row r="2388" spans="1:17">
      <x:c r="D2388" s="147" t="n">
        <x:v>10128598</x:v>
      </x:c>
      <x:c r="E2388" s="147" t="s">
        <x:v>132</x:v>
      </x:c>
    </x:row>
    <x:row r="2389" spans="1:17">
      <x:c r="D2389" s="147" t="n">
        <x:v>10128599</x:v>
      </x:c>
      <x:c r="E2389" s="147" t="s">
        <x:v>154</x:v>
      </x:c>
    </x:row>
    <x:row r="2390" spans="1:17">
      <x:c r="D2390" s="147" t="n">
        <x:v>10128600</x:v>
      </x:c>
      <x:c r="E2390" s="147" t="s">
        <x:v>114</x:v>
      </x:c>
    </x:row>
    <x:row r="2391" spans="1:17">
      <x:c r="D2391" s="147" t="n">
        <x:v>10128579</x:v>
      </x:c>
      <x:c r="E2391" s="147" t="s">
        <x:v>154</x:v>
      </x:c>
    </x:row>
    <x:row r="2392" spans="1:17">
      <x:c r="D2392" s="147" t="n">
        <x:v>10128580</x:v>
      </x:c>
      <x:c r="E2392" s="147" t="s">
        <x:v>114</x:v>
      </x:c>
    </x:row>
    <x:row r="2393" spans="1:17">
      <x:c r="D2393" s="147" t="n">
        <x:v>10128581</x:v>
      </x:c>
      <x:c r="E2393" s="147" t="s">
        <x:v>114</x:v>
      </x:c>
    </x:row>
    <x:row r="2394" spans="1:17">
      <x:c r="D2394" s="147" t="n">
        <x:v>10128582</x:v>
      </x:c>
      <x:c r="E2394" s="147" t="s">
        <x:v>132</x:v>
      </x:c>
    </x:row>
    <x:row r="2395" spans="1:17">
      <x:c r="D2395" s="147" t="n">
        <x:v>10128595</x:v>
      </x:c>
      <x:c r="E2395" s="147" t="s">
        <x:v>132</x:v>
      </x:c>
    </x:row>
    <x:row r="2396" spans="1:17">
      <x:c r="D2396" s="147" t="n">
        <x:v>10128596</x:v>
      </x:c>
      <x:c r="E2396" s="147" t="s">
        <x:v>56</x:v>
      </x:c>
    </x:row>
    <x:row r="2397" spans="1:17">
      <x:c r="D2397" s="147" t="n">
        <x:v>10128597</x:v>
      </x:c>
      <x:c r="E2397" s="147" t="s">
        <x:v>114</x:v>
      </x:c>
    </x:row>
    <x:row r="2398" spans="1:17">
      <x:c r="D2398" s="147" t="n">
        <x:v>10128598</x:v>
      </x:c>
      <x:c r="E2398" s="147" t="s">
        <x:v>132</x:v>
      </x:c>
    </x:row>
    <x:row r="2399" spans="1:17">
      <x:c r="D2399" s="147" t="n">
        <x:v>10128599</x:v>
      </x:c>
      <x:c r="E2399" s="147" t="s">
        <x:v>154</x:v>
      </x:c>
    </x:row>
    <x:row r="2400" spans="1:17">
      <x:c r="D2400" s="147" t="n">
        <x:v>10128600</x:v>
      </x:c>
      <x:c r="E2400" s="147" t="s">
        <x:v>114</x:v>
      </x:c>
    </x:row>
    <x:row r="2401" spans="1:17">
      <x:c r="D2401" s="147" t="n">
        <x:v>10128579</x:v>
      </x:c>
      <x:c r="E2401" s="147" t="s">
        <x:v>154</x:v>
      </x:c>
    </x:row>
    <x:row r="2402" spans="1:17">
      <x:c r="D2402" s="147" t="n">
        <x:v>10128580</x:v>
      </x:c>
      <x:c r="E2402" s="147" t="s">
        <x:v>114</x:v>
      </x:c>
    </x:row>
    <x:row r="2403" spans="1:17">
      <x:c r="D2403" s="147" t="n">
        <x:v>10128581</x:v>
      </x:c>
      <x:c r="E2403" s="147" t="s">
        <x:v>114</x:v>
      </x:c>
    </x:row>
    <x:row r="2404" spans="1:17">
      <x:c r="D2404" s="147" t="n">
        <x:v>10128582</x:v>
      </x:c>
      <x:c r="E2404" s="147" t="s">
        <x:v>132</x:v>
      </x:c>
    </x:row>
    <x:row r="2405" spans="1:17">
      <x:c r="D2405" s="147" t="n">
        <x:v>10128595</x:v>
      </x:c>
      <x:c r="E2405" s="147" t="s">
        <x:v>132</x:v>
      </x:c>
    </x:row>
    <x:row r="2406" spans="1:17">
      <x:c r="D2406" s="147" t="n">
        <x:v>10128596</x:v>
      </x:c>
      <x:c r="E2406" s="147" t="s">
        <x:v>56</x:v>
      </x:c>
    </x:row>
    <x:row r="2407" spans="1:17">
      <x:c r="D2407" s="147" t="n">
        <x:v>10128597</x:v>
      </x:c>
      <x:c r="E2407" s="147" t="s">
        <x:v>114</x:v>
      </x:c>
    </x:row>
    <x:row r="2408" spans="1:17">
      <x:c r="D2408" s="147" t="n">
        <x:v>10128598</x:v>
      </x:c>
      <x:c r="E2408" s="147" t="s">
        <x:v>132</x:v>
      </x:c>
    </x:row>
    <x:row r="2409" spans="1:17">
      <x:c r="D2409" s="147" t="n">
        <x:v>10128599</x:v>
      </x:c>
      <x:c r="E2409" s="147" t="s">
        <x:v>154</x:v>
      </x:c>
    </x:row>
    <x:row r="2410" spans="1:17">
      <x:c r="D2410" s="147" t="n">
        <x:v>10128600</x:v>
      </x:c>
      <x:c r="E2410" s="147" t="s">
        <x:v>114</x:v>
      </x:c>
    </x:row>
    <x:row r="2411" spans="1:17">
      <x:c r="D2411" s="147" t="n">
        <x:v>10128579</x:v>
      </x:c>
      <x:c r="E2411" s="147" t="s">
        <x:v>154</x:v>
      </x:c>
    </x:row>
    <x:row r="2412" spans="1:17">
      <x:c r="D2412" s="147" t="n">
        <x:v>10128580</x:v>
      </x:c>
      <x:c r="E2412" s="147" t="s">
        <x:v>114</x:v>
      </x:c>
    </x:row>
    <x:row r="2413" spans="1:17">
      <x:c r="D2413" s="147" t="n">
        <x:v>10128581</x:v>
      </x:c>
      <x:c r="E2413" s="147" t="s">
        <x:v>114</x:v>
      </x:c>
    </x:row>
    <x:row r="2414" spans="1:17">
      <x:c r="D2414" s="147" t="n">
        <x:v>10128582</x:v>
      </x:c>
      <x:c r="E2414" s="147" t="s">
        <x:v>132</x:v>
      </x:c>
    </x:row>
    <x:row r="2415" spans="1:17">
      <x:c r="D2415" s="147" t="n">
        <x:v>10128595</x:v>
      </x:c>
      <x:c r="E2415" s="147" t="s">
        <x:v>132</x:v>
      </x:c>
    </x:row>
    <x:row r="2416" spans="1:17">
      <x:c r="D2416" s="147" t="n">
        <x:v>10128596</x:v>
      </x:c>
      <x:c r="E2416" s="147" t="s">
        <x:v>56</x:v>
      </x:c>
    </x:row>
    <x:row r="2417" spans="1:17">
      <x:c r="D2417" s="147" t="n">
        <x:v>10128597</x:v>
      </x:c>
      <x:c r="E2417" s="147" t="s">
        <x:v>114</x:v>
      </x:c>
    </x:row>
    <x:row r="2418" spans="1:17">
      <x:c r="D2418" s="147" t="n">
        <x:v>10128598</x:v>
      </x:c>
      <x:c r="E2418" s="147" t="s">
        <x:v>132</x:v>
      </x:c>
    </x:row>
    <x:row r="2419" spans="1:17">
      <x:c r="D2419" s="147" t="n">
        <x:v>10128599</x:v>
      </x:c>
      <x:c r="E2419" s="147" t="s">
        <x:v>154</x:v>
      </x:c>
    </x:row>
    <x:row r="2420" spans="1:17">
      <x:c r="D2420" s="147" t="n">
        <x:v>10128600</x:v>
      </x:c>
      <x:c r="E2420" s="147" t="s">
        <x:v>114</x:v>
      </x:c>
    </x:row>
    <x:row r="2421" spans="1:17">
      <x:c r="D2421" s="147" t="n">
        <x:v>10128579</x:v>
      </x:c>
      <x:c r="E2421" s="147" t="s">
        <x:v>154</x:v>
      </x:c>
    </x:row>
    <x:row r="2422" spans="1:17">
      <x:c r="D2422" s="147" t="n">
        <x:v>10128580</x:v>
      </x:c>
      <x:c r="E2422" s="147" t="s">
        <x:v>114</x:v>
      </x:c>
    </x:row>
    <x:row r="2423" spans="1:17">
      <x:c r="D2423" s="147" t="n">
        <x:v>10128581</x:v>
      </x:c>
      <x:c r="E2423" s="147" t="s">
        <x:v>114</x:v>
      </x:c>
    </x:row>
    <x:row r="2424" spans="1:17">
      <x:c r="D2424" s="147" t="n">
        <x:v>10128582</x:v>
      </x:c>
      <x:c r="E2424" s="147" t="s">
        <x:v>132</x:v>
      </x:c>
    </x:row>
    <x:row r="2425" spans="1:17">
      <x:c r="D2425" s="147" t="n">
        <x:v>10128595</x:v>
      </x:c>
      <x:c r="E2425" s="147" t="s">
        <x:v>132</x:v>
      </x:c>
    </x:row>
    <x:row r="2426" spans="1:17">
      <x:c r="D2426" s="147" t="n">
        <x:v>10128596</x:v>
      </x:c>
      <x:c r="E2426" s="147" t="s">
        <x:v>56</x:v>
      </x:c>
    </x:row>
    <x:row r="2427" spans="1:17">
      <x:c r="D2427" s="147" t="n">
        <x:v>10128597</x:v>
      </x:c>
      <x:c r="E2427" s="147" t="s">
        <x:v>114</x:v>
      </x:c>
    </x:row>
    <x:row r="2428" spans="1:17">
      <x:c r="D2428" s="147" t="n">
        <x:v>10128598</x:v>
      </x:c>
      <x:c r="E2428" s="147" t="s">
        <x:v>132</x:v>
      </x:c>
    </x:row>
    <x:row r="2429" spans="1:17">
      <x:c r="D2429" s="147" t="n">
        <x:v>10128599</x:v>
      </x:c>
      <x:c r="E2429" s="147" t="s">
        <x:v>154</x:v>
      </x:c>
    </x:row>
    <x:row r="2430" spans="1:17">
      <x:c r="D2430" s="147" t="n">
        <x:v>10128600</x:v>
      </x:c>
      <x:c r="E2430" s="147" t="s">
        <x:v>114</x:v>
      </x:c>
    </x:row>
    <x:row r="2431" spans="1:17">
      <x:c r="D2431" s="147" t="n">
        <x:v>10128579</x:v>
      </x:c>
      <x:c r="E2431" s="147" t="s">
        <x:v>154</x:v>
      </x:c>
    </x:row>
    <x:row r="2432" spans="1:17">
      <x:c r="D2432" s="147" t="n">
        <x:v>10128580</x:v>
      </x:c>
      <x:c r="E2432" s="147" t="s">
        <x:v>114</x:v>
      </x:c>
    </x:row>
    <x:row r="2433" spans="1:17">
      <x:c r="D2433" s="147" t="n">
        <x:v>10128581</x:v>
      </x:c>
      <x:c r="E2433" s="147" t="s">
        <x:v>114</x:v>
      </x:c>
    </x:row>
    <x:row r="2434" spans="1:17">
      <x:c r="D2434" s="147" t="n">
        <x:v>10128582</x:v>
      </x:c>
      <x:c r="E2434" s="147" t="s">
        <x:v>132</x:v>
      </x:c>
    </x:row>
    <x:row r="2435" spans="1:17">
      <x:c r="D2435" s="147" t="n">
        <x:v>10128595</x:v>
      </x:c>
      <x:c r="E2435" s="147" t="s">
        <x:v>132</x:v>
      </x:c>
    </x:row>
    <x:row r="2436" spans="1:17">
      <x:c r="D2436" s="147" t="n">
        <x:v>10128596</x:v>
      </x:c>
      <x:c r="E2436" s="147" t="s">
        <x:v>56</x:v>
      </x:c>
    </x:row>
    <x:row r="2437" spans="1:17">
      <x:c r="D2437" s="147" t="n">
        <x:v>10128597</x:v>
      </x:c>
      <x:c r="E2437" s="147" t="s">
        <x:v>114</x:v>
      </x:c>
    </x:row>
    <x:row r="2438" spans="1:17">
      <x:c r="D2438" s="147" t="n">
        <x:v>10128598</x:v>
      </x:c>
      <x:c r="E2438" s="147" t="s">
        <x:v>132</x:v>
      </x:c>
    </x:row>
    <x:row r="2439" spans="1:17">
      <x:c r="D2439" s="147" t="n">
        <x:v>10128599</x:v>
      </x:c>
      <x:c r="E2439" s="147" t="s">
        <x:v>154</x:v>
      </x:c>
    </x:row>
    <x:row r="2440" spans="1:17">
      <x:c r="D2440" s="147" t="n">
        <x:v>10128600</x:v>
      </x:c>
      <x:c r="E2440" s="147" t="s">
        <x:v>114</x:v>
      </x:c>
    </x:row>
    <x:row r="2441" spans="1:17">
      <x:c r="D2441" s="147" t="n">
        <x:v>10128579</x:v>
      </x:c>
      <x:c r="E2441" s="147" t="s">
        <x:v>154</x:v>
      </x:c>
    </x:row>
    <x:row r="2442" spans="1:17">
      <x:c r="D2442" s="147" t="n">
        <x:v>10128580</x:v>
      </x:c>
      <x:c r="E2442" s="147" t="s">
        <x:v>114</x:v>
      </x:c>
    </x:row>
    <x:row r="2443" spans="1:17">
      <x:c r="D2443" s="147" t="n">
        <x:v>10128581</x:v>
      </x:c>
      <x:c r="E2443" s="147" t="s">
        <x:v>114</x:v>
      </x:c>
    </x:row>
    <x:row r="2444" spans="1:17">
      <x:c r="D2444" s="147" t="n">
        <x:v>10128582</x:v>
      </x:c>
      <x:c r="E2444" s="147" t="s">
        <x:v>132</x:v>
      </x:c>
    </x:row>
    <x:row r="2445" spans="1:17">
      <x:c r="D2445" s="147" t="n">
        <x:v>10128595</x:v>
      </x:c>
      <x:c r="E2445" s="147" t="s">
        <x:v>132</x:v>
      </x:c>
    </x:row>
    <x:row r="2446" spans="1:17">
      <x:c r="D2446" s="147" t="n">
        <x:v>10128596</x:v>
      </x:c>
      <x:c r="E2446" s="147" t="s">
        <x:v>56</x:v>
      </x:c>
    </x:row>
    <x:row r="2447" spans="1:17">
      <x:c r="D2447" s="147" t="n">
        <x:v>10128597</x:v>
      </x:c>
      <x:c r="E2447" s="147" t="s">
        <x:v>114</x:v>
      </x:c>
    </x:row>
    <x:row r="2448" spans="1:17">
      <x:c r="D2448" s="147" t="n">
        <x:v>10128598</x:v>
      </x:c>
      <x:c r="E2448" s="147" t="s">
        <x:v>132</x:v>
      </x:c>
    </x:row>
    <x:row r="2449" spans="1:17">
      <x:c r="D2449" s="147" t="n">
        <x:v>10128599</x:v>
      </x:c>
      <x:c r="E2449" s="147" t="s">
        <x:v>154</x:v>
      </x:c>
    </x:row>
    <x:row r="2450" spans="1:17">
      <x:c r="D2450" s="147" t="n">
        <x:v>10128600</x:v>
      </x:c>
      <x:c r="E2450" s="147" t="s">
        <x:v>114</x:v>
      </x:c>
    </x:row>
    <x:row r="2451" spans="1:17">
      <x:c r="D2451" s="147" t="n">
        <x:v>10128579</x:v>
      </x:c>
      <x:c r="E2451" s="147" t="s">
        <x:v>154</x:v>
      </x:c>
    </x:row>
    <x:row r="2452" spans="1:17">
      <x:c r="D2452" s="147" t="n">
        <x:v>10128580</x:v>
      </x:c>
      <x:c r="E2452" s="147" t="s">
        <x:v>114</x:v>
      </x:c>
    </x:row>
    <x:row r="2453" spans="1:17">
      <x:c r="D2453" s="147" t="n">
        <x:v>10128581</x:v>
      </x:c>
      <x:c r="E2453" s="147" t="s">
        <x:v>114</x:v>
      </x:c>
    </x:row>
    <x:row r="2454" spans="1:17">
      <x:c r="D2454" s="147" t="n">
        <x:v>10128582</x:v>
      </x:c>
      <x:c r="E2454" s="147" t="s">
        <x:v>132</x:v>
      </x:c>
    </x:row>
    <x:row r="2455" spans="1:17">
      <x:c r="D2455" s="147" t="n">
        <x:v>10128595</x:v>
      </x:c>
      <x:c r="E2455" s="147" t="s">
        <x:v>132</x:v>
      </x:c>
    </x:row>
    <x:row r="2456" spans="1:17">
      <x:c r="D2456" s="147" t="n">
        <x:v>10128596</x:v>
      </x:c>
      <x:c r="E2456" s="147" t="s">
        <x:v>56</x:v>
      </x:c>
    </x:row>
    <x:row r="2457" spans="1:17">
      <x:c r="D2457" s="147" t="n">
        <x:v>10128597</x:v>
      </x:c>
      <x:c r="E2457" s="147" t="s">
        <x:v>114</x:v>
      </x:c>
    </x:row>
    <x:row r="2458" spans="1:17">
      <x:c r="D2458" s="147" t="n">
        <x:v>10128598</x:v>
      </x:c>
      <x:c r="E2458" s="147" t="s">
        <x:v>132</x:v>
      </x:c>
    </x:row>
    <x:row r="2459" spans="1:17">
      <x:c r="D2459" s="147" t="n">
        <x:v>10128599</x:v>
      </x:c>
      <x:c r="E2459" s="147" t="s">
        <x:v>154</x:v>
      </x:c>
    </x:row>
    <x:row r="2460" spans="1:17">
      <x:c r="D2460" s="147" t="n">
        <x:v>10128600</x:v>
      </x:c>
      <x:c r="E2460" s="147" t="s">
        <x:v>114</x:v>
      </x:c>
    </x:row>
    <x:row r="2461" spans="1:17">
      <x:c r="D2461" s="147" t="n">
        <x:v>10128579</x:v>
      </x:c>
      <x:c r="E2461" s="147" t="s">
        <x:v>154</x:v>
      </x:c>
    </x:row>
    <x:row r="2462" spans="1:17">
      <x:c r="D2462" s="147" t="n">
        <x:v>10128580</x:v>
      </x:c>
      <x:c r="E2462" s="147" t="s">
        <x:v>114</x:v>
      </x:c>
    </x:row>
    <x:row r="2463" spans="1:17">
      <x:c r="D2463" s="147" t="n">
        <x:v>10128581</x:v>
      </x:c>
      <x:c r="E2463" s="147" t="s">
        <x:v>114</x:v>
      </x:c>
    </x:row>
    <x:row r="2464" spans="1:17">
      <x:c r="D2464" s="147" t="n">
        <x:v>10128582</x:v>
      </x:c>
      <x:c r="E2464" s="147" t="s">
        <x:v>132</x:v>
      </x:c>
    </x:row>
    <x:row r="2465" spans="1:17">
      <x:c r="D2465" s="147" t="n">
        <x:v>10128595</x:v>
      </x:c>
      <x:c r="E2465" s="147" t="s">
        <x:v>132</x:v>
      </x:c>
    </x:row>
    <x:row r="2466" spans="1:17">
      <x:c r="D2466" s="147" t="n">
        <x:v>10128596</x:v>
      </x:c>
      <x:c r="E2466" s="147" t="s">
        <x:v>56</x:v>
      </x:c>
    </x:row>
    <x:row r="2467" spans="1:17">
      <x:c r="D2467" s="147" t="n">
        <x:v>10128597</x:v>
      </x:c>
      <x:c r="E2467" s="147" t="s">
        <x:v>114</x:v>
      </x:c>
    </x:row>
    <x:row r="2468" spans="1:17">
      <x:c r="D2468" s="147" t="n">
        <x:v>10128598</x:v>
      </x:c>
      <x:c r="E2468" s="147" t="s">
        <x:v>132</x:v>
      </x:c>
    </x:row>
    <x:row r="2469" spans="1:17">
      <x:c r="D2469" s="147" t="n">
        <x:v>10128599</x:v>
      </x:c>
      <x:c r="E2469" s="147" t="s">
        <x:v>154</x:v>
      </x:c>
    </x:row>
    <x:row r="2470" spans="1:17">
      <x:c r="D2470" s="147" t="n">
        <x:v>10128600</x:v>
      </x:c>
      <x:c r="E2470" s="147" t="s">
        <x:v>114</x:v>
      </x:c>
    </x:row>
    <x:row r="2471" spans="1:17">
      <x:c r="D2471" s="147" t="n">
        <x:v>10128579</x:v>
      </x:c>
      <x:c r="E2471" s="147" t="s">
        <x:v>154</x:v>
      </x:c>
    </x:row>
    <x:row r="2472" spans="1:17">
      <x:c r="D2472" s="147" t="n">
        <x:v>10128580</x:v>
      </x:c>
      <x:c r="E2472" s="147" t="s">
        <x:v>114</x:v>
      </x:c>
    </x:row>
    <x:row r="2473" spans="1:17">
      <x:c r="D2473" s="147" t="n">
        <x:v>10128581</x:v>
      </x:c>
      <x:c r="E2473" s="147" t="s">
        <x:v>114</x:v>
      </x:c>
    </x:row>
    <x:row r="2474" spans="1:17">
      <x:c r="D2474" s="147" t="n">
        <x:v>10128582</x:v>
      </x:c>
      <x:c r="E2474" s="147" t="s">
        <x:v>132</x:v>
      </x:c>
    </x:row>
    <x:row r="2475" spans="1:17">
      <x:c r="D2475" s="147" t="n">
        <x:v>10128595</x:v>
      </x:c>
      <x:c r="E2475" s="147" t="s">
        <x:v>132</x:v>
      </x:c>
    </x:row>
    <x:row r="2476" spans="1:17">
      <x:c r="D2476" s="147" t="n">
        <x:v>10128596</x:v>
      </x:c>
      <x:c r="E2476" s="147" t="s">
        <x:v>56</x:v>
      </x:c>
    </x:row>
    <x:row r="2477" spans="1:17">
      <x:c r="D2477" s="147" t="n">
        <x:v>10128597</x:v>
      </x:c>
      <x:c r="E2477" s="147" t="s">
        <x:v>114</x:v>
      </x:c>
    </x:row>
    <x:row r="2478" spans="1:17">
      <x:c r="D2478" s="147" t="n">
        <x:v>10128598</x:v>
      </x:c>
      <x:c r="E2478" s="147" t="s">
        <x:v>132</x:v>
      </x:c>
    </x:row>
    <x:row r="2479" spans="1:17">
      <x:c r="D2479" s="147" t="n">
        <x:v>10128599</x:v>
      </x:c>
      <x:c r="E2479" s="147" t="s">
        <x:v>154</x:v>
      </x:c>
    </x:row>
    <x:row r="2480" spans="1:17">
      <x:c r="D2480" s="147" t="n">
        <x:v>10128600</x:v>
      </x:c>
      <x:c r="E2480" s="147" t="s">
        <x:v>114</x:v>
      </x:c>
    </x:row>
    <x:row r="2481" spans="1:17">
      <x:c r="D2481" s="147" t="n">
        <x:v>10128579</x:v>
      </x:c>
      <x:c r="E2481" s="147" t="s">
        <x:v>154</x:v>
      </x:c>
    </x:row>
    <x:row r="2482" spans="1:17">
      <x:c r="D2482" s="147" t="n">
        <x:v>10128580</x:v>
      </x:c>
      <x:c r="E2482" s="147" t="s">
        <x:v>114</x:v>
      </x:c>
    </x:row>
    <x:row r="2483" spans="1:17">
      <x:c r="D2483" s="147" t="n">
        <x:v>10128581</x:v>
      </x:c>
      <x:c r="E2483" s="147" t="s">
        <x:v>114</x:v>
      </x:c>
    </x:row>
    <x:row r="2484" spans="1:17">
      <x:c r="D2484" s="147" t="n">
        <x:v>10128582</x:v>
      </x:c>
      <x:c r="E2484" s="147" t="s">
        <x:v>132</x:v>
      </x:c>
    </x:row>
    <x:row r="2485" spans="1:17">
      <x:c r="D2485" s="147" t="n">
        <x:v>10128595</x:v>
      </x:c>
      <x:c r="E2485" s="147" t="s">
        <x:v>132</x:v>
      </x:c>
    </x:row>
    <x:row r="2486" spans="1:17">
      <x:c r="D2486" s="147" t="n">
        <x:v>10128596</x:v>
      </x:c>
      <x:c r="E2486" s="147" t="s">
        <x:v>56</x:v>
      </x:c>
    </x:row>
    <x:row r="2487" spans="1:17">
      <x:c r="D2487" s="147" t="n">
        <x:v>10128597</x:v>
      </x:c>
      <x:c r="E2487" s="147" t="s">
        <x:v>114</x:v>
      </x:c>
    </x:row>
    <x:row r="2488" spans="1:17">
      <x:c r="D2488" s="147" t="n">
        <x:v>10128598</x:v>
      </x:c>
      <x:c r="E2488" s="147" t="s">
        <x:v>132</x:v>
      </x:c>
    </x:row>
    <x:row r="2489" spans="1:17">
      <x:c r="D2489" s="147" t="n">
        <x:v>10128599</x:v>
      </x:c>
      <x:c r="E2489" s="147" t="s">
        <x:v>154</x:v>
      </x:c>
    </x:row>
    <x:row r="2490" spans="1:17">
      <x:c r="D2490" s="147" t="n">
        <x:v>10128600</x:v>
      </x:c>
      <x:c r="E2490" s="147" t="s">
        <x:v>114</x:v>
      </x:c>
    </x:row>
    <x:row r="2491" spans="1:17">
      <x:c r="D2491" s="147" t="n">
        <x:v>10128579</x:v>
      </x:c>
      <x:c r="E2491" s="147" t="s">
        <x:v>154</x:v>
      </x:c>
    </x:row>
    <x:row r="2492" spans="1:17">
      <x:c r="D2492" s="147" t="n">
        <x:v>10128580</x:v>
      </x:c>
      <x:c r="E2492" s="147" t="s">
        <x:v>114</x:v>
      </x:c>
    </x:row>
    <x:row r="2493" spans="1:17">
      <x:c r="D2493" s="147" t="n">
        <x:v>10128581</x:v>
      </x:c>
      <x:c r="E2493" s="147" t="s">
        <x:v>114</x:v>
      </x:c>
    </x:row>
    <x:row r="2494" spans="1:17">
      <x:c r="D2494" s="147" t="n">
        <x:v>10128582</x:v>
      </x:c>
      <x:c r="E2494" s="147" t="s">
        <x:v>132</x:v>
      </x:c>
    </x:row>
    <x:row r="2495" spans="1:17">
      <x:c r="D2495" s="147" t="n">
        <x:v>10128595</x:v>
      </x:c>
      <x:c r="E2495" s="147" t="s">
        <x:v>132</x:v>
      </x:c>
    </x:row>
    <x:row r="2496" spans="1:17">
      <x:c r="D2496" s="147" t="n">
        <x:v>10128596</x:v>
      </x:c>
      <x:c r="E2496" s="147" t="s">
        <x:v>56</x:v>
      </x:c>
    </x:row>
    <x:row r="2497" spans="1:17">
      <x:c r="D2497" s="147" t="n">
        <x:v>10128597</x:v>
      </x:c>
      <x:c r="E2497" s="147" t="s">
        <x:v>114</x:v>
      </x:c>
    </x:row>
    <x:row r="2498" spans="1:17">
      <x:c r="D2498" s="147" t="n">
        <x:v>10128598</x:v>
      </x:c>
      <x:c r="E2498" s="147" t="s">
        <x:v>132</x:v>
      </x:c>
    </x:row>
    <x:row r="2499" spans="1:17">
      <x:c r="D2499" s="147" t="n">
        <x:v>10128599</x:v>
      </x:c>
      <x:c r="E2499" s="147" t="s">
        <x:v>154</x:v>
      </x:c>
    </x:row>
    <x:row r="2500" spans="1:17">
      <x:c r="D2500" s="147" t="n">
        <x:v>10128600</x:v>
      </x:c>
      <x:c r="E2500" s="147" t="s">
        <x:v>114</x:v>
      </x:c>
    </x:row>
    <x:row r="2501" spans="1:17">
      <x:c r="D2501" s="147" t="n">
        <x:v>10128579</x:v>
      </x:c>
      <x:c r="E2501" s="147" t="s">
        <x:v>154</x:v>
      </x:c>
    </x:row>
    <x:row r="2502" spans="1:17">
      <x:c r="D2502" s="147" t="n">
        <x:v>10128580</x:v>
      </x:c>
      <x:c r="E2502" s="147" t="s">
        <x:v>114</x:v>
      </x:c>
    </x:row>
    <x:row r="2503" spans="1:17">
      <x:c r="D2503" s="147" t="n">
        <x:v>10128581</x:v>
      </x:c>
      <x:c r="E2503" s="147" t="s">
        <x:v>114</x:v>
      </x:c>
    </x:row>
    <x:row r="2504" spans="1:17">
      <x:c r="D2504" s="147" t="n">
        <x:v>10128582</x:v>
      </x:c>
      <x:c r="E2504" s="147" t="s">
        <x:v>132</x:v>
      </x:c>
    </x:row>
    <x:row r="2505" spans="1:17">
      <x:c r="D2505" s="147" t="n">
        <x:v>10128595</x:v>
      </x:c>
      <x:c r="E2505" s="147" t="s">
        <x:v>132</x:v>
      </x:c>
    </x:row>
    <x:row r="2506" spans="1:17">
      <x:c r="D2506" s="147" t="n">
        <x:v>10128596</x:v>
      </x:c>
      <x:c r="E2506" s="147" t="s">
        <x:v>56</x:v>
      </x:c>
    </x:row>
    <x:row r="2507" spans="1:17">
      <x:c r="D2507" s="147" t="n">
        <x:v>10128597</x:v>
      </x:c>
      <x:c r="E2507" s="147" t="s">
        <x:v>114</x:v>
      </x:c>
    </x:row>
    <x:row r="2508" spans="1:17">
      <x:c r="D2508" s="147" t="n">
        <x:v>10128598</x:v>
      </x:c>
      <x:c r="E2508" s="147" t="s">
        <x:v>132</x:v>
      </x:c>
    </x:row>
    <x:row r="2509" spans="1:17">
      <x:c r="D2509" s="147" t="n">
        <x:v>10128599</x:v>
      </x:c>
      <x:c r="E2509" s="147" t="s">
        <x:v>154</x:v>
      </x:c>
    </x:row>
    <x:row r="2510" spans="1:17">
      <x:c r="D2510" s="147" t="n">
        <x:v>10128600</x:v>
      </x:c>
      <x:c r="E2510" s="147" t="s">
        <x:v>114</x:v>
      </x:c>
    </x:row>
    <x:row r="2511" spans="1:17">
      <x:c r="D2511" s="147" t="n">
        <x:v>10128579</x:v>
      </x:c>
      <x:c r="E2511" s="147" t="s">
        <x:v>154</x:v>
      </x:c>
    </x:row>
    <x:row r="2512" spans="1:17">
      <x:c r="D2512" s="147" t="n">
        <x:v>10128580</x:v>
      </x:c>
      <x:c r="E2512" s="147" t="s">
        <x:v>114</x:v>
      </x:c>
    </x:row>
    <x:row r="2513" spans="1:17">
      <x:c r="D2513" s="147" t="n">
        <x:v>10128581</x:v>
      </x:c>
      <x:c r="E2513" s="147" t="s">
        <x:v>114</x:v>
      </x:c>
    </x:row>
    <x:row r="2514" spans="1:17">
      <x:c r="D2514" s="147" t="n">
        <x:v>10128582</x:v>
      </x:c>
      <x:c r="E2514" s="147" t="s">
        <x:v>132</x:v>
      </x:c>
    </x:row>
    <x:row r="2515" spans="1:17">
      <x:c r="D2515" s="147" t="n">
        <x:v>10128595</x:v>
      </x:c>
      <x:c r="E2515" s="147" t="s">
        <x:v>132</x:v>
      </x:c>
    </x:row>
    <x:row r="2516" spans="1:17">
      <x:c r="D2516" s="147" t="n">
        <x:v>10128596</x:v>
      </x:c>
      <x:c r="E2516" s="147" t="s">
        <x:v>56</x:v>
      </x:c>
    </x:row>
    <x:row r="2517" spans="1:17">
      <x:c r="D2517" s="147" t="n">
        <x:v>10128597</x:v>
      </x:c>
      <x:c r="E2517" s="147" t="s">
        <x:v>114</x:v>
      </x:c>
    </x:row>
    <x:row r="2518" spans="1:17">
      <x:c r="D2518" s="147" t="n">
        <x:v>10128598</x:v>
      </x:c>
      <x:c r="E2518" s="147" t="s">
        <x:v>132</x:v>
      </x:c>
    </x:row>
    <x:row r="2519" spans="1:17">
      <x:c r="D2519" s="147" t="n">
        <x:v>10128599</x:v>
      </x:c>
      <x:c r="E2519" s="147" t="s">
        <x:v>154</x:v>
      </x:c>
    </x:row>
    <x:row r="2520" spans="1:17">
      <x:c r="D2520" s="147" t="n">
        <x:v>10128600</x:v>
      </x:c>
      <x:c r="E2520" s="147" t="s">
        <x:v>114</x:v>
      </x:c>
    </x:row>
    <x:row r="2521" spans="1:17">
      <x:c r="D2521" s="147" t="n">
        <x:v>10128579</x:v>
      </x:c>
      <x:c r="E2521" s="147" t="s">
        <x:v>154</x:v>
      </x:c>
    </x:row>
    <x:row r="2522" spans="1:17">
      <x:c r="D2522" s="147" t="n">
        <x:v>10128580</x:v>
      </x:c>
      <x:c r="E2522" s="147" t="s">
        <x:v>114</x:v>
      </x:c>
    </x:row>
    <x:row r="2523" spans="1:17">
      <x:c r="D2523" s="147" t="n">
        <x:v>10128581</x:v>
      </x:c>
      <x:c r="E2523" s="147" t="s">
        <x:v>114</x:v>
      </x:c>
    </x:row>
    <x:row r="2524" spans="1:17">
      <x:c r="D2524" s="147" t="n">
        <x:v>10128582</x:v>
      </x:c>
      <x:c r="E2524" s="147" t="s">
        <x:v>132</x:v>
      </x:c>
    </x:row>
    <x:row r="2525" spans="1:17">
      <x:c r="D2525" s="147" t="n">
        <x:v>10128595</x:v>
      </x:c>
      <x:c r="E2525" s="147" t="s">
        <x:v>132</x:v>
      </x:c>
    </x:row>
    <x:row r="2526" spans="1:17">
      <x:c r="D2526" s="147" t="n">
        <x:v>10128596</x:v>
      </x:c>
      <x:c r="E2526" s="147" t="s">
        <x:v>56</x:v>
      </x:c>
    </x:row>
    <x:row r="2527" spans="1:17">
      <x:c r="D2527" s="147" t="n">
        <x:v>10128597</x:v>
      </x:c>
      <x:c r="E2527" s="147" t="s">
        <x:v>114</x:v>
      </x:c>
    </x:row>
    <x:row r="2528" spans="1:17">
      <x:c r="D2528" s="147" t="n">
        <x:v>10128598</x:v>
      </x:c>
      <x:c r="E2528" s="147" t="s">
        <x:v>132</x:v>
      </x:c>
    </x:row>
    <x:row r="2529" spans="1:17">
      <x:c r="D2529" s="147" t="n">
        <x:v>10128599</x:v>
      </x:c>
      <x:c r="E2529" s="147" t="s">
        <x:v>154</x:v>
      </x:c>
    </x:row>
    <x:row r="2530" spans="1:17">
      <x:c r="D2530" s="147" t="n">
        <x:v>10128600</x:v>
      </x:c>
      <x:c r="E2530" s="147" t="s">
        <x:v>114</x:v>
      </x:c>
    </x:row>
    <x:row r="2531" spans="1:17">
      <x:c r="D2531" s="147" t="n">
        <x:v>10128579</x:v>
      </x:c>
      <x:c r="E2531" s="147" t="s">
        <x:v>154</x:v>
      </x:c>
    </x:row>
    <x:row r="2532" spans="1:17">
      <x:c r="D2532" s="147" t="n">
        <x:v>10128580</x:v>
      </x:c>
      <x:c r="E2532" s="147" t="s">
        <x:v>114</x:v>
      </x:c>
    </x:row>
    <x:row r="2533" spans="1:17">
      <x:c r="D2533" s="147" t="n">
        <x:v>10128581</x:v>
      </x:c>
      <x:c r="E2533" s="147" t="s">
        <x:v>114</x:v>
      </x:c>
    </x:row>
    <x:row r="2534" spans="1:17">
      <x:c r="D2534" s="147" t="n">
        <x:v>10128582</x:v>
      </x:c>
      <x:c r="E2534" s="147" t="s">
        <x:v>132</x:v>
      </x:c>
    </x:row>
    <x:row r="2535" spans="1:17">
      <x:c r="D2535" s="147" t="n">
        <x:v>10128595</x:v>
      </x:c>
      <x:c r="E2535" s="147" t="s">
        <x:v>132</x:v>
      </x:c>
    </x:row>
    <x:row r="2536" spans="1:17">
      <x:c r="D2536" s="147" t="n">
        <x:v>10128596</x:v>
      </x:c>
      <x:c r="E2536" s="147" t="s">
        <x:v>56</x:v>
      </x:c>
    </x:row>
    <x:row r="2537" spans="1:17">
      <x:c r="D2537" s="147" t="n">
        <x:v>10128597</x:v>
      </x:c>
      <x:c r="E2537" s="147" t="s">
        <x:v>114</x:v>
      </x:c>
    </x:row>
    <x:row r="2538" spans="1:17">
      <x:c r="D2538" s="147" t="n">
        <x:v>10128598</x:v>
      </x:c>
      <x:c r="E2538" s="147" t="s">
        <x:v>132</x:v>
      </x:c>
    </x:row>
    <x:row r="2539" spans="1:17">
      <x:c r="D2539" s="147" t="n">
        <x:v>10128599</x:v>
      </x:c>
      <x:c r="E2539" s="147" t="s">
        <x:v>154</x:v>
      </x:c>
    </x:row>
    <x:row r="2540" spans="1:17">
      <x:c r="D2540" s="147" t="n">
        <x:v>10128600</x:v>
      </x:c>
      <x:c r="E2540" s="147" t="s">
        <x:v>114</x:v>
      </x:c>
    </x:row>
    <x:row r="2541" spans="1:17">
      <x:c r="D2541" s="147" t="n">
        <x:v>10128579</x:v>
      </x:c>
      <x:c r="E2541" s="147" t="s">
        <x:v>154</x:v>
      </x:c>
    </x:row>
    <x:row r="2542" spans="1:17">
      <x:c r="D2542" s="147" t="n">
        <x:v>10128580</x:v>
      </x:c>
      <x:c r="E2542" s="147" t="s">
        <x:v>114</x:v>
      </x:c>
    </x:row>
    <x:row r="2543" spans="1:17">
      <x:c r="D2543" s="147" t="n">
        <x:v>10128581</x:v>
      </x:c>
      <x:c r="E2543" s="147" t="s">
        <x:v>114</x:v>
      </x:c>
    </x:row>
    <x:row r="2544" spans="1:17">
      <x:c r="D2544" s="147" t="n">
        <x:v>10128582</x:v>
      </x:c>
      <x:c r="E2544" s="147" t="s">
        <x:v>132</x:v>
      </x:c>
    </x:row>
    <x:row r="2545" spans="1:17">
      <x:c r="D2545" s="147" t="n">
        <x:v>10128595</x:v>
      </x:c>
      <x:c r="E2545" s="147" t="s">
        <x:v>132</x:v>
      </x:c>
    </x:row>
    <x:row r="2546" spans="1:17">
      <x:c r="D2546" s="147" t="n">
        <x:v>10128596</x:v>
      </x:c>
      <x:c r="E2546" s="147" t="s">
        <x:v>56</x:v>
      </x:c>
    </x:row>
    <x:row r="2547" spans="1:17">
      <x:c r="D2547" s="147" t="n">
        <x:v>10128597</x:v>
      </x:c>
      <x:c r="E2547" s="147" t="s">
        <x:v>114</x:v>
      </x:c>
    </x:row>
    <x:row r="2548" spans="1:17">
      <x:c r="D2548" s="147" t="n">
        <x:v>10128598</x:v>
      </x:c>
      <x:c r="E2548" s="147" t="s">
        <x:v>132</x:v>
      </x:c>
    </x:row>
    <x:row r="2549" spans="1:17">
      <x:c r="D2549" s="147" t="n">
        <x:v>10128599</x:v>
      </x:c>
      <x:c r="E2549" s="147" t="s">
        <x:v>154</x:v>
      </x:c>
    </x:row>
    <x:row r="2550" spans="1:17">
      <x:c r="D2550" s="147" t="n">
        <x:v>10128600</x:v>
      </x:c>
      <x:c r="E2550" s="147" t="s">
        <x:v>114</x:v>
      </x:c>
    </x:row>
    <x:row r="2551" spans="1:17">
      <x:c r="D2551" s="147" t="n">
        <x:v>10128579</x:v>
      </x:c>
      <x:c r="E2551" s="147" t="s">
        <x:v>154</x:v>
      </x:c>
    </x:row>
    <x:row r="2552" spans="1:17">
      <x:c r="D2552" s="147" t="n">
        <x:v>10128580</x:v>
      </x:c>
      <x:c r="E2552" s="147" t="s">
        <x:v>114</x:v>
      </x:c>
    </x:row>
    <x:row r="2553" spans="1:17">
      <x:c r="D2553" s="147" t="n">
        <x:v>10128581</x:v>
      </x:c>
      <x:c r="E2553" s="147" t="s">
        <x:v>114</x:v>
      </x:c>
    </x:row>
    <x:row r="2554" spans="1:17">
      <x:c r="D2554" s="147" t="n">
        <x:v>10128582</x:v>
      </x:c>
      <x:c r="E2554" s="147" t="s">
        <x:v>132</x:v>
      </x:c>
    </x:row>
    <x:row r="2555" spans="1:17">
      <x:c r="D2555" s="147" t="n">
        <x:v>10128595</x:v>
      </x:c>
      <x:c r="E2555" s="147" t="s">
        <x:v>132</x:v>
      </x:c>
    </x:row>
    <x:row r="2556" spans="1:17">
      <x:c r="D2556" s="147" t="n">
        <x:v>10128596</x:v>
      </x:c>
      <x:c r="E2556" s="147" t="s">
        <x:v>56</x:v>
      </x:c>
    </x:row>
    <x:row r="2557" spans="1:17">
      <x:c r="D2557" s="147" t="n">
        <x:v>10128597</x:v>
      </x:c>
      <x:c r="E2557" s="147" t="s">
        <x:v>114</x:v>
      </x:c>
    </x:row>
    <x:row r="2558" spans="1:17">
      <x:c r="D2558" s="147" t="n">
        <x:v>10128598</x:v>
      </x:c>
      <x:c r="E2558" s="147" t="s">
        <x:v>132</x:v>
      </x:c>
    </x:row>
    <x:row r="2559" spans="1:17">
      <x:c r="D2559" s="147" t="n">
        <x:v>10128599</x:v>
      </x:c>
      <x:c r="E2559" s="147" t="s">
        <x:v>154</x:v>
      </x:c>
    </x:row>
    <x:row r="2560" spans="1:17">
      <x:c r="D2560" s="147" t="n">
        <x:v>10128600</x:v>
      </x:c>
      <x:c r="E2560" s="147" t="s">
        <x:v>114</x:v>
      </x:c>
    </x:row>
    <x:row r="2561" spans="1:17">
      <x:c r="D2561" s="147" t="n">
        <x:v>10128579</x:v>
      </x:c>
      <x:c r="E2561" s="147" t="s">
        <x:v>154</x:v>
      </x:c>
    </x:row>
    <x:row r="2562" spans="1:17">
      <x:c r="D2562" s="147" t="n">
        <x:v>10128580</x:v>
      </x:c>
      <x:c r="E2562" s="147" t="s">
        <x:v>114</x:v>
      </x:c>
    </x:row>
    <x:row r="2563" spans="1:17">
      <x:c r="D2563" s="147" t="n">
        <x:v>10128581</x:v>
      </x:c>
      <x:c r="E2563" s="147" t="s">
        <x:v>114</x:v>
      </x:c>
    </x:row>
    <x:row r="2564" spans="1:17">
      <x:c r="D2564" s="147" t="n">
        <x:v>10128582</x:v>
      </x:c>
      <x:c r="E2564" s="147" t="s">
        <x:v>132</x:v>
      </x:c>
    </x:row>
    <x:row r="2565" spans="1:17">
      <x:c r="D2565" s="147" t="n">
        <x:v>10128595</x:v>
      </x:c>
      <x:c r="E2565" s="147" t="s">
        <x:v>132</x:v>
      </x:c>
    </x:row>
    <x:row r="2566" spans="1:17">
      <x:c r="D2566" s="147" t="n">
        <x:v>10128596</x:v>
      </x:c>
      <x:c r="E2566" s="147" t="s">
        <x:v>56</x:v>
      </x:c>
    </x:row>
    <x:row r="2567" spans="1:17">
      <x:c r="D2567" s="147" t="n">
        <x:v>10128597</x:v>
      </x:c>
      <x:c r="E2567" s="147" t="s">
        <x:v>114</x:v>
      </x:c>
    </x:row>
    <x:row r="2568" spans="1:17">
      <x:c r="D2568" s="147" t="n">
        <x:v>10128598</x:v>
      </x:c>
      <x:c r="E2568" s="147" t="s">
        <x:v>132</x:v>
      </x:c>
    </x:row>
    <x:row r="2569" spans="1:17">
      <x:c r="D2569" s="147" t="n">
        <x:v>10128599</x:v>
      </x:c>
      <x:c r="E2569" s="147" t="s">
        <x:v>154</x:v>
      </x:c>
    </x:row>
    <x:row r="2570" spans="1:17">
      <x:c r="D2570" s="147" t="n">
        <x:v>10128600</x:v>
      </x:c>
      <x:c r="E2570" s="147" t="s">
        <x:v>114</x:v>
      </x:c>
    </x:row>
    <x:row r="2571" spans="1:17">
      <x:c r="D2571" s="147" t="n">
        <x:v>10128579</x:v>
      </x:c>
      <x:c r="E2571" s="147" t="s">
        <x:v>154</x:v>
      </x:c>
    </x:row>
    <x:row r="2572" spans="1:17">
      <x:c r="D2572" s="147" t="n">
        <x:v>10128580</x:v>
      </x:c>
      <x:c r="E2572" s="147" t="s">
        <x:v>114</x:v>
      </x:c>
    </x:row>
    <x:row r="2573" spans="1:17">
      <x:c r="D2573" s="147" t="n">
        <x:v>10128581</x:v>
      </x:c>
      <x:c r="E2573" s="147" t="s">
        <x:v>114</x:v>
      </x:c>
    </x:row>
    <x:row r="2574" spans="1:17">
      <x:c r="D2574" s="147" t="n">
        <x:v>10128582</x:v>
      </x:c>
      <x:c r="E2574" s="147" t="s">
        <x:v>132</x:v>
      </x:c>
    </x:row>
    <x:row r="2575" spans="1:17">
      <x:c r="D2575" s="147" t="n">
        <x:v>10128595</x:v>
      </x:c>
      <x:c r="E2575" s="147" t="s">
        <x:v>132</x:v>
      </x:c>
    </x:row>
    <x:row r="2576" spans="1:17">
      <x:c r="D2576" s="147" t="n">
        <x:v>10128596</x:v>
      </x:c>
      <x:c r="E2576" s="147" t="s">
        <x:v>56</x:v>
      </x:c>
    </x:row>
    <x:row r="2577" spans="1:17">
      <x:c r="D2577" s="147" t="n">
        <x:v>10128597</x:v>
      </x:c>
      <x:c r="E2577" s="147" t="s">
        <x:v>114</x:v>
      </x:c>
    </x:row>
    <x:row r="2578" spans="1:17">
      <x:c r="D2578" s="147" t="n">
        <x:v>10128598</x:v>
      </x:c>
      <x:c r="E2578" s="147" t="s">
        <x:v>132</x:v>
      </x:c>
    </x:row>
    <x:row r="2579" spans="1:17">
      <x:c r="D2579" s="147" t="n">
        <x:v>10128599</x:v>
      </x:c>
      <x:c r="E2579" s="147" t="s">
        <x:v>154</x:v>
      </x:c>
    </x:row>
    <x:row r="2580" spans="1:17">
      <x:c r="D2580" s="147" t="n">
        <x:v>10128600</x:v>
      </x:c>
      <x:c r="E2580" s="147" t="s">
        <x:v>114</x:v>
      </x:c>
    </x:row>
    <x:row r="2581" spans="1:17">
      <x:c r="D2581" s="147" t="n">
        <x:v>10128579</x:v>
      </x:c>
      <x:c r="E2581" s="147" t="s">
        <x:v>154</x:v>
      </x:c>
    </x:row>
    <x:row r="2582" spans="1:17">
      <x:c r="D2582" s="147" t="n">
        <x:v>10128580</x:v>
      </x:c>
      <x:c r="E2582" s="147" t="s">
        <x:v>114</x:v>
      </x:c>
    </x:row>
    <x:row r="2583" spans="1:17">
      <x:c r="D2583" s="147" t="n">
        <x:v>10128581</x:v>
      </x:c>
      <x:c r="E2583" s="147" t="s">
        <x:v>114</x:v>
      </x:c>
    </x:row>
    <x:row r="2584" spans="1:17">
      <x:c r="D2584" s="147" t="n">
        <x:v>10128582</x:v>
      </x:c>
      <x:c r="E2584" s="147" t="s">
        <x:v>132</x:v>
      </x:c>
    </x:row>
    <x:row r="2585" spans="1:17">
      <x:c r="D2585" s="147" t="n">
        <x:v>10128595</x:v>
      </x:c>
      <x:c r="E2585" s="147" t="s">
        <x:v>132</x:v>
      </x:c>
    </x:row>
    <x:row r="2586" spans="1:17">
      <x:c r="D2586" s="147" t="n">
        <x:v>10128596</x:v>
      </x:c>
      <x:c r="E2586" s="147" t="s">
        <x:v>56</x:v>
      </x:c>
    </x:row>
    <x:row r="2587" spans="1:17">
      <x:c r="D2587" s="147" t="n">
        <x:v>10128597</x:v>
      </x:c>
      <x:c r="E2587" s="147" t="s">
        <x:v>114</x:v>
      </x:c>
    </x:row>
    <x:row r="2588" spans="1:17">
      <x:c r="D2588" s="147" t="n">
        <x:v>10128598</x:v>
      </x:c>
      <x:c r="E2588" s="147" t="s">
        <x:v>132</x:v>
      </x:c>
    </x:row>
    <x:row r="2589" spans="1:17">
      <x:c r="D2589" s="147" t="n">
        <x:v>10128599</x:v>
      </x:c>
      <x:c r="E2589" s="147" t="s">
        <x:v>154</x:v>
      </x:c>
    </x:row>
    <x:row r="2590" spans="1:17">
      <x:c r="D2590" s="147" t="n">
        <x:v>10128600</x:v>
      </x:c>
      <x:c r="E2590" s="147" t="s">
        <x:v>114</x:v>
      </x:c>
    </x:row>
    <x:row r="2591" spans="1:17">
      <x:c r="D2591" s="147" t="n">
        <x:v>10128579</x:v>
      </x:c>
      <x:c r="E2591" s="147" t="s">
        <x:v>154</x:v>
      </x:c>
    </x:row>
    <x:row r="2592" spans="1:17">
      <x:c r="D2592" s="147" t="n">
        <x:v>10128580</x:v>
      </x:c>
      <x:c r="E2592" s="147" t="s">
        <x:v>114</x:v>
      </x:c>
    </x:row>
    <x:row r="2593" spans="1:17">
      <x:c r="D2593" s="147" t="n">
        <x:v>10128581</x:v>
      </x:c>
      <x:c r="E2593" s="147" t="s">
        <x:v>114</x:v>
      </x:c>
    </x:row>
    <x:row r="2594" spans="1:17">
      <x:c r="D2594" s="147" t="n">
        <x:v>10128582</x:v>
      </x:c>
      <x:c r="E2594" s="147" t="s">
        <x:v>132</x:v>
      </x:c>
    </x:row>
    <x:row r="2595" spans="1:17">
      <x:c r="D2595" s="147" t="n">
        <x:v>10128595</x:v>
      </x:c>
      <x:c r="E2595" s="147" t="s">
        <x:v>132</x:v>
      </x:c>
    </x:row>
    <x:row r="2596" spans="1:17">
      <x:c r="D2596" s="147" t="n">
        <x:v>10128596</x:v>
      </x:c>
      <x:c r="E2596" s="147" t="s">
        <x:v>56</x:v>
      </x:c>
    </x:row>
    <x:row r="2597" spans="1:17">
      <x:c r="D2597" s="147" t="n">
        <x:v>10128597</x:v>
      </x:c>
      <x:c r="E2597" s="147" t="s">
        <x:v>114</x:v>
      </x:c>
    </x:row>
    <x:row r="2598" spans="1:17">
      <x:c r="D2598" s="147" t="n">
        <x:v>10128598</x:v>
      </x:c>
      <x:c r="E2598" s="147" t="s">
        <x:v>132</x:v>
      </x:c>
    </x:row>
    <x:row r="2599" spans="1:17">
      <x:c r="D2599" s="147" t="n">
        <x:v>10128599</x:v>
      </x:c>
      <x:c r="E2599" s="147" t="s">
        <x:v>154</x:v>
      </x:c>
    </x:row>
    <x:row r="2600" spans="1:17">
      <x:c r="D2600" s="147" t="n">
        <x:v>10128600</x:v>
      </x:c>
      <x:c r="E2600" s="147" t="s">
        <x:v>114</x:v>
      </x:c>
    </x:row>
    <x:row r="2601" spans="1:17">
      <x:c r="D2601" s="147" t="n">
        <x:v>10128579</x:v>
      </x:c>
      <x:c r="E2601" s="147" t="s">
        <x:v>154</x:v>
      </x:c>
    </x:row>
    <x:row r="2602" spans="1:17">
      <x:c r="D2602" s="147" t="n">
        <x:v>10128580</x:v>
      </x:c>
      <x:c r="E2602" s="147" t="s">
        <x:v>114</x:v>
      </x:c>
    </x:row>
    <x:row r="2603" spans="1:17">
      <x:c r="D2603" s="147" t="n">
        <x:v>10128581</x:v>
      </x:c>
      <x:c r="E2603" s="147" t="s">
        <x:v>114</x:v>
      </x:c>
    </x:row>
    <x:row r="2604" spans="1:17">
      <x:c r="D2604" s="147" t="n">
        <x:v>10128582</x:v>
      </x:c>
      <x:c r="E2604" s="147" t="s">
        <x:v>132</x:v>
      </x:c>
    </x:row>
    <x:row r="2605" spans="1:17">
      <x:c r="D2605" s="147" t="n">
        <x:v>10128595</x:v>
      </x:c>
      <x:c r="E2605" s="147" t="s">
        <x:v>132</x:v>
      </x:c>
    </x:row>
    <x:row r="2606" spans="1:17">
      <x:c r="D2606" s="147" t="n">
        <x:v>10128596</x:v>
      </x:c>
      <x:c r="E2606" s="147" t="s">
        <x:v>56</x:v>
      </x:c>
    </x:row>
    <x:row r="2607" spans="1:17">
      <x:c r="D2607" s="147" t="n">
        <x:v>10128597</x:v>
      </x:c>
      <x:c r="E2607" s="147" t="s">
        <x:v>114</x:v>
      </x:c>
    </x:row>
    <x:row r="2608" spans="1:17">
      <x:c r="D2608" s="147" t="n">
        <x:v>10128598</x:v>
      </x:c>
      <x:c r="E2608" s="147" t="s">
        <x:v>132</x:v>
      </x:c>
    </x:row>
    <x:row r="2609" spans="1:17">
      <x:c r="D2609" s="147" t="n">
        <x:v>10128599</x:v>
      </x:c>
      <x:c r="E2609" s="147" t="s">
        <x:v>154</x:v>
      </x:c>
    </x:row>
    <x:row r="2610" spans="1:17">
      <x:c r="D2610" s="147" t="n">
        <x:v>10128600</x:v>
      </x:c>
      <x:c r="E2610" s="147" t="s">
        <x:v>114</x:v>
      </x:c>
    </x:row>
    <x:row r="2611" spans="1:17">
      <x:c r="D2611" s="147" t="n">
        <x:v>10128579</x:v>
      </x:c>
      <x:c r="E2611" s="147" t="s">
        <x:v>154</x:v>
      </x:c>
    </x:row>
    <x:row r="2612" spans="1:17">
      <x:c r="D2612" s="147" t="n">
        <x:v>10128580</x:v>
      </x:c>
      <x:c r="E2612" s="147" t="s">
        <x:v>114</x:v>
      </x:c>
    </x:row>
    <x:row r="2613" spans="1:17">
      <x:c r="D2613" s="147" t="n">
        <x:v>10128581</x:v>
      </x:c>
      <x:c r="E2613" s="147" t="s">
        <x:v>114</x:v>
      </x:c>
    </x:row>
    <x:row r="2614" spans="1:17">
      <x:c r="D2614" s="147" t="n">
        <x:v>10128582</x:v>
      </x:c>
      <x:c r="E2614" s="147" t="s">
        <x:v>132</x:v>
      </x:c>
    </x:row>
    <x:row r="2615" spans="1:17">
      <x:c r="D2615" s="147" t="n">
        <x:v>10128595</x:v>
      </x:c>
      <x:c r="E2615" s="147" t="s">
        <x:v>132</x:v>
      </x:c>
    </x:row>
    <x:row r="2616" spans="1:17">
      <x:c r="D2616" s="147" t="n">
        <x:v>10128596</x:v>
      </x:c>
      <x:c r="E2616" s="147" t="s">
        <x:v>56</x:v>
      </x:c>
    </x:row>
    <x:row r="2617" spans="1:17">
      <x:c r="D2617" s="147" t="n">
        <x:v>10128597</x:v>
      </x:c>
      <x:c r="E2617" s="147" t="s">
        <x:v>114</x:v>
      </x:c>
    </x:row>
    <x:row r="2618" spans="1:17">
      <x:c r="D2618" s="147" t="n">
        <x:v>10128598</x:v>
      </x:c>
      <x:c r="E2618" s="147" t="s">
        <x:v>132</x:v>
      </x:c>
    </x:row>
    <x:row r="2619" spans="1:17">
      <x:c r="D2619" s="147" t="n">
        <x:v>10128599</x:v>
      </x:c>
      <x:c r="E2619" s="147" t="s">
        <x:v>154</x:v>
      </x:c>
    </x:row>
    <x:row r="2620" spans="1:17">
      <x:c r="D2620" s="147" t="n">
        <x:v>10128600</x:v>
      </x:c>
      <x:c r="E2620" s="147" t="s">
        <x:v>114</x:v>
      </x:c>
    </x:row>
    <x:row r="2621" spans="1:17">
      <x:c r="D2621" s="147" t="n">
        <x:v>10128579</x:v>
      </x:c>
      <x:c r="E2621" s="147" t="s">
        <x:v>154</x:v>
      </x:c>
    </x:row>
    <x:row r="2622" spans="1:17">
      <x:c r="D2622" s="147" t="n">
        <x:v>10128580</x:v>
      </x:c>
      <x:c r="E2622" s="147" t="s">
        <x:v>114</x:v>
      </x:c>
    </x:row>
    <x:row r="2623" spans="1:17">
      <x:c r="D2623" s="147" t="n">
        <x:v>10128581</x:v>
      </x:c>
      <x:c r="E2623" s="147" t="s">
        <x:v>114</x:v>
      </x:c>
    </x:row>
    <x:row r="2624" spans="1:17">
      <x:c r="D2624" s="147" t="n">
        <x:v>10128582</x:v>
      </x:c>
      <x:c r="E2624" s="147" t="s">
        <x:v>132</x:v>
      </x:c>
    </x:row>
    <x:row r="2625" spans="1:17">
      <x:c r="D2625" s="147" t="n">
        <x:v>10128595</x:v>
      </x:c>
      <x:c r="E2625" s="147" t="s">
        <x:v>132</x:v>
      </x:c>
    </x:row>
    <x:row r="2626" spans="1:17">
      <x:c r="D2626" s="147" t="n">
        <x:v>10128596</x:v>
      </x:c>
      <x:c r="E2626" s="147" t="s">
        <x:v>56</x:v>
      </x:c>
    </x:row>
    <x:row r="2627" spans="1:17">
      <x:c r="D2627" s="147" t="n">
        <x:v>10128597</x:v>
      </x:c>
      <x:c r="E2627" s="147" t="s">
        <x:v>114</x:v>
      </x:c>
    </x:row>
    <x:row r="2628" spans="1:17">
      <x:c r="D2628" s="147" t="n">
        <x:v>10128598</x:v>
      </x:c>
      <x:c r="E2628" s="147" t="s">
        <x:v>132</x:v>
      </x:c>
    </x:row>
    <x:row r="2629" spans="1:17">
      <x:c r="D2629" s="147" t="n">
        <x:v>10128599</x:v>
      </x:c>
      <x:c r="E2629" s="147" t="s">
        <x:v>154</x:v>
      </x:c>
    </x:row>
    <x:row r="2630" spans="1:17">
      <x:c r="D2630" s="147" t="n">
        <x:v>10128600</x:v>
      </x:c>
      <x:c r="E2630" s="147" t="s">
        <x:v>114</x:v>
      </x:c>
    </x:row>
    <x:row r="2631" spans="1:17">
      <x:c r="D2631" s="147" t="n">
        <x:v>10128579</x:v>
      </x:c>
      <x:c r="E2631" s="147" t="s">
        <x:v>154</x:v>
      </x:c>
    </x:row>
    <x:row r="2632" spans="1:17">
      <x:c r="D2632" s="147" t="n">
        <x:v>10128580</x:v>
      </x:c>
      <x:c r="E2632" s="147" t="s">
        <x:v>114</x:v>
      </x:c>
    </x:row>
    <x:row r="2633" spans="1:17">
      <x:c r="D2633" s="147" t="n">
        <x:v>10128581</x:v>
      </x:c>
      <x:c r="E2633" s="147" t="s">
        <x:v>114</x:v>
      </x:c>
    </x:row>
    <x:row r="2634" spans="1:17">
      <x:c r="D2634" s="147" t="n">
        <x:v>10128582</x:v>
      </x:c>
      <x:c r="E2634" s="147" t="s">
        <x:v>132</x:v>
      </x:c>
    </x:row>
    <x:row r="2635" spans="1:17">
      <x:c r="D2635" s="147" t="n">
        <x:v>10128595</x:v>
      </x:c>
      <x:c r="E2635" s="147" t="s">
        <x:v>132</x:v>
      </x:c>
    </x:row>
    <x:row r="2636" spans="1:17">
      <x:c r="D2636" s="147" t="n">
        <x:v>10128596</x:v>
      </x:c>
      <x:c r="E2636" s="147" t="s">
        <x:v>56</x:v>
      </x:c>
    </x:row>
    <x:row r="2637" spans="1:17">
      <x:c r="D2637" s="147" t="n">
        <x:v>10128597</x:v>
      </x:c>
      <x:c r="E2637" s="147" t="s">
        <x:v>114</x:v>
      </x:c>
    </x:row>
    <x:row r="2638" spans="1:17">
      <x:c r="D2638" s="147" t="n">
        <x:v>10128598</x:v>
      </x:c>
      <x:c r="E2638" s="147" t="s">
        <x:v>132</x:v>
      </x:c>
    </x:row>
    <x:row r="2639" spans="1:17">
      <x:c r="D2639" s="147" t="n">
        <x:v>10128599</x:v>
      </x:c>
      <x:c r="E2639" s="147" t="s">
        <x:v>154</x:v>
      </x:c>
    </x:row>
    <x:row r="2640" spans="1:17">
      <x:c r="D2640" s="147" t="n">
        <x:v>10128600</x:v>
      </x:c>
      <x:c r="E2640" s="147" t="s">
        <x:v>114</x:v>
      </x:c>
    </x:row>
    <x:row r="2641" spans="1:17">
      <x:c r="D2641" s="147" t="n">
        <x:v>10128579</x:v>
      </x:c>
      <x:c r="E2641" s="147" t="s">
        <x:v>154</x:v>
      </x:c>
    </x:row>
    <x:row r="2642" spans="1:17">
      <x:c r="D2642" s="147" t="n">
        <x:v>10128580</x:v>
      </x:c>
      <x:c r="E2642" s="147" t="s">
        <x:v>114</x:v>
      </x:c>
    </x:row>
    <x:row r="2643" spans="1:17">
      <x:c r="D2643" s="147" t="n">
        <x:v>10128581</x:v>
      </x:c>
      <x:c r="E2643" s="147" t="s">
        <x:v>114</x:v>
      </x:c>
    </x:row>
    <x:row r="2644" spans="1:17">
      <x:c r="D2644" s="147" t="n">
        <x:v>10128582</x:v>
      </x:c>
      <x:c r="E2644" s="147" t="s">
        <x:v>132</x:v>
      </x:c>
    </x:row>
    <x:row r="2645" spans="1:17">
      <x:c r="D2645" s="147" t="n">
        <x:v>10128595</x:v>
      </x:c>
      <x:c r="E2645" s="147" t="s">
        <x:v>132</x:v>
      </x:c>
    </x:row>
    <x:row r="2646" spans="1:17">
      <x:c r="D2646" s="147" t="n">
        <x:v>10128596</x:v>
      </x:c>
      <x:c r="E2646" s="147" t="s">
        <x:v>56</x:v>
      </x:c>
    </x:row>
    <x:row r="2647" spans="1:17">
      <x:c r="D2647" s="147" t="n">
        <x:v>10128597</x:v>
      </x:c>
      <x:c r="E2647" s="147" t="s">
        <x:v>114</x:v>
      </x:c>
    </x:row>
    <x:row r="2648" spans="1:17">
      <x:c r="D2648" s="147" t="n">
        <x:v>10128598</x:v>
      </x:c>
      <x:c r="E2648" s="147" t="s">
        <x:v>132</x:v>
      </x:c>
    </x:row>
    <x:row r="2649" spans="1:17">
      <x:c r="D2649" s="147" t="n">
        <x:v>10128599</x:v>
      </x:c>
      <x:c r="E2649" s="147" t="s">
        <x:v>154</x:v>
      </x:c>
    </x:row>
    <x:row r="2650" spans="1:17">
      <x:c r="D2650" s="147" t="n">
        <x:v>10128600</x:v>
      </x:c>
      <x:c r="E2650" s="147" t="s">
        <x:v>114</x:v>
      </x:c>
    </x:row>
    <x:row r="2651" spans="1:17">
      <x:c r="D2651" s="147" t="n">
        <x:v>10128579</x:v>
      </x:c>
      <x:c r="E2651" s="147" t="s">
        <x:v>154</x:v>
      </x:c>
    </x:row>
    <x:row r="2652" spans="1:17">
      <x:c r="D2652" s="147" t="n">
        <x:v>10128580</x:v>
      </x:c>
      <x:c r="E2652" s="147" t="s">
        <x:v>114</x:v>
      </x:c>
    </x:row>
    <x:row r="2653" spans="1:17">
      <x:c r="D2653" s="147" t="n">
        <x:v>10128581</x:v>
      </x:c>
      <x:c r="E2653" s="147" t="s">
        <x:v>114</x:v>
      </x:c>
    </x:row>
    <x:row r="2654" spans="1:17">
      <x:c r="D2654" s="147" t="n">
        <x:v>10128582</x:v>
      </x:c>
      <x:c r="E2654" s="147" t="s">
        <x:v>132</x:v>
      </x:c>
    </x:row>
    <x:row r="2655" spans="1:17">
      <x:c r="D2655" s="147" t="n">
        <x:v>10128595</x:v>
      </x:c>
      <x:c r="E2655" s="147" t="s">
        <x:v>132</x:v>
      </x:c>
    </x:row>
    <x:row r="2656" spans="1:17">
      <x:c r="D2656" s="147" t="n">
        <x:v>10128596</x:v>
      </x:c>
      <x:c r="E2656" s="147" t="s">
        <x:v>56</x:v>
      </x:c>
    </x:row>
    <x:row r="2657" spans="1:17">
      <x:c r="D2657" s="147" t="n">
        <x:v>10128597</x:v>
      </x:c>
      <x:c r="E2657" s="147" t="s">
        <x:v>114</x:v>
      </x:c>
    </x:row>
    <x:row r="2658" spans="1:17">
      <x:c r="D2658" s="147" t="n">
        <x:v>10128598</x:v>
      </x:c>
      <x:c r="E2658" s="147" t="s">
        <x:v>132</x:v>
      </x:c>
    </x:row>
    <x:row r="2659" spans="1:17">
      <x:c r="D2659" s="147" t="n">
        <x:v>10128599</x:v>
      </x:c>
      <x:c r="E2659" s="147" t="s">
        <x:v>154</x:v>
      </x:c>
    </x:row>
    <x:row r="2660" spans="1:17">
      <x:c r="D2660" s="147" t="n">
        <x:v>10128600</x:v>
      </x:c>
      <x:c r="E2660" s="147" t="s">
        <x:v>114</x:v>
      </x:c>
    </x:row>
    <x:row r="2661" spans="1:17">
      <x:c r="D2661" s="147" t="n">
        <x:v>10128579</x:v>
      </x:c>
      <x:c r="E2661" s="147" t="s">
        <x:v>154</x:v>
      </x:c>
    </x:row>
    <x:row r="2662" spans="1:17">
      <x:c r="D2662" s="147" t="n">
        <x:v>10128580</x:v>
      </x:c>
      <x:c r="E2662" s="147" t="s">
        <x:v>114</x:v>
      </x:c>
    </x:row>
    <x:row r="2663" spans="1:17">
      <x:c r="D2663" s="147" t="n">
        <x:v>10128581</x:v>
      </x:c>
      <x:c r="E2663" s="147" t="s">
        <x:v>114</x:v>
      </x:c>
    </x:row>
    <x:row r="2664" spans="1:17">
      <x:c r="D2664" s="147" t="n">
        <x:v>10128582</x:v>
      </x:c>
      <x:c r="E2664" s="147" t="s">
        <x:v>132</x:v>
      </x:c>
    </x:row>
    <x:row r="2665" spans="1:17">
      <x:c r="D2665" s="147" t="n">
        <x:v>10128595</x:v>
      </x:c>
      <x:c r="E2665" s="147" t="s">
        <x:v>132</x:v>
      </x:c>
    </x:row>
    <x:row r="2666" spans="1:17">
      <x:c r="D2666" s="147" t="n">
        <x:v>10128596</x:v>
      </x:c>
      <x:c r="E2666" s="147" t="s">
        <x:v>56</x:v>
      </x:c>
    </x:row>
    <x:row r="2667" spans="1:17">
      <x:c r="D2667" s="147" t="n">
        <x:v>10128597</x:v>
      </x:c>
      <x:c r="E2667" s="147" t="s">
        <x:v>114</x:v>
      </x:c>
    </x:row>
    <x:row r="2668" spans="1:17">
      <x:c r="D2668" s="147" t="n">
        <x:v>10128598</x:v>
      </x:c>
      <x:c r="E2668" s="147" t="s">
        <x:v>132</x:v>
      </x:c>
    </x:row>
    <x:row r="2669" spans="1:17">
      <x:c r="D2669" s="147" t="n">
        <x:v>10128599</x:v>
      </x:c>
      <x:c r="E2669" s="147" t="s">
        <x:v>154</x:v>
      </x:c>
    </x:row>
    <x:row r="2670" spans="1:17">
      <x:c r="D2670" s="147" t="n">
        <x:v>10128600</x:v>
      </x:c>
      <x:c r="E2670" s="147" t="s">
        <x:v>114</x:v>
      </x:c>
    </x:row>
    <x:row r="2671" spans="1:17">
      <x:c r="D2671" s="147" t="n">
        <x:v>10128579</x:v>
      </x:c>
      <x:c r="E2671" s="147" t="s">
        <x:v>154</x:v>
      </x:c>
    </x:row>
    <x:row r="2672" spans="1:17">
      <x:c r="D2672" s="147" t="n">
        <x:v>10128580</x:v>
      </x:c>
      <x:c r="E2672" s="147" t="s">
        <x:v>114</x:v>
      </x:c>
    </x:row>
    <x:row r="2673" spans="1:17">
      <x:c r="D2673" s="147" t="n">
        <x:v>10128581</x:v>
      </x:c>
      <x:c r="E2673" s="147" t="s">
        <x:v>114</x:v>
      </x:c>
    </x:row>
    <x:row r="2674" spans="1:17">
      <x:c r="D2674" s="147" t="n">
        <x:v>10128582</x:v>
      </x:c>
      <x:c r="E2674" s="147" t="s">
        <x:v>132</x:v>
      </x:c>
    </x:row>
    <x:row r="2675" spans="1:17">
      <x:c r="D2675" s="147" t="n">
        <x:v>10128595</x:v>
      </x:c>
      <x:c r="E2675" s="147" t="s">
        <x:v>132</x:v>
      </x:c>
    </x:row>
    <x:row r="2676" spans="1:17">
      <x:c r="D2676" s="147" t="n">
        <x:v>10128596</x:v>
      </x:c>
      <x:c r="E2676" s="147" t="s">
        <x:v>56</x:v>
      </x:c>
    </x:row>
    <x:row r="2677" spans="1:17">
      <x:c r="D2677" s="147" t="n">
        <x:v>10128597</x:v>
      </x:c>
      <x:c r="E2677" s="147" t="s">
        <x:v>114</x:v>
      </x:c>
    </x:row>
    <x:row r="2678" spans="1:17">
      <x:c r="D2678" s="147" t="n">
        <x:v>10128598</x:v>
      </x:c>
      <x:c r="E2678" s="147" t="s">
        <x:v>132</x:v>
      </x:c>
    </x:row>
    <x:row r="2679" spans="1:17">
      <x:c r="D2679" s="147" t="n">
        <x:v>10128599</x:v>
      </x:c>
      <x:c r="E2679" s="147" t="s">
        <x:v>154</x:v>
      </x:c>
    </x:row>
    <x:row r="2680" spans="1:17">
      <x:c r="D2680" s="147" t="n">
        <x:v>10128600</x:v>
      </x:c>
      <x:c r="E2680" s="147" t="s">
        <x:v>114</x:v>
      </x:c>
    </x:row>
    <x:row r="2681" spans="1:17">
      <x:c r="D2681" s="147" t="n">
        <x:v>10128579</x:v>
      </x:c>
      <x:c r="E2681" s="147" t="s">
        <x:v>154</x:v>
      </x:c>
    </x:row>
    <x:row r="2682" spans="1:17">
      <x:c r="D2682" s="147" t="n">
        <x:v>10128580</x:v>
      </x:c>
      <x:c r="E2682" s="147" t="s">
        <x:v>114</x:v>
      </x:c>
    </x:row>
    <x:row r="2683" spans="1:17">
      <x:c r="D2683" s="147" t="n">
        <x:v>10128581</x:v>
      </x:c>
      <x:c r="E2683" s="147" t="s">
        <x:v>114</x:v>
      </x:c>
    </x:row>
    <x:row r="2684" spans="1:17">
      <x:c r="D2684" s="147" t="n">
        <x:v>10128582</x:v>
      </x:c>
      <x:c r="E2684" s="147" t="s">
        <x:v>132</x:v>
      </x:c>
    </x:row>
    <x:row r="2685" spans="1:17">
      <x:c r="D2685" s="147" t="n">
        <x:v>10128595</x:v>
      </x:c>
      <x:c r="E2685" s="147" t="s">
        <x:v>132</x:v>
      </x:c>
    </x:row>
    <x:row r="2686" spans="1:17">
      <x:c r="D2686" s="147" t="n">
        <x:v>10128596</x:v>
      </x:c>
      <x:c r="E2686" s="147" t="s">
        <x:v>56</x:v>
      </x:c>
    </x:row>
    <x:row r="2687" spans="1:17">
      <x:c r="D2687" s="147" t="n">
        <x:v>10128597</x:v>
      </x:c>
      <x:c r="E2687" s="147" t="s">
        <x:v>114</x:v>
      </x:c>
    </x:row>
    <x:row r="2688" spans="1:17">
      <x:c r="D2688" s="147" t="n">
        <x:v>10128598</x:v>
      </x:c>
      <x:c r="E2688" s="147" t="s">
        <x:v>132</x:v>
      </x:c>
    </x:row>
    <x:row r="2689" spans="1:17">
      <x:c r="D2689" s="147" t="n">
        <x:v>10128599</x:v>
      </x:c>
      <x:c r="E2689" s="147" t="s">
        <x:v>154</x:v>
      </x:c>
    </x:row>
    <x:row r="2690" spans="1:17">
      <x:c r="D2690" s="147" t="n">
        <x:v>10128600</x:v>
      </x:c>
      <x:c r="E2690" s="147" t="s">
        <x:v>114</x:v>
      </x:c>
    </x:row>
    <x:row r="2691" spans="1:17">
      <x:c r="D2691" s="147" t="n">
        <x:v>10128579</x:v>
      </x:c>
      <x:c r="E2691" s="147" t="s">
        <x:v>154</x:v>
      </x:c>
    </x:row>
    <x:row r="2692" spans="1:17">
      <x:c r="D2692" s="147" t="n">
        <x:v>10128580</x:v>
      </x:c>
      <x:c r="E2692" s="147" t="s">
        <x:v>114</x:v>
      </x:c>
    </x:row>
    <x:row r="2693" spans="1:17">
      <x:c r="D2693" s="147" t="n">
        <x:v>10128581</x:v>
      </x:c>
      <x:c r="E2693" s="147" t="s">
        <x:v>114</x:v>
      </x:c>
    </x:row>
    <x:row r="2694" spans="1:17">
      <x:c r="D2694" s="147" t="n">
        <x:v>10128582</x:v>
      </x:c>
      <x:c r="E2694" s="147" t="s">
        <x:v>132</x:v>
      </x:c>
    </x:row>
    <x:row r="2695" spans="1:17">
      <x:c r="D2695" s="147" t="n">
        <x:v>10128595</x:v>
      </x:c>
      <x:c r="E2695" s="147" t="s">
        <x:v>132</x:v>
      </x:c>
    </x:row>
    <x:row r="2696" spans="1:17">
      <x:c r="D2696" s="147" t="n">
        <x:v>10128596</x:v>
      </x:c>
      <x:c r="E2696" s="147" t="s">
        <x:v>56</x:v>
      </x:c>
    </x:row>
    <x:row r="2697" spans="1:17">
      <x:c r="D2697" s="147" t="n">
        <x:v>10128597</x:v>
      </x:c>
      <x:c r="E2697" s="147" t="s">
        <x:v>114</x:v>
      </x:c>
    </x:row>
    <x:row r="2698" spans="1:17">
      <x:c r="D2698" s="147" t="n">
        <x:v>10128598</x:v>
      </x:c>
      <x:c r="E2698" s="147" t="s">
        <x:v>132</x:v>
      </x:c>
    </x:row>
    <x:row r="2699" spans="1:17">
      <x:c r="D2699" s="147" t="n">
        <x:v>10128599</x:v>
      </x:c>
      <x:c r="E2699" s="147" t="s">
        <x:v>154</x:v>
      </x:c>
    </x:row>
    <x:row r="2700" spans="1:17">
      <x:c r="D2700" s="147" t="n">
        <x:v>10128600</x:v>
      </x:c>
      <x:c r="E2700" s="147" t="s">
        <x:v>114</x:v>
      </x:c>
    </x:row>
    <x:row r="2701" spans="1:17">
      <x:c r="D2701" s="147" t="n">
        <x:v>10128579</x:v>
      </x:c>
      <x:c r="E2701" s="147" t="s">
        <x:v>154</x:v>
      </x:c>
    </x:row>
    <x:row r="2702" spans="1:17">
      <x:c r="D2702" s="147" t="n">
        <x:v>10128580</x:v>
      </x:c>
      <x:c r="E2702" s="147" t="s">
        <x:v>114</x:v>
      </x:c>
    </x:row>
    <x:row r="2703" spans="1:17">
      <x:c r="D2703" s="147" t="n">
        <x:v>10128581</x:v>
      </x:c>
      <x:c r="E2703" s="147" t="s">
        <x:v>114</x:v>
      </x:c>
    </x:row>
    <x:row r="2704" spans="1:17">
      <x:c r="D2704" s="147" t="n">
        <x:v>10128582</x:v>
      </x:c>
      <x:c r="E2704" s="147" t="s">
        <x:v>132</x:v>
      </x:c>
    </x:row>
    <x:row r="2705" spans="1:17">
      <x:c r="D2705" s="147" t="n">
        <x:v>10128595</x:v>
      </x:c>
      <x:c r="E2705" s="147" t="s">
        <x:v>132</x:v>
      </x:c>
    </x:row>
    <x:row r="2706" spans="1:17">
      <x:c r="D2706" s="147" t="n">
        <x:v>10128596</x:v>
      </x:c>
      <x:c r="E2706" s="147" t="s">
        <x:v>56</x:v>
      </x:c>
    </x:row>
    <x:row r="2707" spans="1:17">
      <x:c r="D2707" s="147" t="n">
        <x:v>10128597</x:v>
      </x:c>
      <x:c r="E2707" s="147" t="s">
        <x:v>114</x:v>
      </x:c>
    </x:row>
    <x:row r="2708" spans="1:17">
      <x:c r="D2708" s="147" t="n">
        <x:v>10128598</x:v>
      </x:c>
      <x:c r="E2708" s="147" t="s">
        <x:v>132</x:v>
      </x:c>
    </x:row>
    <x:row r="2709" spans="1:17">
      <x:c r="D2709" s="147" t="n">
        <x:v>10128599</x:v>
      </x:c>
      <x:c r="E2709" s="147" t="s">
        <x:v>154</x:v>
      </x:c>
    </x:row>
    <x:row r="2710" spans="1:17">
      <x:c r="D2710" s="147" t="n">
        <x:v>10128600</x:v>
      </x:c>
      <x:c r="E2710" s="147" t="s">
        <x:v>114</x:v>
      </x:c>
    </x:row>
    <x:row r="2711" spans="1:17">
      <x:c r="D2711" s="147" t="n">
        <x:v>10128579</x:v>
      </x:c>
      <x:c r="E2711" s="147" t="s">
        <x:v>154</x:v>
      </x:c>
    </x:row>
    <x:row r="2712" spans="1:17">
      <x:c r="D2712" s="147" t="n">
        <x:v>10128580</x:v>
      </x:c>
      <x:c r="E2712" s="147" t="s">
        <x:v>114</x:v>
      </x:c>
    </x:row>
    <x:row r="2713" spans="1:17">
      <x:c r="D2713" s="147" t="n">
        <x:v>10128581</x:v>
      </x:c>
      <x:c r="E2713" s="147" t="s">
        <x:v>114</x:v>
      </x:c>
    </x:row>
    <x:row r="2714" spans="1:17">
      <x:c r="D2714" s="147" t="n">
        <x:v>10128582</x:v>
      </x:c>
      <x:c r="E2714" s="147" t="s">
        <x:v>132</x:v>
      </x:c>
    </x:row>
    <x:row r="2715" spans="1:17">
      <x:c r="D2715" s="147" t="n">
        <x:v>10128595</x:v>
      </x:c>
      <x:c r="E2715" s="147" t="s">
        <x:v>132</x:v>
      </x:c>
    </x:row>
    <x:row r="2716" spans="1:17">
      <x:c r="D2716" s="147" t="n">
        <x:v>10128596</x:v>
      </x:c>
      <x:c r="E2716" s="147" t="s">
        <x:v>56</x:v>
      </x:c>
    </x:row>
    <x:row r="2717" spans="1:17">
      <x:c r="D2717" s="147" t="n">
        <x:v>10128597</x:v>
      </x:c>
      <x:c r="E2717" s="147" t="s">
        <x:v>114</x:v>
      </x:c>
    </x:row>
    <x:row r="2718" spans="1:17">
      <x:c r="D2718" s="147" t="n">
        <x:v>10128598</x:v>
      </x:c>
      <x:c r="E2718" s="147" t="s">
        <x:v>132</x:v>
      </x:c>
    </x:row>
    <x:row r="2719" spans="1:17">
      <x:c r="D2719" s="147" t="n">
        <x:v>10128599</x:v>
      </x:c>
      <x:c r="E2719" s="147" t="s">
        <x:v>154</x:v>
      </x:c>
    </x:row>
    <x:row r="2720" spans="1:17">
      <x:c r="D2720" s="147" t="n">
        <x:v>10128600</x:v>
      </x:c>
      <x:c r="E2720" s="147" t="s">
        <x:v>114</x:v>
      </x:c>
    </x:row>
    <x:row r="2721" spans="1:17">
      <x:c r="D2721" s="147" t="n">
        <x:v>10128579</x:v>
      </x:c>
      <x:c r="E2721" s="147" t="s">
        <x:v>154</x:v>
      </x:c>
    </x:row>
    <x:row r="2722" spans="1:17">
      <x:c r="D2722" s="147" t="n">
        <x:v>10128580</x:v>
      </x:c>
      <x:c r="E2722" s="147" t="s">
        <x:v>114</x:v>
      </x:c>
    </x:row>
    <x:row r="2723" spans="1:17">
      <x:c r="D2723" s="147" t="n">
        <x:v>10128581</x:v>
      </x:c>
      <x:c r="E2723" s="147" t="s">
        <x:v>114</x:v>
      </x:c>
    </x:row>
    <x:row r="2724" spans="1:17">
      <x:c r="D2724" s="147" t="n">
        <x:v>10128582</x:v>
      </x:c>
      <x:c r="E2724" s="147" t="s">
        <x:v>132</x:v>
      </x:c>
    </x:row>
    <x:row r="2725" spans="1:17">
      <x:c r="D2725" s="147" t="n">
        <x:v>10128595</x:v>
      </x:c>
      <x:c r="E2725" s="147" t="s">
        <x:v>132</x:v>
      </x:c>
    </x:row>
    <x:row r="2726" spans="1:17">
      <x:c r="D2726" s="147" t="n">
        <x:v>10128596</x:v>
      </x:c>
      <x:c r="E2726" s="147" t="s">
        <x:v>56</x:v>
      </x:c>
    </x:row>
    <x:row r="2727" spans="1:17">
      <x:c r="D2727" s="147" t="n">
        <x:v>10128597</x:v>
      </x:c>
      <x:c r="E2727" s="147" t="s">
        <x:v>114</x:v>
      </x:c>
    </x:row>
    <x:row r="2728" spans="1:17">
      <x:c r="D2728" s="147" t="n">
        <x:v>10128598</x:v>
      </x:c>
      <x:c r="E2728" s="147" t="s">
        <x:v>132</x:v>
      </x:c>
    </x:row>
    <x:row r="2729" spans="1:17">
      <x:c r="D2729" s="147" t="n">
        <x:v>10128599</x:v>
      </x:c>
      <x:c r="E2729" s="147" t="s">
        <x:v>154</x:v>
      </x:c>
    </x:row>
    <x:row r="2730" spans="1:17">
      <x:c r="D2730" s="147" t="n">
        <x:v>10128600</x:v>
      </x:c>
      <x:c r="E2730" s="147" t="s">
        <x:v>114</x:v>
      </x:c>
    </x:row>
    <x:row r="2731" spans="1:17">
      <x:c r="D2731" s="147" t="n">
        <x:v>10128579</x:v>
      </x:c>
      <x:c r="E2731" s="147" t="s">
        <x:v>154</x:v>
      </x:c>
    </x:row>
    <x:row r="2732" spans="1:17">
      <x:c r="D2732" s="147" t="n">
        <x:v>10128580</x:v>
      </x:c>
      <x:c r="E2732" s="147" t="s">
        <x:v>114</x:v>
      </x:c>
    </x:row>
    <x:row r="2733" spans="1:17">
      <x:c r="D2733" s="147" t="n">
        <x:v>10128581</x:v>
      </x:c>
      <x:c r="E2733" s="147" t="s">
        <x:v>114</x:v>
      </x:c>
    </x:row>
    <x:row r="2734" spans="1:17">
      <x:c r="D2734" s="147" t="n">
        <x:v>10128582</x:v>
      </x:c>
      <x:c r="E2734" s="147" t="s">
        <x:v>132</x:v>
      </x:c>
    </x:row>
    <x:row r="2735" spans="1:17">
      <x:c r="D2735" s="147" t="n">
        <x:v>10128595</x:v>
      </x:c>
      <x:c r="E2735" s="147" t="s">
        <x:v>132</x:v>
      </x:c>
    </x:row>
    <x:row r="2736" spans="1:17">
      <x:c r="D2736" s="147" t="n">
        <x:v>10128596</x:v>
      </x:c>
      <x:c r="E2736" s="147" t="s">
        <x:v>56</x:v>
      </x:c>
    </x:row>
    <x:row r="2737" spans="1:17">
      <x:c r="D2737" s="147" t="n">
        <x:v>10128597</x:v>
      </x:c>
      <x:c r="E2737" s="147" t="s">
        <x:v>114</x:v>
      </x:c>
    </x:row>
    <x:row r="2738" spans="1:17">
      <x:c r="D2738" s="147" t="n">
        <x:v>10128598</x:v>
      </x:c>
      <x:c r="E2738" s="147" t="s">
        <x:v>132</x:v>
      </x:c>
    </x:row>
    <x:row r="2739" spans="1:17">
      <x:c r="D2739" s="147" t="n">
        <x:v>10128599</x:v>
      </x:c>
      <x:c r="E2739" s="147" t="s">
        <x:v>154</x:v>
      </x:c>
    </x:row>
    <x:row r="2740" spans="1:17">
      <x:c r="D2740" s="147" t="n">
        <x:v>10128600</x:v>
      </x:c>
      <x:c r="E2740" s="147" t="s">
        <x:v>114</x:v>
      </x:c>
    </x:row>
    <x:row r="2741" spans="1:17">
      <x:c r="D2741" s="147" t="n">
        <x:v>10128579</x:v>
      </x:c>
      <x:c r="E2741" s="147" t="s">
        <x:v>154</x:v>
      </x:c>
    </x:row>
    <x:row r="2742" spans="1:17">
      <x:c r="D2742" s="147" t="n">
        <x:v>10128580</x:v>
      </x:c>
      <x:c r="E2742" s="147" t="s">
        <x:v>114</x:v>
      </x:c>
    </x:row>
    <x:row r="2743" spans="1:17">
      <x:c r="D2743" s="147" t="n">
        <x:v>10128581</x:v>
      </x:c>
      <x:c r="E2743" s="147" t="s">
        <x:v>114</x:v>
      </x:c>
    </x:row>
    <x:row r="2744" spans="1:17">
      <x:c r="D2744" s="147" t="n">
        <x:v>10128582</x:v>
      </x:c>
      <x:c r="E2744" s="147" t="s">
        <x:v>132</x:v>
      </x:c>
    </x:row>
    <x:row r="2745" spans="1:17">
      <x:c r="D2745" s="147" t="n">
        <x:v>10128595</x:v>
      </x:c>
      <x:c r="E2745" s="147" t="s">
        <x:v>132</x:v>
      </x:c>
    </x:row>
    <x:row r="2746" spans="1:17">
      <x:c r="D2746" s="147" t="n">
        <x:v>10128596</x:v>
      </x:c>
      <x:c r="E2746" s="147" t="s">
        <x:v>56</x:v>
      </x:c>
    </x:row>
    <x:row r="2747" spans="1:17">
      <x:c r="D2747" s="147" t="n">
        <x:v>10128597</x:v>
      </x:c>
      <x:c r="E2747" s="147" t="s">
        <x:v>114</x:v>
      </x:c>
    </x:row>
    <x:row r="2748" spans="1:17">
      <x:c r="D2748" s="147" t="n">
        <x:v>10128598</x:v>
      </x:c>
      <x:c r="E2748" s="147" t="s">
        <x:v>132</x:v>
      </x:c>
    </x:row>
    <x:row r="2749" spans="1:17">
      <x:c r="D2749" s="147" t="n">
        <x:v>10128599</x:v>
      </x:c>
      <x:c r="E2749" s="147" t="s">
        <x:v>154</x:v>
      </x:c>
    </x:row>
    <x:row r="2750" spans="1:17">
      <x:c r="D2750" s="147" t="n">
        <x:v>10128600</x:v>
      </x:c>
      <x:c r="E2750" s="147" t="s">
        <x:v>114</x:v>
      </x:c>
    </x:row>
    <x:row r="2751" spans="1:17">
      <x:c r="D2751" s="147" t="n">
        <x:v>10128579</x:v>
      </x:c>
      <x:c r="E2751" s="147" t="s">
        <x:v>154</x:v>
      </x:c>
    </x:row>
    <x:row r="2752" spans="1:17">
      <x:c r="D2752" s="147" t="n">
        <x:v>10128580</x:v>
      </x:c>
      <x:c r="E2752" s="147" t="s">
        <x:v>114</x:v>
      </x:c>
    </x:row>
    <x:row r="2753" spans="1:17">
      <x:c r="D2753" s="147" t="n">
        <x:v>10128581</x:v>
      </x:c>
      <x:c r="E2753" s="147" t="s">
        <x:v>114</x:v>
      </x:c>
    </x:row>
    <x:row r="2754" spans="1:17">
      <x:c r="D2754" s="147" t="n">
        <x:v>10128582</x:v>
      </x:c>
      <x:c r="E2754" s="147" t="s">
        <x:v>132</x:v>
      </x:c>
    </x:row>
    <x:row r="2755" spans="1:17">
      <x:c r="D2755" s="147" t="n">
        <x:v>10128595</x:v>
      </x:c>
      <x:c r="E2755" s="147" t="s">
        <x:v>132</x:v>
      </x:c>
    </x:row>
    <x:row r="2756" spans="1:17">
      <x:c r="D2756" s="147" t="n">
        <x:v>10128596</x:v>
      </x:c>
      <x:c r="E2756" s="147" t="s">
        <x:v>56</x:v>
      </x:c>
    </x:row>
    <x:row r="2757" spans="1:17">
      <x:c r="D2757" s="147" t="n">
        <x:v>10128597</x:v>
      </x:c>
      <x:c r="E2757" s="147" t="s">
        <x:v>114</x:v>
      </x:c>
    </x:row>
    <x:row r="2758" spans="1:17">
      <x:c r="D2758" s="147" t="n">
        <x:v>10128598</x:v>
      </x:c>
      <x:c r="E2758" s="147" t="s">
        <x:v>132</x:v>
      </x:c>
    </x:row>
    <x:row r="2759" spans="1:17">
      <x:c r="D2759" s="147" t="n">
        <x:v>10128599</x:v>
      </x:c>
      <x:c r="E2759" s="147" t="s">
        <x:v>154</x:v>
      </x:c>
    </x:row>
    <x:row r="2760" spans="1:17">
      <x:c r="D2760" s="147" t="n">
        <x:v>10128600</x:v>
      </x:c>
      <x:c r="E2760" s="147" t="s">
        <x:v>114</x:v>
      </x:c>
    </x:row>
    <x:row r="2761" spans="1:17">
      <x:c r="D2761" s="147" t="n">
        <x:v>10128579</x:v>
      </x:c>
      <x:c r="E2761" s="147" t="s">
        <x:v>154</x:v>
      </x:c>
    </x:row>
    <x:row r="2762" spans="1:17">
      <x:c r="D2762" s="147" t="n">
        <x:v>10128580</x:v>
      </x:c>
      <x:c r="E2762" s="147" t="s">
        <x:v>114</x:v>
      </x:c>
    </x:row>
    <x:row r="2763" spans="1:17">
      <x:c r="D2763" s="147" t="n">
        <x:v>10128581</x:v>
      </x:c>
      <x:c r="E2763" s="147" t="s">
        <x:v>114</x:v>
      </x:c>
    </x:row>
    <x:row r="2764" spans="1:17">
      <x:c r="D2764" s="147" t="n">
        <x:v>10128582</x:v>
      </x:c>
      <x:c r="E2764" s="147" t="s">
        <x:v>132</x:v>
      </x:c>
    </x:row>
    <x:row r="2765" spans="1:17">
      <x:c r="D2765" s="147" t="n">
        <x:v>10128595</x:v>
      </x:c>
      <x:c r="E2765" s="147" t="s">
        <x:v>132</x:v>
      </x:c>
    </x:row>
    <x:row r="2766" spans="1:17">
      <x:c r="D2766" s="147" t="n">
        <x:v>10128596</x:v>
      </x:c>
      <x:c r="E2766" s="147" t="s">
        <x:v>56</x:v>
      </x:c>
    </x:row>
    <x:row r="2767" spans="1:17">
      <x:c r="D2767" s="147" t="n">
        <x:v>10128597</x:v>
      </x:c>
      <x:c r="E2767" s="147" t="s">
        <x:v>114</x:v>
      </x:c>
    </x:row>
    <x:row r="2768" spans="1:17">
      <x:c r="D2768" s="147" t="n">
        <x:v>10128598</x:v>
      </x:c>
      <x:c r="E2768" s="147" t="s">
        <x:v>132</x:v>
      </x:c>
    </x:row>
    <x:row r="2769" spans="1:17">
      <x:c r="D2769" s="147" t="n">
        <x:v>10128599</x:v>
      </x:c>
      <x:c r="E2769" s="147" t="s">
        <x:v>154</x:v>
      </x:c>
    </x:row>
    <x:row r="2770" spans="1:17">
      <x:c r="D2770" s="147" t="n">
        <x:v>10128600</x:v>
      </x:c>
      <x:c r="E2770" s="147" t="s">
        <x:v>114</x:v>
      </x:c>
    </x:row>
    <x:row r="2771" spans="1:17">
      <x:c r="D2771" s="147" t="n">
        <x:v>10128579</x:v>
      </x:c>
      <x:c r="E2771" s="147" t="s">
        <x:v>154</x:v>
      </x:c>
    </x:row>
    <x:row r="2772" spans="1:17">
      <x:c r="D2772" s="147" t="n">
        <x:v>10128580</x:v>
      </x:c>
      <x:c r="E2772" s="147" t="s">
        <x:v>114</x:v>
      </x:c>
    </x:row>
    <x:row r="2773" spans="1:17">
      <x:c r="D2773" s="147" t="n">
        <x:v>10128581</x:v>
      </x:c>
      <x:c r="E2773" s="147" t="s">
        <x:v>114</x:v>
      </x:c>
    </x:row>
    <x:row r="2774" spans="1:17">
      <x:c r="D2774" s="147" t="n">
        <x:v>10128582</x:v>
      </x:c>
      <x:c r="E2774" s="147" t="s">
        <x:v>132</x:v>
      </x:c>
    </x:row>
    <x:row r="2775" spans="1:17">
      <x:c r="D2775" s="147" t="n">
        <x:v>10128595</x:v>
      </x:c>
      <x:c r="E2775" s="147" t="s">
        <x:v>132</x:v>
      </x:c>
    </x:row>
    <x:row r="2776" spans="1:17">
      <x:c r="D2776" s="147" t="n">
        <x:v>10128596</x:v>
      </x:c>
      <x:c r="E2776" s="147" t="s">
        <x:v>56</x:v>
      </x:c>
    </x:row>
    <x:row r="2777" spans="1:17">
      <x:c r="D2777" s="147" t="n">
        <x:v>10128597</x:v>
      </x:c>
      <x:c r="E2777" s="147" t="s">
        <x:v>114</x:v>
      </x:c>
    </x:row>
    <x:row r="2778" spans="1:17">
      <x:c r="D2778" s="147" t="n">
        <x:v>10128598</x:v>
      </x:c>
      <x:c r="E2778" s="147" t="s">
        <x:v>132</x:v>
      </x:c>
    </x:row>
    <x:row r="2779" spans="1:17">
      <x:c r="D2779" s="147" t="n">
        <x:v>10128599</x:v>
      </x:c>
      <x:c r="E2779" s="147" t="s">
        <x:v>154</x:v>
      </x:c>
    </x:row>
    <x:row r="2780" spans="1:17">
      <x:c r="D2780" s="147" t="n">
        <x:v>10128600</x:v>
      </x:c>
      <x:c r="E2780" s="147" t="s">
        <x:v>114</x:v>
      </x:c>
    </x:row>
    <x:row r="2781" spans="1:17">
      <x:c r="D2781" s="147" t="n">
        <x:v>10128579</x:v>
      </x:c>
      <x:c r="E2781" s="147" t="s">
        <x:v>154</x:v>
      </x:c>
    </x:row>
    <x:row r="2782" spans="1:17">
      <x:c r="D2782" s="147" t="n">
        <x:v>10128580</x:v>
      </x:c>
      <x:c r="E2782" s="147" t="s">
        <x:v>114</x:v>
      </x:c>
    </x:row>
    <x:row r="2783" spans="1:17">
      <x:c r="D2783" s="147" t="n">
        <x:v>10128581</x:v>
      </x:c>
      <x:c r="E2783" s="147" t="s">
        <x:v>114</x:v>
      </x:c>
    </x:row>
    <x:row r="2784" spans="1:17">
      <x:c r="D2784" s="147" t="n">
        <x:v>10128582</x:v>
      </x:c>
      <x:c r="E2784" s="147" t="s">
        <x:v>132</x:v>
      </x:c>
    </x:row>
    <x:row r="2785" spans="1:17">
      <x:c r="D2785" s="147" t="n">
        <x:v>10128595</x:v>
      </x:c>
      <x:c r="E2785" s="147" t="s">
        <x:v>132</x:v>
      </x:c>
    </x:row>
    <x:row r="2786" spans="1:17">
      <x:c r="D2786" s="147" t="n">
        <x:v>10128596</x:v>
      </x:c>
      <x:c r="E2786" s="147" t="s">
        <x:v>56</x:v>
      </x:c>
    </x:row>
    <x:row r="2787" spans="1:17">
      <x:c r="D2787" s="147" t="n">
        <x:v>10128597</x:v>
      </x:c>
      <x:c r="E2787" s="147" t="s">
        <x:v>114</x:v>
      </x:c>
    </x:row>
    <x:row r="2788" spans="1:17">
      <x:c r="D2788" s="147" t="n">
        <x:v>10128598</x:v>
      </x:c>
      <x:c r="E2788" s="147" t="s">
        <x:v>132</x:v>
      </x:c>
    </x:row>
    <x:row r="2789" spans="1:17">
      <x:c r="D2789" s="147" t="n">
        <x:v>10128599</x:v>
      </x:c>
      <x:c r="E2789" s="147" t="s">
        <x:v>154</x:v>
      </x:c>
    </x:row>
    <x:row r="2790" spans="1:17">
      <x:c r="D2790" s="147" t="n">
        <x:v>10128600</x:v>
      </x:c>
      <x:c r="E2790" s="147" t="s">
        <x:v>114</x:v>
      </x:c>
    </x:row>
    <x:row r="2791" spans="1:17">
      <x:c r="D2791" s="147" t="n">
        <x:v>10128579</x:v>
      </x:c>
      <x:c r="E2791" s="147" t="s">
        <x:v>154</x:v>
      </x:c>
    </x:row>
    <x:row r="2792" spans="1:17">
      <x:c r="D2792" s="147" t="n">
        <x:v>10128580</x:v>
      </x:c>
      <x:c r="E2792" s="147" t="s">
        <x:v>114</x:v>
      </x:c>
    </x:row>
    <x:row r="2793" spans="1:17">
      <x:c r="D2793" s="147" t="n">
        <x:v>10128581</x:v>
      </x:c>
      <x:c r="E2793" s="147" t="s">
        <x:v>114</x:v>
      </x:c>
    </x:row>
    <x:row r="2794" spans="1:17">
      <x:c r="D2794" s="147" t="n">
        <x:v>10128582</x:v>
      </x:c>
      <x:c r="E2794" s="147" t="s">
        <x:v>132</x:v>
      </x:c>
    </x:row>
    <x:row r="2795" spans="1:17">
      <x:c r="D2795" s="147" t="n">
        <x:v>10128595</x:v>
      </x:c>
      <x:c r="E2795" s="147" t="s">
        <x:v>132</x:v>
      </x:c>
    </x:row>
    <x:row r="2796" spans="1:17">
      <x:c r="D2796" s="147" t="n">
        <x:v>10128596</x:v>
      </x:c>
      <x:c r="E2796" s="147" t="s">
        <x:v>56</x:v>
      </x:c>
    </x:row>
    <x:row r="2797" spans="1:17">
      <x:c r="D2797" s="147" t="n">
        <x:v>10128597</x:v>
      </x:c>
      <x:c r="E2797" s="147" t="s">
        <x:v>114</x:v>
      </x:c>
    </x:row>
    <x:row r="2798" spans="1:17">
      <x:c r="D2798" s="147" t="n">
        <x:v>10128598</x:v>
      </x:c>
      <x:c r="E2798" s="147" t="s">
        <x:v>132</x:v>
      </x:c>
    </x:row>
    <x:row r="2799" spans="1:17">
      <x:c r="D2799" s="147" t="n">
        <x:v>10128599</x:v>
      </x:c>
      <x:c r="E2799" s="147" t="s">
        <x:v>154</x:v>
      </x:c>
    </x:row>
    <x:row r="2800" spans="1:17">
      <x:c r="D2800" s="147" t="n">
        <x:v>10128600</x:v>
      </x:c>
      <x:c r="E2800" s="147" t="s">
        <x:v>114</x:v>
      </x:c>
    </x:row>
    <x:row r="2801" spans="1:17">
      <x:c r="D2801" s="147" t="n">
        <x:v>10128579</x:v>
      </x:c>
      <x:c r="E2801" s="147" t="s">
        <x:v>154</x:v>
      </x:c>
    </x:row>
    <x:row r="2802" spans="1:17">
      <x:c r="D2802" s="147" t="n">
        <x:v>10128580</x:v>
      </x:c>
      <x:c r="E2802" s="147" t="s">
        <x:v>114</x:v>
      </x:c>
    </x:row>
    <x:row r="2803" spans="1:17">
      <x:c r="D2803" s="147" t="n">
        <x:v>10128581</x:v>
      </x:c>
      <x:c r="E2803" s="147" t="s">
        <x:v>114</x:v>
      </x:c>
    </x:row>
    <x:row r="2804" spans="1:17">
      <x:c r="D2804" s="147" t="n">
        <x:v>10128582</x:v>
      </x:c>
      <x:c r="E2804" s="147" t="s">
        <x:v>132</x:v>
      </x:c>
    </x:row>
    <x:row r="2805" spans="1:17">
      <x:c r="D2805" s="147" t="n">
        <x:v>10128595</x:v>
      </x:c>
      <x:c r="E2805" s="147" t="s">
        <x:v>132</x:v>
      </x:c>
    </x:row>
    <x:row r="2806" spans="1:17">
      <x:c r="D2806" s="147" t="n">
        <x:v>10128596</x:v>
      </x:c>
      <x:c r="E2806" s="147" t="s">
        <x:v>56</x:v>
      </x:c>
    </x:row>
    <x:row r="2807" spans="1:17">
      <x:c r="D2807" s="147" t="n">
        <x:v>10128597</x:v>
      </x:c>
      <x:c r="E2807" s="147" t="s">
        <x:v>114</x:v>
      </x:c>
    </x:row>
    <x:row r="2808" spans="1:17">
      <x:c r="D2808" s="147" t="n">
        <x:v>10128598</x:v>
      </x:c>
      <x:c r="E2808" s="147" t="s">
        <x:v>132</x:v>
      </x:c>
    </x:row>
    <x:row r="2809" spans="1:17">
      <x:c r="D2809" s="147" t="n">
        <x:v>10128599</x:v>
      </x:c>
      <x:c r="E2809" s="147" t="s">
        <x:v>154</x:v>
      </x:c>
    </x:row>
    <x:row r="2810" spans="1:17">
      <x:c r="D2810" s="147" t="n">
        <x:v>10128600</x:v>
      </x:c>
      <x:c r="E2810" s="147" t="s">
        <x:v>114</x:v>
      </x:c>
    </x:row>
    <x:row r="2811" spans="1:17">
      <x:c r="D2811" s="147" t="n">
        <x:v>10128579</x:v>
      </x:c>
      <x:c r="E2811" s="147" t="s">
        <x:v>154</x:v>
      </x:c>
    </x:row>
    <x:row r="2812" spans="1:17">
      <x:c r="D2812" s="147" t="n">
        <x:v>10128580</x:v>
      </x:c>
      <x:c r="E2812" s="147" t="s">
        <x:v>114</x:v>
      </x:c>
    </x:row>
    <x:row r="2813" spans="1:17">
      <x:c r="D2813" s="147" t="n">
        <x:v>10128581</x:v>
      </x:c>
      <x:c r="E2813" s="147" t="s">
        <x:v>114</x:v>
      </x:c>
    </x:row>
    <x:row r="2814" spans="1:17">
      <x:c r="D2814" s="147" t="n">
        <x:v>10128582</x:v>
      </x:c>
      <x:c r="E2814" s="147" t="s">
        <x:v>132</x:v>
      </x:c>
    </x:row>
    <x:row r="2815" spans="1:17">
      <x:c r="D2815" s="147" t="n">
        <x:v>10128595</x:v>
      </x:c>
      <x:c r="E2815" s="147" t="s">
        <x:v>132</x:v>
      </x:c>
    </x:row>
    <x:row r="2816" spans="1:17">
      <x:c r="D2816" s="147" t="n">
        <x:v>10128596</x:v>
      </x:c>
      <x:c r="E2816" s="147" t="s">
        <x:v>56</x:v>
      </x:c>
    </x:row>
    <x:row r="2817" spans="1:17">
      <x:c r="D2817" s="147" t="n">
        <x:v>10128597</x:v>
      </x:c>
      <x:c r="E2817" s="147" t="s">
        <x:v>114</x:v>
      </x:c>
    </x:row>
    <x:row r="2818" spans="1:17">
      <x:c r="D2818" s="147" t="n">
        <x:v>10128598</x:v>
      </x:c>
      <x:c r="E2818" s="147" t="s">
        <x:v>132</x:v>
      </x:c>
    </x:row>
    <x:row r="2819" spans="1:17">
      <x:c r="D2819" s="147" t="n">
        <x:v>10128599</x:v>
      </x:c>
      <x:c r="E2819" s="147" t="s">
        <x:v>154</x:v>
      </x:c>
    </x:row>
    <x:row r="2820" spans="1:17">
      <x:c r="D2820" s="147" t="n">
        <x:v>10128600</x:v>
      </x:c>
      <x:c r="E2820" s="147" t="s">
        <x:v>114</x:v>
      </x:c>
    </x:row>
    <x:row r="2821" spans="1:17">
      <x:c r="D2821" s="147" t="n">
        <x:v>10128579</x:v>
      </x:c>
      <x:c r="E2821" s="147" t="s">
        <x:v>154</x:v>
      </x:c>
    </x:row>
    <x:row r="2822" spans="1:17">
      <x:c r="D2822" s="147" t="n">
        <x:v>10128580</x:v>
      </x:c>
      <x:c r="E2822" s="147" t="s">
        <x:v>114</x:v>
      </x:c>
    </x:row>
    <x:row r="2823" spans="1:17">
      <x:c r="D2823" s="147" t="n">
        <x:v>10128581</x:v>
      </x:c>
      <x:c r="E2823" s="147" t="s">
        <x:v>114</x:v>
      </x:c>
    </x:row>
    <x:row r="2824" spans="1:17">
      <x:c r="D2824" s="147" t="n">
        <x:v>10128582</x:v>
      </x:c>
      <x:c r="E2824" s="147" t="s">
        <x:v>132</x:v>
      </x:c>
    </x:row>
    <x:row r="2825" spans="1:17">
      <x:c r="D2825" s="147" t="n">
        <x:v>10128595</x:v>
      </x:c>
      <x:c r="E2825" s="147" t="s">
        <x:v>132</x:v>
      </x:c>
    </x:row>
    <x:row r="2826" spans="1:17">
      <x:c r="D2826" s="147" t="n">
        <x:v>10128596</x:v>
      </x:c>
      <x:c r="E2826" s="147" t="s">
        <x:v>56</x:v>
      </x:c>
    </x:row>
    <x:row r="2827" spans="1:17">
      <x:c r="D2827" s="147" t="n">
        <x:v>10128597</x:v>
      </x:c>
      <x:c r="E2827" s="147" t="s">
        <x:v>114</x:v>
      </x:c>
    </x:row>
    <x:row r="2828" spans="1:17">
      <x:c r="D2828" s="147" t="n">
        <x:v>10128598</x:v>
      </x:c>
      <x:c r="E2828" s="147" t="s">
        <x:v>132</x:v>
      </x:c>
    </x:row>
    <x:row r="2829" spans="1:17">
      <x:c r="D2829" s="147" t="n">
        <x:v>10128599</x:v>
      </x:c>
      <x:c r="E2829" s="147" t="s">
        <x:v>154</x:v>
      </x:c>
    </x:row>
    <x:row r="2830" spans="1:17">
      <x:c r="D2830" s="147" t="n">
        <x:v>10128600</x:v>
      </x:c>
      <x:c r="E2830" s="147" t="s">
        <x:v>114</x:v>
      </x:c>
    </x:row>
    <x:row r="2831" spans="1:17">
      <x:c r="D2831" s="147" t="n">
        <x:v>10128579</x:v>
      </x:c>
      <x:c r="E2831" s="147" t="s">
        <x:v>154</x:v>
      </x:c>
    </x:row>
    <x:row r="2832" spans="1:17">
      <x:c r="D2832" s="147" t="n">
        <x:v>10128580</x:v>
      </x:c>
      <x:c r="E2832" s="147" t="s">
        <x:v>114</x:v>
      </x:c>
    </x:row>
    <x:row r="2833" spans="1:17">
      <x:c r="D2833" s="147" t="n">
        <x:v>10128581</x:v>
      </x:c>
      <x:c r="E2833" s="147" t="s">
        <x:v>114</x:v>
      </x:c>
    </x:row>
    <x:row r="2834" spans="1:17">
      <x:c r="D2834" s="147" t="n">
        <x:v>10128582</x:v>
      </x:c>
      <x:c r="E2834" s="147" t="s">
        <x:v>132</x:v>
      </x:c>
    </x:row>
    <x:row r="2835" spans="1:17">
      <x:c r="D2835" s="147" t="n">
        <x:v>10128595</x:v>
      </x:c>
      <x:c r="E2835" s="147" t="s">
        <x:v>132</x:v>
      </x:c>
    </x:row>
    <x:row r="2836" spans="1:17">
      <x:c r="D2836" s="147" t="n">
        <x:v>10128596</x:v>
      </x:c>
      <x:c r="E2836" s="147" t="s">
        <x:v>56</x:v>
      </x:c>
    </x:row>
    <x:row r="2837" spans="1:17">
      <x:c r="D2837" s="147" t="n">
        <x:v>10128597</x:v>
      </x:c>
      <x:c r="E2837" s="147" t="s">
        <x:v>114</x:v>
      </x:c>
    </x:row>
    <x:row r="2838" spans="1:17">
      <x:c r="D2838" s="147" t="n">
        <x:v>10128598</x:v>
      </x:c>
      <x:c r="E2838" s="147" t="s">
        <x:v>132</x:v>
      </x:c>
    </x:row>
    <x:row r="2839" spans="1:17">
      <x:c r="D2839" s="147" t="n">
        <x:v>10128599</x:v>
      </x:c>
      <x:c r="E2839" s="147" t="s">
        <x:v>154</x:v>
      </x:c>
    </x:row>
    <x:row r="2840" spans="1:17">
      <x:c r="D2840" s="147" t="n">
        <x:v>10128600</x:v>
      </x:c>
      <x:c r="E2840" s="147" t="s">
        <x:v>114</x:v>
      </x:c>
    </x:row>
    <x:row r="2841" spans="1:17">
      <x:c r="D2841" s="147" t="n">
        <x:v>10128579</x:v>
      </x:c>
      <x:c r="E2841" s="147" t="s">
        <x:v>154</x:v>
      </x:c>
    </x:row>
    <x:row r="2842" spans="1:17">
      <x:c r="D2842" s="147" t="n">
        <x:v>10128580</x:v>
      </x:c>
      <x:c r="E2842" s="147" t="s">
        <x:v>114</x:v>
      </x:c>
    </x:row>
    <x:row r="2843" spans="1:17">
      <x:c r="D2843" s="147" t="n">
        <x:v>10128581</x:v>
      </x:c>
      <x:c r="E2843" s="147" t="s">
        <x:v>114</x:v>
      </x:c>
    </x:row>
    <x:row r="2844" spans="1:17">
      <x:c r="D2844" s="147" t="n">
        <x:v>10128582</x:v>
      </x:c>
      <x:c r="E2844" s="147" t="s">
        <x:v>132</x:v>
      </x:c>
    </x:row>
    <x:row r="2845" spans="1:17">
      <x:c r="D2845" s="147" t="n">
        <x:v>10128595</x:v>
      </x:c>
      <x:c r="E2845" s="147" t="s">
        <x:v>132</x:v>
      </x:c>
    </x:row>
    <x:row r="2846" spans="1:17">
      <x:c r="D2846" s="147" t="n">
        <x:v>10128596</x:v>
      </x:c>
      <x:c r="E2846" s="147" t="s">
        <x:v>56</x:v>
      </x:c>
    </x:row>
    <x:row r="2847" spans="1:17">
      <x:c r="D2847" s="147" t="n">
        <x:v>10128597</x:v>
      </x:c>
      <x:c r="E2847" s="147" t="s">
        <x:v>114</x:v>
      </x:c>
    </x:row>
    <x:row r="2848" spans="1:17">
      <x:c r="D2848" s="147" t="n">
        <x:v>10128598</x:v>
      </x:c>
      <x:c r="E2848" s="147" t="s">
        <x:v>132</x:v>
      </x:c>
    </x:row>
    <x:row r="2849" spans="1:17">
      <x:c r="D2849" s="147" t="n">
        <x:v>10128599</x:v>
      </x:c>
      <x:c r="E2849" s="147" t="s">
        <x:v>154</x:v>
      </x:c>
    </x:row>
    <x:row r="2850" spans="1:17">
      <x:c r="D2850" s="147" t="n">
        <x:v>10128600</x:v>
      </x:c>
      <x:c r="E2850" s="147" t="s">
        <x:v>114</x:v>
      </x:c>
    </x:row>
    <x:row r="2851" spans="1:17">
      <x:c r="D2851" s="147" t="n">
        <x:v>10128579</x:v>
      </x:c>
      <x:c r="E2851" s="147" t="s">
        <x:v>154</x:v>
      </x:c>
    </x:row>
    <x:row r="2852" spans="1:17">
      <x:c r="D2852" s="147" t="n">
        <x:v>10128580</x:v>
      </x:c>
      <x:c r="E2852" s="147" t="s">
        <x:v>114</x:v>
      </x:c>
    </x:row>
    <x:row r="2853" spans="1:17">
      <x:c r="D2853" s="147" t="n">
        <x:v>10128581</x:v>
      </x:c>
      <x:c r="E2853" s="147" t="s">
        <x:v>114</x:v>
      </x:c>
    </x:row>
    <x:row r="2854" spans="1:17">
      <x:c r="D2854" s="147" t="n">
        <x:v>10128582</x:v>
      </x:c>
      <x:c r="E2854" s="147" t="s">
        <x:v>132</x:v>
      </x:c>
    </x:row>
    <x:row r="2855" spans="1:17">
      <x:c r="D2855" s="147" t="n">
        <x:v>10128595</x:v>
      </x:c>
      <x:c r="E2855" s="147" t="s">
        <x:v>132</x:v>
      </x:c>
    </x:row>
    <x:row r="2856" spans="1:17">
      <x:c r="D2856" s="147" t="n">
        <x:v>10128596</x:v>
      </x:c>
      <x:c r="E2856" s="147" t="s">
        <x:v>56</x:v>
      </x:c>
    </x:row>
    <x:row r="2857" spans="1:17">
      <x:c r="D2857" s="147" t="n">
        <x:v>10128597</x:v>
      </x:c>
      <x:c r="E2857" s="147" t="s">
        <x:v>114</x:v>
      </x:c>
    </x:row>
    <x:row r="2858" spans="1:17">
      <x:c r="D2858" s="147" t="n">
        <x:v>10128598</x:v>
      </x:c>
      <x:c r="E2858" s="147" t="s">
        <x:v>132</x:v>
      </x:c>
    </x:row>
    <x:row r="2859" spans="1:17">
      <x:c r="D2859" s="147" t="n">
        <x:v>10128599</x:v>
      </x:c>
      <x:c r="E2859" s="147" t="s">
        <x:v>154</x:v>
      </x:c>
    </x:row>
    <x:row r="2860" spans="1:17">
      <x:c r="D2860" s="147" t="n">
        <x:v>10128600</x:v>
      </x:c>
      <x:c r="E2860" s="147" t="s">
        <x:v>114</x:v>
      </x:c>
    </x:row>
    <x:row r="2861" spans="1:17">
      <x:c r="D2861" s="147" t="n">
        <x:v>10128579</x:v>
      </x:c>
      <x:c r="E2861" s="147" t="s">
        <x:v>154</x:v>
      </x:c>
    </x:row>
    <x:row r="2862" spans="1:17">
      <x:c r="D2862" s="147" t="n">
        <x:v>10128580</x:v>
      </x:c>
      <x:c r="E2862" s="147" t="s">
        <x:v>114</x:v>
      </x:c>
    </x:row>
    <x:row r="2863" spans="1:17">
      <x:c r="D2863" s="147" t="n">
        <x:v>10128581</x:v>
      </x:c>
      <x:c r="E2863" s="147" t="s">
        <x:v>114</x:v>
      </x:c>
    </x:row>
    <x:row r="2864" spans="1:17">
      <x:c r="D2864" s="147" t="n">
        <x:v>10128582</x:v>
      </x:c>
      <x:c r="E2864" s="147" t="s">
        <x:v>132</x:v>
      </x:c>
    </x:row>
    <x:row r="2865" spans="1:17">
      <x:c r="D2865" s="147" t="n">
        <x:v>10128595</x:v>
      </x:c>
      <x:c r="E2865" s="147" t="s">
        <x:v>132</x:v>
      </x:c>
    </x:row>
    <x:row r="2866" spans="1:17">
      <x:c r="D2866" s="147" t="n">
        <x:v>10128596</x:v>
      </x:c>
      <x:c r="E2866" s="147" t="s">
        <x:v>56</x:v>
      </x:c>
    </x:row>
    <x:row r="2867" spans="1:17">
      <x:c r="D2867" s="147" t="n">
        <x:v>10128597</x:v>
      </x:c>
      <x:c r="E2867" s="147" t="s">
        <x:v>114</x:v>
      </x:c>
    </x:row>
    <x:row r="2868" spans="1:17">
      <x:c r="D2868" s="147" t="n">
        <x:v>10128598</x:v>
      </x:c>
      <x:c r="E2868" s="147" t="s">
        <x:v>132</x:v>
      </x:c>
    </x:row>
    <x:row r="2869" spans="1:17">
      <x:c r="D2869" s="147" t="n">
        <x:v>10128599</x:v>
      </x:c>
      <x:c r="E2869" s="147" t="s">
        <x:v>154</x:v>
      </x:c>
    </x:row>
    <x:row r="2870" spans="1:17">
      <x:c r="D2870" s="147" t="n">
        <x:v>10128600</x:v>
      </x:c>
      <x:c r="E2870" s="147" t="s">
        <x:v>114</x:v>
      </x:c>
    </x:row>
    <x:row r="2871" spans="1:17">
      <x:c r="D2871" s="147" t="n">
        <x:v>10128579</x:v>
      </x:c>
      <x:c r="E2871" s="147" t="s">
        <x:v>154</x:v>
      </x:c>
    </x:row>
    <x:row r="2872" spans="1:17">
      <x:c r="D2872" s="147" t="n">
        <x:v>10128580</x:v>
      </x:c>
      <x:c r="E2872" s="147" t="s">
        <x:v>114</x:v>
      </x:c>
    </x:row>
    <x:row r="2873" spans="1:17">
      <x:c r="D2873" s="147" t="n">
        <x:v>10128581</x:v>
      </x:c>
      <x:c r="E2873" s="147" t="s">
        <x:v>114</x:v>
      </x:c>
    </x:row>
    <x:row r="2874" spans="1:17">
      <x:c r="D2874" s="147" t="n">
        <x:v>10128582</x:v>
      </x:c>
      <x:c r="E2874" s="147" t="s">
        <x:v>132</x:v>
      </x:c>
    </x:row>
    <x:row r="2875" spans="1:17">
      <x:c r="D2875" s="147" t="n">
        <x:v>10128595</x:v>
      </x:c>
      <x:c r="E2875" s="147" t="s">
        <x:v>132</x:v>
      </x:c>
    </x:row>
    <x:row r="2876" spans="1:17">
      <x:c r="D2876" s="147" t="n">
        <x:v>10128596</x:v>
      </x:c>
      <x:c r="E2876" s="147" t="s">
        <x:v>56</x:v>
      </x:c>
    </x:row>
    <x:row r="2877" spans="1:17">
      <x:c r="D2877" s="147" t="n">
        <x:v>10128597</x:v>
      </x:c>
      <x:c r="E2877" s="147" t="s">
        <x:v>114</x:v>
      </x:c>
    </x:row>
    <x:row r="2878" spans="1:17">
      <x:c r="D2878" s="147" t="n">
        <x:v>10128598</x:v>
      </x:c>
      <x:c r="E2878" s="147" t="s">
        <x:v>132</x:v>
      </x:c>
    </x:row>
    <x:row r="2879" spans="1:17">
      <x:c r="D2879" s="147" t="n">
        <x:v>10128599</x:v>
      </x:c>
      <x:c r="E2879" s="147" t="s">
        <x:v>154</x:v>
      </x:c>
    </x:row>
    <x:row r="2880" spans="1:17">
      <x:c r="D2880" s="147" t="n">
        <x:v>10128600</x:v>
      </x:c>
      <x:c r="E2880" s="147" t="s">
        <x:v>114</x:v>
      </x:c>
    </x:row>
    <x:row r="2881" spans="1:17">
      <x:c r="D2881" s="147" t="n">
        <x:v>10128579</x:v>
      </x:c>
      <x:c r="E2881" s="147" t="s">
        <x:v>154</x:v>
      </x:c>
    </x:row>
    <x:row r="2882" spans="1:17">
      <x:c r="D2882" s="147" t="n">
        <x:v>10128580</x:v>
      </x:c>
      <x:c r="E2882" s="147" t="s">
        <x:v>114</x:v>
      </x:c>
    </x:row>
    <x:row r="2883" spans="1:17">
      <x:c r="D2883" s="147" t="n">
        <x:v>10128581</x:v>
      </x:c>
      <x:c r="E2883" s="147" t="s">
        <x:v>114</x:v>
      </x:c>
    </x:row>
    <x:row r="2884" spans="1:17">
      <x:c r="D2884" s="147" t="n">
        <x:v>10128582</x:v>
      </x:c>
      <x:c r="E2884" s="147" t="s">
        <x:v>132</x:v>
      </x:c>
    </x:row>
    <x:row r="2885" spans="1:17">
      <x:c r="D2885" s="147" t="n">
        <x:v>10128595</x:v>
      </x:c>
      <x:c r="E2885" s="147" t="s">
        <x:v>132</x:v>
      </x:c>
    </x:row>
    <x:row r="2886" spans="1:17">
      <x:c r="D2886" s="147" t="n">
        <x:v>10128596</x:v>
      </x:c>
      <x:c r="E2886" s="147" t="s">
        <x:v>56</x:v>
      </x:c>
    </x:row>
    <x:row r="2887" spans="1:17">
      <x:c r="D2887" s="147" t="n">
        <x:v>10128597</x:v>
      </x:c>
      <x:c r="E2887" s="147" t="s">
        <x:v>114</x:v>
      </x:c>
    </x:row>
    <x:row r="2888" spans="1:17">
      <x:c r="D2888" s="147" t="n">
        <x:v>10128598</x:v>
      </x:c>
      <x:c r="E2888" s="147" t="s">
        <x:v>132</x:v>
      </x:c>
    </x:row>
    <x:row r="2889" spans="1:17">
      <x:c r="D2889" s="147" t="n">
        <x:v>10128599</x:v>
      </x:c>
      <x:c r="E2889" s="147" t="s">
        <x:v>154</x:v>
      </x:c>
    </x:row>
    <x:row r="2890" spans="1:17">
      <x:c r="D2890" s="147" t="n">
        <x:v>10128600</x:v>
      </x:c>
      <x:c r="E2890" s="147" t="s">
        <x:v>114</x:v>
      </x:c>
    </x:row>
    <x:row r="2891" spans="1:17">
      <x:c r="D2891" s="147" t="n">
        <x:v>10128579</x:v>
      </x:c>
      <x:c r="E2891" s="147" t="s">
        <x:v>154</x:v>
      </x:c>
    </x:row>
    <x:row r="2892" spans="1:17">
      <x:c r="D2892" s="147" t="n">
        <x:v>10128580</x:v>
      </x:c>
      <x:c r="E2892" s="147" t="s">
        <x:v>114</x:v>
      </x:c>
    </x:row>
    <x:row r="2893" spans="1:17">
      <x:c r="D2893" s="147" t="n">
        <x:v>10128581</x:v>
      </x:c>
      <x:c r="E2893" s="147" t="s">
        <x:v>114</x:v>
      </x:c>
    </x:row>
    <x:row r="2894" spans="1:17">
      <x:c r="D2894" s="147" t="n">
        <x:v>10128582</x:v>
      </x:c>
      <x:c r="E2894" s="147" t="s">
        <x:v>132</x:v>
      </x:c>
    </x:row>
    <x:row r="2895" spans="1:17">
      <x:c r="D2895" s="147" t="n">
        <x:v>10128595</x:v>
      </x:c>
      <x:c r="E2895" s="147" t="s">
        <x:v>132</x:v>
      </x:c>
    </x:row>
    <x:row r="2896" spans="1:17">
      <x:c r="D2896" s="147" t="n">
        <x:v>10128596</x:v>
      </x:c>
      <x:c r="E2896" s="147" t="s">
        <x:v>56</x:v>
      </x:c>
    </x:row>
    <x:row r="2897" spans="1:17">
      <x:c r="D2897" s="147" t="n">
        <x:v>10128597</x:v>
      </x:c>
      <x:c r="E2897" s="147" t="s">
        <x:v>114</x:v>
      </x:c>
    </x:row>
    <x:row r="2898" spans="1:17">
      <x:c r="D2898" s="147" t="n">
        <x:v>10128598</x:v>
      </x:c>
      <x:c r="E2898" s="147" t="s">
        <x:v>132</x:v>
      </x:c>
    </x:row>
    <x:row r="2899" spans="1:17">
      <x:c r="D2899" s="147" t="n">
        <x:v>10128599</x:v>
      </x:c>
      <x:c r="E2899" s="147" t="s">
        <x:v>154</x:v>
      </x:c>
    </x:row>
    <x:row r="2900" spans="1:17">
      <x:c r="D2900" s="147" t="n">
        <x:v>10128600</x:v>
      </x:c>
      <x:c r="E2900" s="147" t="s">
        <x:v>114</x:v>
      </x:c>
    </x:row>
    <x:row r="2901" spans="1:17">
      <x:c r="D2901" s="147" t="n">
        <x:v>10128579</x:v>
      </x:c>
      <x:c r="E2901" s="147" t="s">
        <x:v>154</x:v>
      </x:c>
    </x:row>
    <x:row r="2902" spans="1:17">
      <x:c r="D2902" s="147" t="n">
        <x:v>10128580</x:v>
      </x:c>
      <x:c r="E2902" s="147" t="s">
        <x:v>114</x:v>
      </x:c>
    </x:row>
    <x:row r="2903" spans="1:17">
      <x:c r="D2903" s="147" t="n">
        <x:v>10128581</x:v>
      </x:c>
      <x:c r="E2903" s="147" t="s">
        <x:v>114</x:v>
      </x:c>
    </x:row>
    <x:row r="2904" spans="1:17">
      <x:c r="D2904" s="147" t="n">
        <x:v>10128582</x:v>
      </x:c>
      <x:c r="E2904" s="147" t="s">
        <x:v>132</x:v>
      </x:c>
    </x:row>
    <x:row r="2905" spans="1:17">
      <x:c r="D2905" s="147" t="n">
        <x:v>10128595</x:v>
      </x:c>
      <x:c r="E2905" s="147" t="s">
        <x:v>132</x:v>
      </x:c>
    </x:row>
    <x:row r="2906" spans="1:17">
      <x:c r="D2906" s="147" t="n">
        <x:v>10128596</x:v>
      </x:c>
      <x:c r="E2906" s="147" t="s">
        <x:v>56</x:v>
      </x:c>
    </x:row>
    <x:row r="2907" spans="1:17">
      <x:c r="D2907" s="147" t="n">
        <x:v>10128597</x:v>
      </x:c>
      <x:c r="E2907" s="147" t="s">
        <x:v>114</x:v>
      </x:c>
    </x:row>
    <x:row r="2908" spans="1:17">
      <x:c r="D2908" s="147" t="n">
        <x:v>10128598</x:v>
      </x:c>
      <x:c r="E2908" s="147" t="s">
        <x:v>132</x:v>
      </x:c>
    </x:row>
    <x:row r="2909" spans="1:17">
      <x:c r="D2909" s="147" t="n">
        <x:v>10128599</x:v>
      </x:c>
      <x:c r="E2909" s="147" t="s">
        <x:v>154</x:v>
      </x:c>
    </x:row>
    <x:row r="2910" spans="1:17">
      <x:c r="D2910" s="147" t="n">
        <x:v>10128600</x:v>
      </x:c>
      <x:c r="E2910" s="147" t="s">
        <x:v>114</x:v>
      </x:c>
    </x:row>
    <x:row r="2911" spans="1:17">
      <x:c r="D2911" s="147" t="n">
        <x:v>10128579</x:v>
      </x:c>
      <x:c r="E2911" s="147" t="s">
        <x:v>154</x:v>
      </x:c>
    </x:row>
    <x:row r="2912" spans="1:17">
      <x:c r="D2912" s="147" t="n">
        <x:v>10128580</x:v>
      </x:c>
      <x:c r="E2912" s="147" t="s">
        <x:v>114</x:v>
      </x:c>
    </x:row>
    <x:row r="2913" spans="1:17">
      <x:c r="D2913" s="147" t="n">
        <x:v>10128581</x:v>
      </x:c>
      <x:c r="E2913" s="147" t="s">
        <x:v>114</x:v>
      </x:c>
    </x:row>
    <x:row r="2914" spans="1:17">
      <x:c r="D2914" s="147" t="n">
        <x:v>10128582</x:v>
      </x:c>
      <x:c r="E2914" s="147" t="s">
        <x:v>132</x:v>
      </x:c>
    </x:row>
    <x:row r="2915" spans="1:17">
      <x:c r="D2915" s="147" t="n">
        <x:v>10128595</x:v>
      </x:c>
      <x:c r="E2915" s="147" t="s">
        <x:v>132</x:v>
      </x:c>
    </x:row>
    <x:row r="2916" spans="1:17">
      <x:c r="D2916" s="147" t="n">
        <x:v>10128596</x:v>
      </x:c>
      <x:c r="E2916" s="147" t="s">
        <x:v>56</x:v>
      </x:c>
    </x:row>
    <x:row r="2917" spans="1:17">
      <x:c r="D2917" s="147" t="n">
        <x:v>10128597</x:v>
      </x:c>
      <x:c r="E2917" s="147" t="s">
        <x:v>114</x:v>
      </x:c>
    </x:row>
    <x:row r="2918" spans="1:17">
      <x:c r="D2918" s="147" t="n">
        <x:v>10128598</x:v>
      </x:c>
      <x:c r="E2918" s="147" t="s">
        <x:v>132</x:v>
      </x:c>
    </x:row>
    <x:row r="2919" spans="1:17">
      <x:c r="D2919" s="147" t="n">
        <x:v>10128599</x:v>
      </x:c>
      <x:c r="E2919" s="147" t="s">
        <x:v>154</x:v>
      </x:c>
    </x:row>
    <x:row r="2920" spans="1:17">
      <x:c r="D2920" s="147" t="n">
        <x:v>10128600</x:v>
      </x:c>
      <x:c r="E2920" s="147" t="s">
        <x:v>114</x:v>
      </x:c>
    </x:row>
    <x:row r="2921" spans="1:17">
      <x:c r="D2921" s="147" t="n">
        <x:v>10128579</x:v>
      </x:c>
      <x:c r="E2921" s="147" t="s">
        <x:v>154</x:v>
      </x:c>
    </x:row>
    <x:row r="2922" spans="1:17">
      <x:c r="D2922" s="147" t="n">
        <x:v>10128580</x:v>
      </x:c>
      <x:c r="E2922" s="147" t="s">
        <x:v>114</x:v>
      </x:c>
    </x:row>
    <x:row r="2923" spans="1:17">
      <x:c r="D2923" s="147" t="n">
        <x:v>10128581</x:v>
      </x:c>
      <x:c r="E2923" s="147" t="s">
        <x:v>114</x:v>
      </x:c>
    </x:row>
    <x:row r="2924" spans="1:17">
      <x:c r="D2924" s="147" t="n">
        <x:v>10128582</x:v>
      </x:c>
      <x:c r="E2924" s="147" t="s">
        <x:v>132</x:v>
      </x:c>
    </x:row>
    <x:row r="2925" spans="1:17">
      <x:c r="D2925" s="147" t="n">
        <x:v>10128595</x:v>
      </x:c>
      <x:c r="E2925" s="147" t="s">
        <x:v>132</x:v>
      </x:c>
    </x:row>
    <x:row r="2926" spans="1:17">
      <x:c r="D2926" s="147" t="n">
        <x:v>10128596</x:v>
      </x:c>
      <x:c r="E2926" s="147" t="s">
        <x:v>56</x:v>
      </x:c>
    </x:row>
    <x:row r="2927" spans="1:17">
      <x:c r="D2927" s="147" t="n">
        <x:v>10128597</x:v>
      </x:c>
      <x:c r="E2927" s="147" t="s">
        <x:v>114</x:v>
      </x:c>
    </x:row>
    <x:row r="2928" spans="1:17">
      <x:c r="D2928" s="147" t="n">
        <x:v>10128598</x:v>
      </x:c>
      <x:c r="E2928" s="147" t="s">
        <x:v>132</x:v>
      </x:c>
    </x:row>
    <x:row r="2929" spans="1:17">
      <x:c r="D2929" s="147" t="n">
        <x:v>10128599</x:v>
      </x:c>
      <x:c r="E2929" s="147" t="s">
        <x:v>154</x:v>
      </x:c>
    </x:row>
    <x:row r="2930" spans="1:17">
      <x:c r="D2930" s="147" t="n">
        <x:v>10128600</x:v>
      </x:c>
      <x:c r="E2930" s="147" t="s">
        <x:v>114</x:v>
      </x:c>
    </x:row>
    <x:row r="2931" spans="1:17">
      <x:c r="D2931" s="147" t="n">
        <x:v>10128579</x:v>
      </x:c>
      <x:c r="E2931" s="147" t="s">
        <x:v>154</x:v>
      </x:c>
    </x:row>
    <x:row r="2932" spans="1:17">
      <x:c r="D2932" s="147" t="n">
        <x:v>10128580</x:v>
      </x:c>
      <x:c r="E2932" s="147" t="s">
        <x:v>114</x:v>
      </x:c>
    </x:row>
    <x:row r="2933" spans="1:17">
      <x:c r="D2933" s="147" t="n">
        <x:v>10128581</x:v>
      </x:c>
      <x:c r="E2933" s="147" t="s">
        <x:v>114</x:v>
      </x:c>
    </x:row>
    <x:row r="2934" spans="1:17">
      <x:c r="D2934" s="147" t="n">
        <x:v>10128582</x:v>
      </x:c>
      <x:c r="E2934" s="147" t="s">
        <x:v>132</x:v>
      </x:c>
    </x:row>
    <x:row r="2935" spans="1:17">
      <x:c r="D2935" s="147" t="n">
        <x:v>10128595</x:v>
      </x:c>
      <x:c r="E2935" s="147" t="s">
        <x:v>132</x:v>
      </x:c>
    </x:row>
    <x:row r="2936" spans="1:17">
      <x:c r="D2936" s="147" t="n">
        <x:v>10128596</x:v>
      </x:c>
      <x:c r="E2936" s="147" t="s">
        <x:v>56</x:v>
      </x:c>
    </x:row>
    <x:row r="2937" spans="1:17">
      <x:c r="D2937" s="147" t="n">
        <x:v>10128597</x:v>
      </x:c>
      <x:c r="E2937" s="147" t="s">
        <x:v>114</x:v>
      </x:c>
    </x:row>
    <x:row r="2938" spans="1:17">
      <x:c r="D2938" s="147" t="n">
        <x:v>10128598</x:v>
      </x:c>
      <x:c r="E2938" s="147" t="s">
        <x:v>132</x:v>
      </x:c>
    </x:row>
    <x:row r="2939" spans="1:17">
      <x:c r="D2939" s="147" t="n">
        <x:v>10128599</x:v>
      </x:c>
      <x:c r="E2939" s="147" t="s">
        <x:v>154</x:v>
      </x:c>
    </x:row>
    <x:row r="2940" spans="1:17">
      <x:c r="D2940" s="147" t="n">
        <x:v>10128600</x:v>
      </x:c>
      <x:c r="E2940" s="147" t="s">
        <x:v>114</x:v>
      </x:c>
    </x:row>
    <x:row r="2941" spans="1:17">
      <x:c r="D2941" s="147" t="n">
        <x:v>10128579</x:v>
      </x:c>
      <x:c r="E2941" s="147" t="s">
        <x:v>154</x:v>
      </x:c>
    </x:row>
    <x:row r="2942" spans="1:17">
      <x:c r="D2942" s="147" t="n">
        <x:v>10128580</x:v>
      </x:c>
      <x:c r="E2942" s="147" t="s">
        <x:v>114</x:v>
      </x:c>
    </x:row>
    <x:row r="2943" spans="1:17">
      <x:c r="D2943" s="147" t="n">
        <x:v>10128581</x:v>
      </x:c>
      <x:c r="E2943" s="147" t="s">
        <x:v>114</x:v>
      </x:c>
    </x:row>
    <x:row r="2944" spans="1:17">
      <x:c r="D2944" s="147" t="n">
        <x:v>10128582</x:v>
      </x:c>
      <x:c r="E2944" s="147" t="s">
        <x:v>132</x:v>
      </x:c>
    </x:row>
    <x:row r="2945" spans="1:17">
      <x:c r="D2945" s="147" t="n">
        <x:v>10128595</x:v>
      </x:c>
      <x:c r="E2945" s="147" t="s">
        <x:v>132</x:v>
      </x:c>
    </x:row>
    <x:row r="2946" spans="1:17">
      <x:c r="D2946" s="147" t="n">
        <x:v>10128596</x:v>
      </x:c>
      <x:c r="E2946" s="147" t="s">
        <x:v>56</x:v>
      </x:c>
    </x:row>
    <x:row r="2947" spans="1:17">
      <x:c r="D2947" s="147" t="n">
        <x:v>10128597</x:v>
      </x:c>
      <x:c r="E2947" s="147" t="s">
        <x:v>114</x:v>
      </x:c>
    </x:row>
    <x:row r="2948" spans="1:17">
      <x:c r="D2948" s="147" t="n">
        <x:v>10128598</x:v>
      </x:c>
      <x:c r="E2948" s="147" t="s">
        <x:v>132</x:v>
      </x:c>
    </x:row>
    <x:row r="2949" spans="1:17">
      <x:c r="D2949" s="147" t="n">
        <x:v>10128599</x:v>
      </x:c>
      <x:c r="E2949" s="147" t="s">
        <x:v>154</x:v>
      </x:c>
    </x:row>
    <x:row r="2950" spans="1:17">
      <x:c r="D2950" s="147" t="n">
        <x:v>10128600</x:v>
      </x:c>
      <x:c r="E2950" s="147" t="s">
        <x:v>114</x:v>
      </x:c>
    </x:row>
    <x:row r="2951" spans="1:17">
      <x:c r="D2951" s="147" t="n">
        <x:v>10128579</x:v>
      </x:c>
      <x:c r="E2951" s="147" t="s">
        <x:v>154</x:v>
      </x:c>
    </x:row>
    <x:row r="2952" spans="1:17">
      <x:c r="D2952" s="147" t="n">
        <x:v>10128580</x:v>
      </x:c>
      <x:c r="E2952" s="147" t="s">
        <x:v>114</x:v>
      </x:c>
    </x:row>
    <x:row r="2953" spans="1:17">
      <x:c r="D2953" s="147" t="n">
        <x:v>10128581</x:v>
      </x:c>
      <x:c r="E2953" s="147" t="s">
        <x:v>114</x:v>
      </x:c>
    </x:row>
    <x:row r="2954" spans="1:17">
      <x:c r="D2954" s="147" t="n">
        <x:v>10128582</x:v>
      </x:c>
      <x:c r="E2954" s="147" t="s">
        <x:v>132</x:v>
      </x:c>
    </x:row>
    <x:row r="2955" spans="1:17">
      <x:c r="D2955" s="147" t="n">
        <x:v>10128595</x:v>
      </x:c>
      <x:c r="E2955" s="147" t="s">
        <x:v>132</x:v>
      </x:c>
    </x:row>
    <x:row r="2956" spans="1:17">
      <x:c r="D2956" s="147" t="n">
        <x:v>10128596</x:v>
      </x:c>
      <x:c r="E2956" s="147" t="s">
        <x:v>56</x:v>
      </x:c>
    </x:row>
    <x:row r="2957" spans="1:17">
      <x:c r="D2957" s="147" t="n">
        <x:v>10128597</x:v>
      </x:c>
      <x:c r="E2957" s="147" t="s">
        <x:v>114</x:v>
      </x:c>
    </x:row>
    <x:row r="2958" spans="1:17">
      <x:c r="D2958" s="147" t="n">
        <x:v>10128598</x:v>
      </x:c>
      <x:c r="E2958" s="147" t="s">
        <x:v>132</x:v>
      </x:c>
    </x:row>
    <x:row r="2959" spans="1:17">
      <x:c r="D2959" s="147" t="n">
        <x:v>10128599</x:v>
      </x:c>
      <x:c r="E2959" s="147" t="s">
        <x:v>154</x:v>
      </x:c>
    </x:row>
    <x:row r="2960" spans="1:17">
      <x:c r="D2960" s="147" t="n">
        <x:v>10128600</x:v>
      </x:c>
      <x:c r="E2960" s="147" t="s">
        <x:v>114</x:v>
      </x:c>
    </x:row>
    <x:row r="2961" spans="1:17">
      <x:c r="D2961" s="147" t="n">
        <x:v>10128579</x:v>
      </x:c>
      <x:c r="E2961" s="147" t="s">
        <x:v>154</x:v>
      </x:c>
    </x:row>
    <x:row r="2962" spans="1:17">
      <x:c r="D2962" s="147" t="n">
        <x:v>10128580</x:v>
      </x:c>
      <x:c r="E2962" s="147" t="s">
        <x:v>114</x:v>
      </x:c>
    </x:row>
    <x:row r="2963" spans="1:17">
      <x:c r="D2963" s="147" t="n">
        <x:v>10128581</x:v>
      </x:c>
      <x:c r="E2963" s="147" t="s">
        <x:v>114</x:v>
      </x:c>
    </x:row>
    <x:row r="2964" spans="1:17">
      <x:c r="D2964" s="147" t="n">
        <x:v>10128582</x:v>
      </x:c>
      <x:c r="E2964" s="147" t="s">
        <x:v>132</x:v>
      </x:c>
    </x:row>
    <x:row r="2965" spans="1:17">
      <x:c r="D2965" s="147" t="n">
        <x:v>10128595</x:v>
      </x:c>
      <x:c r="E2965" s="147" t="s">
        <x:v>132</x:v>
      </x:c>
    </x:row>
    <x:row r="2966" spans="1:17">
      <x:c r="D2966" s="147" t="n">
        <x:v>10128596</x:v>
      </x:c>
      <x:c r="E2966" s="147" t="s">
        <x:v>56</x:v>
      </x:c>
    </x:row>
    <x:row r="2967" spans="1:17">
      <x:c r="D2967" s="147" t="n">
        <x:v>10128597</x:v>
      </x:c>
      <x:c r="E2967" s="147" t="s">
        <x:v>114</x:v>
      </x:c>
    </x:row>
    <x:row r="2968" spans="1:17">
      <x:c r="D2968" s="147" t="n">
        <x:v>10128598</x:v>
      </x:c>
      <x:c r="E2968" s="147" t="s">
        <x:v>132</x:v>
      </x:c>
    </x:row>
    <x:row r="2969" spans="1:17">
      <x:c r="D2969" s="147" t="n">
        <x:v>10128599</x:v>
      </x:c>
      <x:c r="E2969" s="147" t="s">
        <x:v>154</x:v>
      </x:c>
    </x:row>
    <x:row r="2970" spans="1:17">
      <x:c r="D2970" s="147" t="n">
        <x:v>10128600</x:v>
      </x:c>
      <x:c r="E2970" s="147" t="s">
        <x:v>114</x:v>
      </x:c>
    </x:row>
    <x:row r="2971" spans="1:17">
      <x:c r="D2971" s="147" t="n">
        <x:v>10128579</x:v>
      </x:c>
      <x:c r="E2971" s="147" t="s">
        <x:v>154</x:v>
      </x:c>
    </x:row>
    <x:row r="2972" spans="1:17">
      <x:c r="D2972" s="147" t="n">
        <x:v>10128580</x:v>
      </x:c>
      <x:c r="E2972" s="147" t="s">
        <x:v>114</x:v>
      </x:c>
    </x:row>
    <x:row r="2973" spans="1:17">
      <x:c r="D2973" s="147" t="n">
        <x:v>10128581</x:v>
      </x:c>
      <x:c r="E2973" s="147" t="s">
        <x:v>114</x:v>
      </x:c>
    </x:row>
    <x:row r="2974" spans="1:17">
      <x:c r="D2974" s="147" t="n">
        <x:v>10128582</x:v>
      </x:c>
      <x:c r="E2974" s="147" t="s">
        <x:v>132</x:v>
      </x:c>
    </x:row>
    <x:row r="2975" spans="1:17">
      <x:c r="D2975" s="147" t="n">
        <x:v>10128595</x:v>
      </x:c>
      <x:c r="E2975" s="147" t="s">
        <x:v>132</x:v>
      </x:c>
    </x:row>
    <x:row r="2976" spans="1:17">
      <x:c r="D2976" s="147" t="n">
        <x:v>10128596</x:v>
      </x:c>
      <x:c r="E2976" s="147" t="s">
        <x:v>56</x:v>
      </x:c>
    </x:row>
    <x:row r="2977" spans="1:17">
      <x:c r="D2977" s="147" t="n">
        <x:v>10128597</x:v>
      </x:c>
      <x:c r="E2977" s="147" t="s">
        <x:v>114</x:v>
      </x:c>
    </x:row>
    <x:row r="2978" spans="1:17">
      <x:c r="D2978" s="147" t="n">
        <x:v>10128598</x:v>
      </x:c>
      <x:c r="E2978" s="147" t="s">
        <x:v>132</x:v>
      </x:c>
    </x:row>
    <x:row r="2979" spans="1:17">
      <x:c r="D2979" s="147" t="n">
        <x:v>10128599</x:v>
      </x:c>
      <x:c r="E2979" s="147" t="s">
        <x:v>154</x:v>
      </x:c>
    </x:row>
    <x:row r="2980" spans="1:17">
      <x:c r="D2980" s="147" t="n">
        <x:v>10128600</x:v>
      </x:c>
      <x:c r="E2980" s="147" t="s">
        <x:v>114</x:v>
      </x:c>
    </x:row>
    <x:row r="2981" spans="1:17">
      <x:c r="D2981" s="147" t="n">
        <x:v>10128579</x:v>
      </x:c>
      <x:c r="E2981" s="147" t="s">
        <x:v>154</x:v>
      </x:c>
    </x:row>
    <x:row r="2982" spans="1:17">
      <x:c r="D2982" s="147" t="n">
        <x:v>10128580</x:v>
      </x:c>
      <x:c r="E2982" s="147" t="s">
        <x:v>114</x:v>
      </x:c>
    </x:row>
    <x:row r="2983" spans="1:17">
      <x:c r="D2983" s="147" t="n">
        <x:v>10128581</x:v>
      </x:c>
      <x:c r="E2983" s="147" t="s">
        <x:v>114</x:v>
      </x:c>
    </x:row>
    <x:row r="2984" spans="1:17">
      <x:c r="D2984" s="147" t="n">
        <x:v>10128582</x:v>
      </x:c>
      <x:c r="E2984" s="147" t="s">
        <x:v>132</x:v>
      </x:c>
    </x:row>
    <x:row r="2985" spans="1:17">
      <x:c r="D2985" s="147" t="n">
        <x:v>10128595</x:v>
      </x:c>
      <x:c r="E2985" s="147" t="s">
        <x:v>132</x:v>
      </x:c>
    </x:row>
    <x:row r="2986" spans="1:17">
      <x:c r="D2986" s="147" t="n">
        <x:v>10128596</x:v>
      </x:c>
      <x:c r="E2986" s="147" t="s">
        <x:v>56</x:v>
      </x:c>
    </x:row>
    <x:row r="2987" spans="1:17">
      <x:c r="D2987" s="147" t="n">
        <x:v>10128597</x:v>
      </x:c>
      <x:c r="E2987" s="147" t="s">
        <x:v>114</x:v>
      </x:c>
    </x:row>
    <x:row r="2988" spans="1:17">
      <x:c r="D2988" s="147" t="n">
        <x:v>10128598</x:v>
      </x:c>
      <x:c r="E2988" s="147" t="s">
        <x:v>132</x:v>
      </x:c>
    </x:row>
    <x:row r="2989" spans="1:17">
      <x:c r="D2989" s="147" t="n">
        <x:v>10128599</x:v>
      </x:c>
      <x:c r="E2989" s="147" t="s">
        <x:v>154</x:v>
      </x:c>
    </x:row>
    <x:row r="2990" spans="1:17">
      <x:c r="D2990" s="147" t="n">
        <x:v>10128600</x:v>
      </x:c>
      <x:c r="E2990" s="147" t="s">
        <x:v>114</x:v>
      </x:c>
    </x:row>
    <x:row r="2991" spans="1:17">
      <x:c r="D2991" s="147" t="n">
        <x:v>10128579</x:v>
      </x:c>
      <x:c r="E2991" s="147" t="s">
        <x:v>154</x:v>
      </x:c>
    </x:row>
    <x:row r="2992" spans="1:17">
      <x:c r="D2992" s="147" t="n">
        <x:v>10128580</x:v>
      </x:c>
      <x:c r="E2992" s="147" t="s">
        <x:v>114</x:v>
      </x:c>
    </x:row>
    <x:row r="2993" spans="1:17">
      <x:c r="D2993" s="147" t="n">
        <x:v>10128581</x:v>
      </x:c>
      <x:c r="E2993" s="147" t="s">
        <x:v>114</x:v>
      </x:c>
    </x:row>
    <x:row r="2994" spans="1:17">
      <x:c r="D2994" s="147" t="n">
        <x:v>10128582</x:v>
      </x:c>
      <x:c r="E2994" s="147" t="s">
        <x:v>132</x:v>
      </x:c>
    </x:row>
    <x:row r="2995" spans="1:17">
      <x:c r="D2995" s="147" t="n">
        <x:v>10128595</x:v>
      </x:c>
      <x:c r="E2995" s="147" t="s">
        <x:v>132</x:v>
      </x:c>
    </x:row>
    <x:row r="2996" spans="1:17">
      <x:c r="D2996" s="147" t="n">
        <x:v>10128596</x:v>
      </x:c>
      <x:c r="E2996" s="147" t="s">
        <x:v>56</x:v>
      </x:c>
    </x:row>
    <x:row r="2997" spans="1:17">
      <x:c r="D2997" s="147" t="n">
        <x:v>10128597</x:v>
      </x:c>
      <x:c r="E2997" s="147" t="s">
        <x:v>114</x:v>
      </x:c>
    </x:row>
    <x:row r="2998" spans="1:17">
      <x:c r="D2998" s="147" t="n">
        <x:v>10128598</x:v>
      </x:c>
      <x:c r="E2998" s="147" t="s">
        <x:v>132</x:v>
      </x:c>
    </x:row>
    <x:row r="2999" spans="1:17">
      <x:c r="D2999" s="147" t="n">
        <x:v>10128599</x:v>
      </x:c>
      <x:c r="E2999" s="147" t="s">
        <x:v>154</x:v>
      </x:c>
    </x:row>
    <x:row r="3000" spans="1:17">
      <x:c r="D3000" s="147" t="n">
        <x:v>10128600</x:v>
      </x:c>
      <x:c r="E3000" s="147" t="s">
        <x:v>114</x:v>
      </x:c>
    </x:row>
    <x:row r="3001" spans="1:17">
      <x:c r="D3001" s="147" t="n">
        <x:v>10128579</x:v>
      </x:c>
      <x:c r="E3001" s="147" t="s">
        <x:v>154</x:v>
      </x:c>
    </x:row>
    <x:row r="3002" spans="1:17">
      <x:c r="D3002" s="147" t="n">
        <x:v>10128580</x:v>
      </x:c>
      <x:c r="E3002" s="147" t="s">
        <x:v>114</x:v>
      </x:c>
    </x:row>
    <x:row r="3003" spans="1:17">
      <x:c r="D3003" s="147" t="n">
        <x:v>10128581</x:v>
      </x:c>
      <x:c r="E3003" s="147" t="s">
        <x:v>114</x:v>
      </x:c>
    </x:row>
    <x:row r="3004" spans="1:17">
      <x:c r="D3004" s="147" t="n">
        <x:v>10128582</x:v>
      </x:c>
      <x:c r="E3004" s="147" t="s">
        <x:v>132</x:v>
      </x:c>
    </x:row>
    <x:row r="3005" spans="1:17">
      <x:c r="D3005" s="147" t="n">
        <x:v>10128595</x:v>
      </x:c>
      <x:c r="E3005" s="147" t="s">
        <x:v>132</x:v>
      </x:c>
    </x:row>
    <x:row r="3006" spans="1:17">
      <x:c r="D3006" s="147" t="n">
        <x:v>10128596</x:v>
      </x:c>
      <x:c r="E3006" s="147" t="s">
        <x:v>56</x:v>
      </x:c>
    </x:row>
    <x:row r="3007" spans="1:17">
      <x:c r="D3007" s="147" t="n">
        <x:v>10128597</x:v>
      </x:c>
      <x:c r="E3007" s="147" t="s">
        <x:v>114</x:v>
      </x:c>
    </x:row>
    <x:row r="3008" spans="1:17">
      <x:c r="D3008" s="147" t="n">
        <x:v>10128598</x:v>
      </x:c>
      <x:c r="E3008" s="147" t="s">
        <x:v>132</x:v>
      </x:c>
    </x:row>
    <x:row r="3009" spans="1:17">
      <x:c r="D3009" s="147" t="n">
        <x:v>10128599</x:v>
      </x:c>
      <x:c r="E3009" s="147" t="s">
        <x:v>154</x:v>
      </x:c>
    </x:row>
    <x:row r="3010" spans="1:17">
      <x:c r="D3010" s="147" t="n">
        <x:v>10128600</x:v>
      </x:c>
      <x:c r="E3010" s="147" t="s">
        <x:v>114</x:v>
      </x:c>
    </x:row>
    <x:row r="3011" spans="1:17">
      <x:c r="D3011" s="147" t="n">
        <x:v>10128579</x:v>
      </x:c>
      <x:c r="E3011" s="147" t="s">
        <x:v>154</x:v>
      </x:c>
    </x:row>
    <x:row r="3012" spans="1:17">
      <x:c r="D3012" s="147" t="n">
        <x:v>10128580</x:v>
      </x:c>
      <x:c r="E3012" s="147" t="s">
        <x:v>114</x:v>
      </x:c>
    </x:row>
    <x:row r="3013" spans="1:17">
      <x:c r="D3013" s="147" t="n">
        <x:v>10128581</x:v>
      </x:c>
      <x:c r="E3013" s="147" t="s">
        <x:v>114</x:v>
      </x:c>
    </x:row>
    <x:row r="3014" spans="1:17">
      <x:c r="D3014" s="147" t="n">
        <x:v>10128582</x:v>
      </x:c>
      <x:c r="E3014" s="147" t="s">
        <x:v>132</x:v>
      </x:c>
    </x:row>
    <x:row r="3015" spans="1:17">
      <x:c r="D3015" s="147" t="n">
        <x:v>10128595</x:v>
      </x:c>
      <x:c r="E3015" s="147" t="s">
        <x:v>132</x:v>
      </x:c>
    </x:row>
    <x:row r="3016" spans="1:17">
      <x:c r="D3016" s="147" t="n">
        <x:v>10128596</x:v>
      </x:c>
      <x:c r="E3016" s="147" t="s">
        <x:v>56</x:v>
      </x:c>
    </x:row>
    <x:row r="3017" spans="1:17">
      <x:c r="D3017" s="147" t="n">
        <x:v>10128597</x:v>
      </x:c>
      <x:c r="E3017" s="147" t="s">
        <x:v>114</x:v>
      </x:c>
    </x:row>
    <x:row r="3018" spans="1:17">
      <x:c r="D3018" s="147" t="n">
        <x:v>10128598</x:v>
      </x:c>
      <x:c r="E3018" s="147" t="s">
        <x:v>132</x:v>
      </x:c>
    </x:row>
    <x:row r="3019" spans="1:17">
      <x:c r="D3019" s="147" t="n">
        <x:v>10128599</x:v>
      </x:c>
      <x:c r="E3019" s="147" t="s">
        <x:v>154</x:v>
      </x:c>
    </x:row>
    <x:row r="3020" spans="1:17">
      <x:c r="D3020" s="147" t="n">
        <x:v>10128600</x:v>
      </x:c>
      <x:c r="E3020" s="147" t="s">
        <x:v>114</x:v>
      </x:c>
    </x:row>
    <x:row r="3021" spans="1:17">
      <x:c r="D3021" s="147" t="n">
        <x:v>10128579</x:v>
      </x:c>
      <x:c r="E3021" s="147" t="s">
        <x:v>154</x:v>
      </x:c>
    </x:row>
    <x:row r="3022" spans="1:17">
      <x:c r="D3022" s="147" t="n">
        <x:v>10128580</x:v>
      </x:c>
      <x:c r="E3022" s="147" t="s">
        <x:v>114</x:v>
      </x:c>
    </x:row>
    <x:row r="3023" spans="1:17">
      <x:c r="D3023" s="147" t="n">
        <x:v>10128581</x:v>
      </x:c>
      <x:c r="E3023" s="147" t="s">
        <x:v>114</x:v>
      </x:c>
    </x:row>
    <x:row r="3024" spans="1:17">
      <x:c r="D3024" s="147" t="n">
        <x:v>10128582</x:v>
      </x:c>
      <x:c r="E3024" s="147" t="s">
        <x:v>132</x:v>
      </x:c>
    </x:row>
    <x:row r="3025" spans="1:17">
      <x:c r="D3025" s="147" t="n">
        <x:v>10128595</x:v>
      </x:c>
      <x:c r="E3025" s="147" t="s">
        <x:v>132</x:v>
      </x:c>
    </x:row>
    <x:row r="3026" spans="1:17">
      <x:c r="D3026" s="147" t="n">
        <x:v>10128596</x:v>
      </x:c>
      <x:c r="E3026" s="147" t="s">
        <x:v>56</x:v>
      </x:c>
    </x:row>
    <x:row r="3027" spans="1:17">
      <x:c r="D3027" s="147" t="n">
        <x:v>10128597</x:v>
      </x:c>
      <x:c r="E3027" s="147" t="s">
        <x:v>114</x:v>
      </x:c>
    </x:row>
    <x:row r="3028" spans="1:17">
      <x:c r="D3028" s="147" t="n">
        <x:v>10128598</x:v>
      </x:c>
      <x:c r="E3028" s="147" t="s">
        <x:v>132</x:v>
      </x:c>
    </x:row>
    <x:row r="3029" spans="1:17">
      <x:c r="D3029" s="147" t="n">
        <x:v>10128599</x:v>
      </x:c>
      <x:c r="E3029" s="147" t="s">
        <x:v>154</x:v>
      </x:c>
    </x:row>
    <x:row r="3030" spans="1:17">
      <x:c r="D3030" s="147" t="n">
        <x:v>10128600</x:v>
      </x:c>
      <x:c r="E3030" s="147" t="s">
        <x:v>114</x:v>
      </x:c>
    </x:row>
    <x:row r="3031" spans="1:17">
      <x:c r="D3031" s="147" t="n">
        <x:v>10128579</x:v>
      </x:c>
      <x:c r="E3031" s="147" t="s">
        <x:v>154</x:v>
      </x:c>
    </x:row>
    <x:row r="3032" spans="1:17">
      <x:c r="D3032" s="147" t="n">
        <x:v>10128580</x:v>
      </x:c>
      <x:c r="E3032" s="147" t="s">
        <x:v>114</x:v>
      </x:c>
    </x:row>
    <x:row r="3033" spans="1:17">
      <x:c r="D3033" s="147" t="n">
        <x:v>10128581</x:v>
      </x:c>
      <x:c r="E3033" s="147" t="s">
        <x:v>114</x:v>
      </x:c>
    </x:row>
    <x:row r="3034" spans="1:17">
      <x:c r="D3034" s="147" t="n">
        <x:v>10128582</x:v>
      </x:c>
      <x:c r="E3034" s="147" t="s">
        <x:v>132</x:v>
      </x:c>
    </x:row>
    <x:row r="3035" spans="1:17">
      <x:c r="D3035" s="147" t="n">
        <x:v>10128595</x:v>
      </x:c>
      <x:c r="E3035" s="147" t="s">
        <x:v>132</x:v>
      </x:c>
    </x:row>
    <x:row r="3036" spans="1:17">
      <x:c r="D3036" s="147" t="n">
        <x:v>10128596</x:v>
      </x:c>
      <x:c r="E3036" s="147" t="s">
        <x:v>56</x:v>
      </x:c>
    </x:row>
    <x:row r="3037" spans="1:17">
      <x:c r="D3037" s="147" t="n">
        <x:v>10128597</x:v>
      </x:c>
      <x:c r="E3037" s="147" t="s">
        <x:v>114</x:v>
      </x:c>
    </x:row>
    <x:row r="3038" spans="1:17">
      <x:c r="D3038" s="147" t="n">
        <x:v>10128598</x:v>
      </x:c>
      <x:c r="E3038" s="147" t="s">
        <x:v>132</x:v>
      </x:c>
    </x:row>
    <x:row r="3039" spans="1:17">
      <x:c r="D3039" s="147" t="n">
        <x:v>10128599</x:v>
      </x:c>
      <x:c r="E3039" s="147" t="s">
        <x:v>154</x:v>
      </x:c>
    </x:row>
    <x:row r="3040" spans="1:17">
      <x:c r="D3040" s="147" t="n">
        <x:v>10128600</x:v>
      </x:c>
      <x:c r="E3040" s="147" t="s">
        <x:v>114</x:v>
      </x:c>
    </x:row>
    <x:row r="3041" spans="1:17">
      <x:c r="D3041" s="147" t="n">
        <x:v>10128579</x:v>
      </x:c>
      <x:c r="E3041" s="147" t="s">
        <x:v>154</x:v>
      </x:c>
    </x:row>
    <x:row r="3042" spans="1:17">
      <x:c r="D3042" s="147" t="n">
        <x:v>10128580</x:v>
      </x:c>
      <x:c r="E3042" s="147" t="s">
        <x:v>114</x:v>
      </x:c>
    </x:row>
    <x:row r="3043" spans="1:17">
      <x:c r="D3043" s="147" t="n">
        <x:v>10128581</x:v>
      </x:c>
      <x:c r="E3043" s="147" t="s">
        <x:v>114</x:v>
      </x:c>
    </x:row>
    <x:row r="3044" spans="1:17">
      <x:c r="D3044" s="147" t="n">
        <x:v>10128582</x:v>
      </x:c>
      <x:c r="E3044" s="147" t="s">
        <x:v>132</x:v>
      </x:c>
    </x:row>
    <x:row r="3045" spans="1:17">
      <x:c r="D3045" s="147" t="n">
        <x:v>10128595</x:v>
      </x:c>
      <x:c r="E3045" s="147" t="s">
        <x:v>132</x:v>
      </x:c>
    </x:row>
    <x:row r="3046" spans="1:17">
      <x:c r="D3046" s="147" t="n">
        <x:v>10128596</x:v>
      </x:c>
      <x:c r="E3046" s="147" t="s">
        <x:v>56</x:v>
      </x:c>
    </x:row>
    <x:row r="3047" spans="1:17">
      <x:c r="D3047" s="147" t="n">
        <x:v>10128597</x:v>
      </x:c>
      <x:c r="E3047" s="147" t="s">
        <x:v>114</x:v>
      </x:c>
    </x:row>
    <x:row r="3048" spans="1:17">
      <x:c r="D3048" s="147" t="n">
        <x:v>10128598</x:v>
      </x:c>
      <x:c r="E3048" s="147" t="s">
        <x:v>132</x:v>
      </x:c>
    </x:row>
    <x:row r="3049" spans="1:17">
      <x:c r="D3049" s="147" t="n">
        <x:v>10128599</x:v>
      </x:c>
      <x:c r="E3049" s="147" t="s">
        <x:v>154</x:v>
      </x:c>
    </x:row>
    <x:row r="3050" spans="1:17">
      <x:c r="D3050" s="147" t="n">
        <x:v>10128600</x:v>
      </x:c>
      <x:c r="E3050" s="147" t="s">
        <x:v>114</x:v>
      </x:c>
    </x:row>
    <x:row r="3051" spans="1:17">
      <x:c r="D3051" s="147" t="n">
        <x:v>10128579</x:v>
      </x:c>
      <x:c r="E3051" s="147" t="s">
        <x:v>154</x:v>
      </x:c>
    </x:row>
    <x:row r="3052" spans="1:17">
      <x:c r="D3052" s="147" t="n">
        <x:v>10128580</x:v>
      </x:c>
      <x:c r="E3052" s="147" t="s">
        <x:v>114</x:v>
      </x:c>
    </x:row>
    <x:row r="3053" spans="1:17">
      <x:c r="D3053" s="147" t="n">
        <x:v>10128581</x:v>
      </x:c>
      <x:c r="E3053" s="147" t="s">
        <x:v>114</x:v>
      </x:c>
    </x:row>
    <x:row r="3054" spans="1:17">
      <x:c r="D3054" s="147" t="n">
        <x:v>10128582</x:v>
      </x:c>
      <x:c r="E3054" s="147" t="s">
        <x:v>132</x:v>
      </x:c>
    </x:row>
    <x:row r="3055" spans="1:17">
      <x:c r="D3055" s="147" t="n">
        <x:v>10128595</x:v>
      </x:c>
      <x:c r="E3055" s="147" t="s">
        <x:v>132</x:v>
      </x:c>
    </x:row>
    <x:row r="3056" spans="1:17">
      <x:c r="D3056" s="147" t="n">
        <x:v>10128596</x:v>
      </x:c>
      <x:c r="E3056" s="147" t="s">
        <x:v>56</x:v>
      </x:c>
    </x:row>
    <x:row r="3057" spans="1:17">
      <x:c r="D3057" s="147" t="n">
        <x:v>10128597</x:v>
      </x:c>
      <x:c r="E3057" s="147" t="s">
        <x:v>114</x:v>
      </x:c>
    </x:row>
    <x:row r="3058" spans="1:17">
      <x:c r="D3058" s="147" t="n">
        <x:v>10128598</x:v>
      </x:c>
      <x:c r="E3058" s="147" t="s">
        <x:v>132</x:v>
      </x:c>
    </x:row>
    <x:row r="3059" spans="1:17">
      <x:c r="D3059" s="147" t="n">
        <x:v>10128599</x:v>
      </x:c>
      <x:c r="E3059" s="147" t="s">
        <x:v>154</x:v>
      </x:c>
    </x:row>
    <x:row r="3060" spans="1:17">
      <x:c r="D3060" s="147" t="n">
        <x:v>10128600</x:v>
      </x:c>
      <x:c r="E3060" s="147" t="s">
        <x:v>114</x:v>
      </x:c>
    </x:row>
    <x:row r="3061" spans="1:17">
      <x:c r="D3061" s="147" t="n">
        <x:v>10128579</x:v>
      </x:c>
      <x:c r="E3061" s="147" t="s">
        <x:v>154</x:v>
      </x:c>
    </x:row>
    <x:row r="3062" spans="1:17">
      <x:c r="D3062" s="147" t="n">
        <x:v>10128580</x:v>
      </x:c>
      <x:c r="E3062" s="147" t="s">
        <x:v>114</x:v>
      </x:c>
    </x:row>
    <x:row r="3063" spans="1:17">
      <x:c r="D3063" s="147" t="n">
        <x:v>10128581</x:v>
      </x:c>
      <x:c r="E3063" s="147" t="s">
        <x:v>114</x:v>
      </x:c>
    </x:row>
    <x:row r="3064" spans="1:17">
      <x:c r="D3064" s="147" t="n">
        <x:v>10128582</x:v>
      </x:c>
      <x:c r="E3064" s="147" t="s">
        <x:v>132</x:v>
      </x:c>
    </x:row>
    <x:row r="3065" spans="1:17">
      <x:c r="D3065" s="147" t="n">
        <x:v>10128595</x:v>
      </x:c>
      <x:c r="E3065" s="147" t="s">
        <x:v>132</x:v>
      </x:c>
    </x:row>
    <x:row r="3066" spans="1:17">
      <x:c r="D3066" s="147" t="n">
        <x:v>10128596</x:v>
      </x:c>
      <x:c r="E3066" s="147" t="s">
        <x:v>56</x:v>
      </x:c>
    </x:row>
    <x:row r="3067" spans="1:17">
      <x:c r="D3067" s="147" t="n">
        <x:v>10128597</x:v>
      </x:c>
      <x:c r="E3067" s="147" t="s">
        <x:v>114</x:v>
      </x:c>
    </x:row>
    <x:row r="3068" spans="1:17">
      <x:c r="D3068" s="147" t="n">
        <x:v>10128598</x:v>
      </x:c>
      <x:c r="E3068" s="147" t="s">
        <x:v>132</x:v>
      </x:c>
    </x:row>
    <x:row r="3069" spans="1:17">
      <x:c r="D3069" s="147" t="n">
        <x:v>10128599</x:v>
      </x:c>
      <x:c r="E3069" s="147" t="s">
        <x:v>154</x:v>
      </x:c>
    </x:row>
    <x:row r="3070" spans="1:17">
      <x:c r="D3070" s="147" t="n">
        <x:v>10128600</x:v>
      </x:c>
      <x:c r="E3070" s="147" t="s">
        <x:v>114</x:v>
      </x:c>
    </x:row>
    <x:row r="3071" spans="1:17">
      <x:c r="D3071" s="147" t="n">
        <x:v>10128579</x:v>
      </x:c>
      <x:c r="E3071" s="147" t="s">
        <x:v>154</x:v>
      </x:c>
    </x:row>
    <x:row r="3072" spans="1:17">
      <x:c r="D3072" s="147" t="n">
        <x:v>10128580</x:v>
      </x:c>
      <x:c r="E3072" s="147" t="s">
        <x:v>114</x:v>
      </x:c>
    </x:row>
    <x:row r="3073" spans="1:17">
      <x:c r="D3073" s="147" t="n">
        <x:v>10128581</x:v>
      </x:c>
      <x:c r="E3073" s="147" t="s">
        <x:v>114</x:v>
      </x:c>
    </x:row>
    <x:row r="3074" spans="1:17">
      <x:c r="D3074" s="147" t="n">
        <x:v>10128582</x:v>
      </x:c>
      <x:c r="E3074" s="147" t="s">
        <x:v>132</x:v>
      </x:c>
    </x:row>
    <x:row r="3075" spans="1:17">
      <x:c r="D3075" s="147" t="n">
        <x:v>10128595</x:v>
      </x:c>
      <x:c r="E3075" s="147" t="s">
        <x:v>132</x:v>
      </x:c>
    </x:row>
    <x:row r="3076" spans="1:17">
      <x:c r="D3076" s="147" t="n">
        <x:v>10128596</x:v>
      </x:c>
      <x:c r="E3076" s="147" t="s">
        <x:v>56</x:v>
      </x:c>
    </x:row>
    <x:row r="3077" spans="1:17">
      <x:c r="D3077" s="147" t="n">
        <x:v>10128597</x:v>
      </x:c>
      <x:c r="E3077" s="147" t="s">
        <x:v>114</x:v>
      </x:c>
    </x:row>
    <x:row r="3078" spans="1:17">
      <x:c r="D3078" s="147" t="n">
        <x:v>10128598</x:v>
      </x:c>
      <x:c r="E3078" s="147" t="s">
        <x:v>132</x:v>
      </x:c>
    </x:row>
    <x:row r="3079" spans="1:17">
      <x:c r="D3079" s="147" t="n">
        <x:v>10128599</x:v>
      </x:c>
      <x:c r="E3079" s="147" t="s">
        <x:v>154</x:v>
      </x:c>
    </x:row>
    <x:row r="3080" spans="1:17">
      <x:c r="D3080" s="147" t="n">
        <x:v>10128600</x:v>
      </x:c>
      <x:c r="E3080" s="147" t="s">
        <x:v>114</x:v>
      </x:c>
    </x:row>
    <x:row r="3081" spans="1:17">
      <x:c r="D3081" s="147" t="n">
        <x:v>10128579</x:v>
      </x:c>
      <x:c r="E3081" s="147" t="s">
        <x:v>154</x:v>
      </x:c>
    </x:row>
    <x:row r="3082" spans="1:17">
      <x:c r="D3082" s="147" t="n">
        <x:v>10128580</x:v>
      </x:c>
      <x:c r="E3082" s="147" t="s">
        <x:v>114</x:v>
      </x:c>
    </x:row>
    <x:row r="3083" spans="1:17">
      <x:c r="D3083" s="147" t="n">
        <x:v>10128581</x:v>
      </x:c>
      <x:c r="E3083" s="147" t="s">
        <x:v>114</x:v>
      </x:c>
    </x:row>
    <x:row r="3084" spans="1:17">
      <x:c r="D3084" s="147" t="n">
        <x:v>10128582</x:v>
      </x:c>
      <x:c r="E3084" s="147" t="s">
        <x:v>132</x:v>
      </x:c>
    </x:row>
    <x:row r="3085" spans="1:17">
      <x:c r="D3085" s="147" t="n">
        <x:v>10128595</x:v>
      </x:c>
      <x:c r="E3085" s="147" t="s">
        <x:v>132</x:v>
      </x:c>
    </x:row>
    <x:row r="3086" spans="1:17">
      <x:c r="D3086" s="147" t="n">
        <x:v>10128596</x:v>
      </x:c>
      <x:c r="E3086" s="147" t="s">
        <x:v>56</x:v>
      </x:c>
    </x:row>
    <x:row r="3087" spans="1:17">
      <x:c r="D3087" s="147" t="n">
        <x:v>10128597</x:v>
      </x:c>
      <x:c r="E3087" s="147" t="s">
        <x:v>114</x:v>
      </x:c>
    </x:row>
    <x:row r="3088" spans="1:17">
      <x:c r="D3088" s="147" t="n">
        <x:v>10128598</x:v>
      </x:c>
      <x:c r="E3088" s="147" t="s">
        <x:v>132</x:v>
      </x:c>
    </x:row>
    <x:row r="3089" spans="1:17">
      <x:c r="D3089" s="147" t="n">
        <x:v>10128599</x:v>
      </x:c>
      <x:c r="E3089" s="147" t="s">
        <x:v>154</x:v>
      </x:c>
    </x:row>
    <x:row r="3090" spans="1:17">
      <x:c r="D3090" s="147" t="n">
        <x:v>10128600</x:v>
      </x:c>
      <x:c r="E3090" s="147" t="s">
        <x:v>114</x:v>
      </x:c>
    </x:row>
    <x:row r="3091" spans="1:17">
      <x:c r="D3091" s="147" t="n">
        <x:v>10128579</x:v>
      </x:c>
      <x:c r="E3091" s="147" t="s">
        <x:v>154</x:v>
      </x:c>
    </x:row>
    <x:row r="3092" spans="1:17">
      <x:c r="D3092" s="147" t="n">
        <x:v>10128580</x:v>
      </x:c>
      <x:c r="E3092" s="147" t="s">
        <x:v>114</x:v>
      </x:c>
    </x:row>
    <x:row r="3093" spans="1:17">
      <x:c r="D3093" s="147" t="n">
        <x:v>10128581</x:v>
      </x:c>
      <x:c r="E3093" s="147" t="s">
        <x:v>114</x:v>
      </x:c>
    </x:row>
    <x:row r="3094" spans="1:17">
      <x:c r="D3094" s="147" t="n">
        <x:v>10128582</x:v>
      </x:c>
      <x:c r="E3094" s="147" t="s">
        <x:v>132</x:v>
      </x:c>
    </x:row>
    <x:row r="3095" spans="1:17">
      <x:c r="D3095" s="147" t="n">
        <x:v>10128595</x:v>
      </x:c>
      <x:c r="E3095" s="147" t="s">
        <x:v>132</x:v>
      </x:c>
    </x:row>
    <x:row r="3096" spans="1:17">
      <x:c r="D3096" s="147" t="n">
        <x:v>10128596</x:v>
      </x:c>
      <x:c r="E3096" s="147" t="s">
        <x:v>56</x:v>
      </x:c>
    </x:row>
    <x:row r="3097" spans="1:17">
      <x:c r="D3097" s="147" t="n">
        <x:v>10128597</x:v>
      </x:c>
      <x:c r="E3097" s="147" t="s">
        <x:v>114</x:v>
      </x:c>
    </x:row>
    <x:row r="3098" spans="1:17">
      <x:c r="D3098" s="147" t="n">
        <x:v>10128598</x:v>
      </x:c>
      <x:c r="E3098" s="147" t="s">
        <x:v>132</x:v>
      </x:c>
    </x:row>
    <x:row r="3099" spans="1:17">
      <x:c r="D3099" s="147" t="n">
        <x:v>10128599</x:v>
      </x:c>
      <x:c r="E3099" s="147" t="s">
        <x:v>154</x:v>
      </x:c>
    </x:row>
    <x:row r="3100" spans="1:17">
      <x:c r="D3100" s="147" t="n">
        <x:v>10128600</x:v>
      </x:c>
      <x:c r="E3100" s="147" t="s">
        <x:v>114</x:v>
      </x:c>
    </x:row>
    <x:row r="3101" spans="1:17">
      <x:c r="D3101" s="147" t="n">
        <x:v>10128579</x:v>
      </x:c>
      <x:c r="E3101" s="147" t="s">
        <x:v>154</x:v>
      </x:c>
    </x:row>
    <x:row r="3102" spans="1:17">
      <x:c r="D3102" s="147" t="n">
        <x:v>10128580</x:v>
      </x:c>
      <x:c r="E3102" s="147" t="s">
        <x:v>114</x:v>
      </x:c>
    </x:row>
    <x:row r="3103" spans="1:17">
      <x:c r="D3103" s="147" t="n">
        <x:v>10128581</x:v>
      </x:c>
      <x:c r="E3103" s="147" t="s">
        <x:v>114</x:v>
      </x:c>
    </x:row>
    <x:row r="3104" spans="1:17">
      <x:c r="D3104" s="147" t="n">
        <x:v>10128582</x:v>
      </x:c>
      <x:c r="E3104" s="147" t="s">
        <x:v>132</x:v>
      </x:c>
    </x:row>
    <x:row r="3105" spans="1:17">
      <x:c r="D3105" s="147" t="n">
        <x:v>10128595</x:v>
      </x:c>
      <x:c r="E3105" s="147" t="s">
        <x:v>132</x:v>
      </x:c>
    </x:row>
    <x:row r="3106" spans="1:17">
      <x:c r="D3106" s="147" t="n">
        <x:v>10128596</x:v>
      </x:c>
      <x:c r="E3106" s="147" t="s">
        <x:v>56</x:v>
      </x:c>
    </x:row>
    <x:row r="3107" spans="1:17">
      <x:c r="D3107" s="147" t="n">
        <x:v>10128597</x:v>
      </x:c>
      <x:c r="E3107" s="147" t="s">
        <x:v>114</x:v>
      </x:c>
    </x:row>
    <x:row r="3108" spans="1:17">
      <x:c r="D3108" s="147" t="n">
        <x:v>10128598</x:v>
      </x:c>
      <x:c r="E3108" s="147" t="s">
        <x:v>132</x:v>
      </x:c>
    </x:row>
    <x:row r="3109" spans="1:17">
      <x:c r="D3109" s="147" t="n">
        <x:v>10128599</x:v>
      </x:c>
      <x:c r="E3109" s="147" t="s">
        <x:v>154</x:v>
      </x:c>
    </x:row>
    <x:row r="3110" spans="1:17">
      <x:c r="D3110" s="147" t="n">
        <x:v>10128600</x:v>
      </x:c>
      <x:c r="E3110" s="147" t="s">
        <x:v>114</x:v>
      </x:c>
    </x:row>
    <x:row r="3111" spans="1:17">
      <x:c r="D3111" s="147" t="n">
        <x:v>10128579</x:v>
      </x:c>
      <x:c r="E3111" s="147" t="s">
        <x:v>154</x:v>
      </x:c>
    </x:row>
    <x:row r="3112" spans="1:17">
      <x:c r="D3112" s="147" t="n">
        <x:v>10128580</x:v>
      </x:c>
      <x:c r="E3112" s="147" t="s">
        <x:v>114</x:v>
      </x:c>
    </x:row>
    <x:row r="3113" spans="1:17">
      <x:c r="D3113" s="147" t="n">
        <x:v>10128581</x:v>
      </x:c>
      <x:c r="E3113" s="147" t="s">
        <x:v>114</x:v>
      </x:c>
    </x:row>
    <x:row r="3114" spans="1:17">
      <x:c r="D3114" s="147" t="n">
        <x:v>10128582</x:v>
      </x:c>
      <x:c r="E3114" s="147" t="s">
        <x:v>132</x:v>
      </x:c>
    </x:row>
    <x:row r="3115" spans="1:17">
      <x:c r="D3115" s="147" t="n">
        <x:v>10128595</x:v>
      </x:c>
      <x:c r="E3115" s="147" t="s">
        <x:v>132</x:v>
      </x:c>
    </x:row>
    <x:row r="3116" spans="1:17">
      <x:c r="D3116" s="147" t="n">
        <x:v>10128596</x:v>
      </x:c>
      <x:c r="E3116" s="147" t="s">
        <x:v>56</x:v>
      </x:c>
    </x:row>
    <x:row r="3117" spans="1:17">
      <x:c r="D3117" s="147" t="n">
        <x:v>10128597</x:v>
      </x:c>
      <x:c r="E3117" s="147" t="s">
        <x:v>114</x:v>
      </x:c>
    </x:row>
    <x:row r="3118" spans="1:17">
      <x:c r="D3118" s="147" t="n">
        <x:v>10128598</x:v>
      </x:c>
      <x:c r="E3118" s="147" t="s">
        <x:v>132</x:v>
      </x:c>
    </x:row>
    <x:row r="3119" spans="1:17">
      <x:c r="D3119" s="147" t="n">
        <x:v>10128599</x:v>
      </x:c>
      <x:c r="E3119" s="147" t="s">
        <x:v>154</x:v>
      </x:c>
    </x:row>
    <x:row r="3120" spans="1:17">
      <x:c r="D3120" s="147" t="n">
        <x:v>10128600</x:v>
      </x:c>
      <x:c r="E3120" s="147" t="s">
        <x:v>114</x:v>
      </x:c>
    </x:row>
    <x:row r="3121" spans="1:17">
      <x:c r="D3121" s="147" t="n">
        <x:v>10128579</x:v>
      </x:c>
      <x:c r="E3121" s="147" t="s">
        <x:v>154</x:v>
      </x:c>
    </x:row>
    <x:row r="3122" spans="1:17">
      <x:c r="D3122" s="147" t="n">
        <x:v>10128580</x:v>
      </x:c>
      <x:c r="E3122" s="147" t="s">
        <x:v>114</x:v>
      </x:c>
    </x:row>
    <x:row r="3123" spans="1:17">
      <x:c r="D3123" s="147" t="n">
        <x:v>10128581</x:v>
      </x:c>
      <x:c r="E3123" s="147" t="s">
        <x:v>114</x:v>
      </x:c>
    </x:row>
    <x:row r="3124" spans="1:17">
      <x:c r="D3124" s="147" t="n">
        <x:v>10128582</x:v>
      </x:c>
      <x:c r="E3124" s="147" t="s">
        <x:v>132</x:v>
      </x:c>
    </x:row>
    <x:row r="3125" spans="1:17">
      <x:c r="D3125" s="147" t="n">
        <x:v>10128595</x:v>
      </x:c>
      <x:c r="E3125" s="147" t="s">
        <x:v>132</x:v>
      </x:c>
    </x:row>
    <x:row r="3126" spans="1:17">
      <x:c r="D3126" s="147" t="n">
        <x:v>10128596</x:v>
      </x:c>
      <x:c r="E3126" s="147" t="s">
        <x:v>56</x:v>
      </x:c>
    </x:row>
    <x:row r="3127" spans="1:17">
      <x:c r="D3127" s="147" t="n">
        <x:v>10128597</x:v>
      </x:c>
      <x:c r="E3127" s="147" t="s">
        <x:v>114</x:v>
      </x:c>
    </x:row>
    <x:row r="3128" spans="1:17">
      <x:c r="D3128" s="147" t="n">
        <x:v>10128598</x:v>
      </x:c>
      <x:c r="E3128" s="147" t="s">
        <x:v>132</x:v>
      </x:c>
    </x:row>
    <x:row r="3129" spans="1:17">
      <x:c r="D3129" s="147" t="n">
        <x:v>10128599</x:v>
      </x:c>
      <x:c r="E3129" s="147" t="s">
        <x:v>154</x:v>
      </x:c>
    </x:row>
    <x:row r="3130" spans="1:17">
      <x:c r="D3130" s="147" t="n">
        <x:v>10128600</x:v>
      </x:c>
      <x:c r="E3130" s="147" t="s">
        <x:v>114</x:v>
      </x:c>
    </x:row>
    <x:row r="3131" spans="1:17">
      <x:c r="D3131" s="147" t="n">
        <x:v>10128579</x:v>
      </x:c>
      <x:c r="E3131" s="147" t="s">
        <x:v>154</x:v>
      </x:c>
    </x:row>
    <x:row r="3132" spans="1:17">
      <x:c r="D3132" s="147" t="n">
        <x:v>10128580</x:v>
      </x:c>
      <x:c r="E3132" s="147" t="s">
        <x:v>114</x:v>
      </x:c>
    </x:row>
    <x:row r="3133" spans="1:17">
      <x:c r="D3133" s="147" t="n">
        <x:v>10128581</x:v>
      </x:c>
      <x:c r="E3133" s="147" t="s">
        <x:v>114</x:v>
      </x:c>
    </x:row>
    <x:row r="3134" spans="1:17">
      <x:c r="D3134" s="147" t="n">
        <x:v>10128582</x:v>
      </x:c>
      <x:c r="E3134" s="147" t="s">
        <x:v>132</x:v>
      </x:c>
    </x:row>
    <x:row r="3135" spans="1:17">
      <x:c r="D3135" s="147" t="n">
        <x:v>10128595</x:v>
      </x:c>
      <x:c r="E3135" s="147" t="s">
        <x:v>132</x:v>
      </x:c>
    </x:row>
    <x:row r="3136" spans="1:17">
      <x:c r="D3136" s="147" t="n">
        <x:v>10128596</x:v>
      </x:c>
      <x:c r="E3136" s="147" t="s">
        <x:v>56</x:v>
      </x:c>
    </x:row>
    <x:row r="3137" spans="1:17">
      <x:c r="D3137" s="147" t="n">
        <x:v>10128597</x:v>
      </x:c>
      <x:c r="E3137" s="147" t="s">
        <x:v>114</x:v>
      </x:c>
    </x:row>
    <x:row r="3138" spans="1:17">
      <x:c r="D3138" s="147" t="n">
        <x:v>10128598</x:v>
      </x:c>
      <x:c r="E3138" s="147" t="s">
        <x:v>132</x:v>
      </x:c>
    </x:row>
    <x:row r="3139" spans="1:17">
      <x:c r="D3139" s="147" t="n">
        <x:v>10128599</x:v>
      </x:c>
      <x:c r="E3139" s="147" t="s">
        <x:v>154</x:v>
      </x:c>
    </x:row>
    <x:row r="3140" spans="1:17">
      <x:c r="D3140" s="147" t="n">
        <x:v>10128600</x:v>
      </x:c>
      <x:c r="E3140" s="147" t="s">
        <x:v>114</x:v>
      </x:c>
    </x:row>
    <x:row r="3141" spans="1:17">
      <x:c r="D3141" s="147" t="n">
        <x:v>10128579</x:v>
      </x:c>
      <x:c r="E3141" s="147" t="s">
        <x:v>154</x:v>
      </x:c>
    </x:row>
    <x:row r="3142" spans="1:17">
      <x:c r="D3142" s="147" t="n">
        <x:v>10128580</x:v>
      </x:c>
      <x:c r="E3142" s="147" t="s">
        <x:v>114</x:v>
      </x:c>
    </x:row>
    <x:row r="3143" spans="1:17">
      <x:c r="D3143" s="147" t="n">
        <x:v>10128581</x:v>
      </x:c>
      <x:c r="E3143" s="147" t="s">
        <x:v>114</x:v>
      </x:c>
    </x:row>
    <x:row r="3144" spans="1:17">
      <x:c r="D3144" s="147" t="n">
        <x:v>10128582</x:v>
      </x:c>
      <x:c r="E3144" s="147" t="s">
        <x:v>132</x:v>
      </x:c>
    </x:row>
    <x:row r="3145" spans="1:17">
      <x:c r="D3145" s="147" t="n">
        <x:v>10128595</x:v>
      </x:c>
      <x:c r="E3145" s="147" t="s">
        <x:v>132</x:v>
      </x:c>
    </x:row>
    <x:row r="3146" spans="1:17">
      <x:c r="D3146" s="147" t="n">
        <x:v>10128596</x:v>
      </x:c>
      <x:c r="E3146" s="147" t="s">
        <x:v>56</x:v>
      </x:c>
    </x:row>
    <x:row r="3147" spans="1:17">
      <x:c r="D3147" s="147" t="n">
        <x:v>10128597</x:v>
      </x:c>
      <x:c r="E3147" s="147" t="s">
        <x:v>114</x:v>
      </x:c>
    </x:row>
    <x:row r="3148" spans="1:17">
      <x:c r="D3148" s="147" t="n">
        <x:v>10128598</x:v>
      </x:c>
      <x:c r="E3148" s="147" t="s">
        <x:v>132</x:v>
      </x:c>
    </x:row>
    <x:row r="3149" spans="1:17">
      <x:c r="D3149" s="147" t="n">
        <x:v>10128599</x:v>
      </x:c>
      <x:c r="E3149" s="147" t="s">
        <x:v>154</x:v>
      </x:c>
    </x:row>
    <x:row r="3150" spans="1:17">
      <x:c r="D3150" s="147" t="n">
        <x:v>10128600</x:v>
      </x:c>
      <x:c r="E3150" s="147" t="s">
        <x:v>114</x:v>
      </x:c>
    </x:row>
    <x:row r="3151" spans="1:17">
      <x:c r="D3151" s="147" t="n">
        <x:v>10128579</x:v>
      </x:c>
      <x:c r="E3151" s="147" t="s">
        <x:v>154</x:v>
      </x:c>
    </x:row>
    <x:row r="3152" spans="1:17">
      <x:c r="D3152" s="147" t="n">
        <x:v>10128580</x:v>
      </x:c>
      <x:c r="E3152" s="147" t="s">
        <x:v>114</x:v>
      </x:c>
    </x:row>
    <x:row r="3153" spans="1:17">
      <x:c r="D3153" s="147" t="n">
        <x:v>10128581</x:v>
      </x:c>
      <x:c r="E3153" s="147" t="s">
        <x:v>114</x:v>
      </x:c>
    </x:row>
    <x:row r="3154" spans="1:17">
      <x:c r="D3154" s="147" t="n">
        <x:v>10128582</x:v>
      </x:c>
      <x:c r="E3154" s="147" t="s">
        <x:v>132</x:v>
      </x:c>
    </x:row>
    <x:row r="3155" spans="1:17">
      <x:c r="D3155" s="147" t="n">
        <x:v>10128595</x:v>
      </x:c>
      <x:c r="E3155" s="147" t="s">
        <x:v>132</x:v>
      </x:c>
    </x:row>
    <x:row r="3156" spans="1:17">
      <x:c r="D3156" s="147" t="n">
        <x:v>10128596</x:v>
      </x:c>
      <x:c r="E3156" s="147" t="s">
        <x:v>56</x:v>
      </x:c>
    </x:row>
    <x:row r="3157" spans="1:17">
      <x:c r="D3157" s="147" t="n">
        <x:v>10128597</x:v>
      </x:c>
      <x:c r="E3157" s="147" t="s">
        <x:v>114</x:v>
      </x:c>
    </x:row>
    <x:row r="3158" spans="1:17">
      <x:c r="D3158" s="147" t="n">
        <x:v>10128598</x:v>
      </x:c>
      <x:c r="E3158" s="147" t="s">
        <x:v>132</x:v>
      </x:c>
    </x:row>
    <x:row r="3159" spans="1:17">
      <x:c r="D3159" s="147" t="n">
        <x:v>10128599</x:v>
      </x:c>
      <x:c r="E3159" s="147" t="s">
        <x:v>154</x:v>
      </x:c>
    </x:row>
    <x:row r="3160" spans="1:17">
      <x:c r="D3160" s="147" t="n">
        <x:v>10128600</x:v>
      </x:c>
      <x:c r="E3160" s="147" t="s">
        <x:v>114</x:v>
      </x:c>
    </x:row>
    <x:row r="3161" spans="1:17">
      <x:c r="D3161" s="147" t="n">
        <x:v>10128579</x:v>
      </x:c>
      <x:c r="E3161" s="147" t="s">
        <x:v>154</x:v>
      </x:c>
    </x:row>
    <x:row r="3162" spans="1:17">
      <x:c r="D3162" s="147" t="n">
        <x:v>10128580</x:v>
      </x:c>
      <x:c r="E3162" s="147" t="s">
        <x:v>114</x:v>
      </x:c>
    </x:row>
    <x:row r="3163" spans="1:17">
      <x:c r="D3163" s="147" t="n">
        <x:v>10128581</x:v>
      </x:c>
      <x:c r="E3163" s="147" t="s">
        <x:v>114</x:v>
      </x:c>
    </x:row>
    <x:row r="3164" spans="1:17">
      <x:c r="D3164" s="147" t="n">
        <x:v>10128582</x:v>
      </x:c>
      <x:c r="E3164" s="147" t="s">
        <x:v>132</x:v>
      </x:c>
    </x:row>
    <x:row r="3165" spans="1:17">
      <x:c r="D3165" s="147" t="n">
        <x:v>10128595</x:v>
      </x:c>
      <x:c r="E3165" s="147" t="s">
        <x:v>132</x:v>
      </x:c>
    </x:row>
    <x:row r="3166" spans="1:17">
      <x:c r="D3166" s="147" t="n">
        <x:v>10128596</x:v>
      </x:c>
      <x:c r="E3166" s="147" t="s">
        <x:v>56</x:v>
      </x:c>
    </x:row>
    <x:row r="3167" spans="1:17">
      <x:c r="D3167" s="147" t="n">
        <x:v>10128597</x:v>
      </x:c>
      <x:c r="E3167" s="147" t="s">
        <x:v>114</x:v>
      </x:c>
    </x:row>
    <x:row r="3168" spans="1:17">
      <x:c r="D3168" s="147" t="n">
        <x:v>10128598</x:v>
      </x:c>
      <x:c r="E3168" s="147" t="s">
        <x:v>132</x:v>
      </x:c>
    </x:row>
    <x:row r="3169" spans="1:17">
      <x:c r="D3169" s="147" t="n">
        <x:v>10128599</x:v>
      </x:c>
      <x:c r="E3169" s="147" t="s">
        <x:v>154</x:v>
      </x:c>
    </x:row>
    <x:row r="3170" spans="1:17">
      <x:c r="D3170" s="147" t="n">
        <x:v>10128600</x:v>
      </x:c>
      <x:c r="E3170" s="147" t="s">
        <x:v>114</x:v>
      </x:c>
    </x:row>
    <x:row r="3171" spans="1:17">
      <x:c r="D3171" s="147" t="n">
        <x:v>10128579</x:v>
      </x:c>
      <x:c r="E3171" s="147" t="s">
        <x:v>154</x:v>
      </x:c>
    </x:row>
    <x:row r="3172" spans="1:17">
      <x:c r="D3172" s="147" t="n">
        <x:v>10128580</x:v>
      </x:c>
      <x:c r="E3172" s="147" t="s">
        <x:v>114</x:v>
      </x:c>
    </x:row>
    <x:row r="3173" spans="1:17">
      <x:c r="D3173" s="147" t="n">
        <x:v>10128581</x:v>
      </x:c>
      <x:c r="E3173" s="147" t="s">
        <x:v>114</x:v>
      </x:c>
    </x:row>
    <x:row r="3174" spans="1:17">
      <x:c r="D3174" s="147" t="n">
        <x:v>10128582</x:v>
      </x:c>
      <x:c r="E3174" s="147" t="s">
        <x:v>132</x:v>
      </x:c>
    </x:row>
    <x:row r="3175" spans="1:17">
      <x:c r="D3175" s="147" t="n">
        <x:v>10128595</x:v>
      </x:c>
      <x:c r="E3175" s="147" t="s">
        <x:v>132</x:v>
      </x:c>
    </x:row>
    <x:row r="3176" spans="1:17">
      <x:c r="D3176" s="147" t="n">
        <x:v>10128596</x:v>
      </x:c>
      <x:c r="E3176" s="147" t="s">
        <x:v>56</x:v>
      </x:c>
    </x:row>
    <x:row r="3177" spans="1:17">
      <x:c r="D3177" s="147" t="n">
        <x:v>10128597</x:v>
      </x:c>
      <x:c r="E3177" s="147" t="s">
        <x:v>114</x:v>
      </x:c>
    </x:row>
    <x:row r="3178" spans="1:17">
      <x:c r="D3178" s="147" t="n">
        <x:v>10128598</x:v>
      </x:c>
      <x:c r="E3178" s="147" t="s">
        <x:v>132</x:v>
      </x:c>
    </x:row>
    <x:row r="3179" spans="1:17">
      <x:c r="D3179" s="147" t="n">
        <x:v>10128599</x:v>
      </x:c>
      <x:c r="E3179" s="147" t="s">
        <x:v>154</x:v>
      </x:c>
    </x:row>
    <x:row r="3180" spans="1:17">
      <x:c r="D3180" s="147" t="n">
        <x:v>10128600</x:v>
      </x:c>
      <x:c r="E3180" s="147" t="s">
        <x:v>114</x:v>
      </x:c>
    </x:row>
    <x:row r="3181" spans="1:17">
      <x:c r="D3181" s="147" t="n">
        <x:v>10128579</x:v>
      </x:c>
      <x:c r="E3181" s="147" t="s">
        <x:v>154</x:v>
      </x:c>
    </x:row>
    <x:row r="3182" spans="1:17">
      <x:c r="D3182" s="147" t="n">
        <x:v>10128580</x:v>
      </x:c>
      <x:c r="E3182" s="147" t="s">
        <x:v>114</x:v>
      </x:c>
    </x:row>
    <x:row r="3183" spans="1:17">
      <x:c r="D3183" s="147" t="n">
        <x:v>10128581</x:v>
      </x:c>
      <x:c r="E3183" s="147" t="s">
        <x:v>114</x:v>
      </x:c>
    </x:row>
    <x:row r="3184" spans="1:17">
      <x:c r="D3184" s="147" t="n">
        <x:v>10128582</x:v>
      </x:c>
      <x:c r="E3184" s="147" t="s">
        <x:v>132</x:v>
      </x:c>
    </x:row>
    <x:row r="3185" spans="1:17">
      <x:c r="D3185" s="147" t="n">
        <x:v>10128595</x:v>
      </x:c>
      <x:c r="E3185" s="147" t="s">
        <x:v>132</x:v>
      </x:c>
    </x:row>
    <x:row r="3186" spans="1:17">
      <x:c r="D3186" s="147" t="n">
        <x:v>10128596</x:v>
      </x:c>
      <x:c r="E3186" s="147" t="s">
        <x:v>56</x:v>
      </x:c>
    </x:row>
    <x:row r="3187" spans="1:17">
      <x:c r="D3187" s="147" t="n">
        <x:v>10128597</x:v>
      </x:c>
      <x:c r="E3187" s="147" t="s">
        <x:v>114</x:v>
      </x:c>
    </x:row>
    <x:row r="3188" spans="1:17">
      <x:c r="D3188" s="147" t="n">
        <x:v>10128598</x:v>
      </x:c>
      <x:c r="E3188" s="147" t="s">
        <x:v>132</x:v>
      </x:c>
    </x:row>
    <x:row r="3189" spans="1:17">
      <x:c r="D3189" s="147" t="n">
        <x:v>10128599</x:v>
      </x:c>
      <x:c r="E3189" s="147" t="s">
        <x:v>154</x:v>
      </x:c>
    </x:row>
    <x:row r="3190" spans="1:17">
      <x:c r="D3190" s="147" t="n">
        <x:v>10128600</x:v>
      </x:c>
      <x:c r="E3190" s="147" t="s">
        <x:v>114</x:v>
      </x:c>
    </x:row>
    <x:row r="3191" spans="1:17">
      <x:c r="D3191" s="147" t="n">
        <x:v>10128579</x:v>
      </x:c>
      <x:c r="E3191" s="147" t="s">
        <x:v>154</x:v>
      </x:c>
    </x:row>
    <x:row r="3192" spans="1:17">
      <x:c r="D3192" s="147" t="n">
        <x:v>10128580</x:v>
      </x:c>
      <x:c r="E3192" s="147" t="s">
        <x:v>114</x:v>
      </x:c>
    </x:row>
    <x:row r="3193" spans="1:17">
      <x:c r="D3193" s="147" t="n">
        <x:v>10128581</x:v>
      </x:c>
      <x:c r="E3193" s="147" t="s">
        <x:v>114</x:v>
      </x:c>
    </x:row>
    <x:row r="3194" spans="1:17">
      <x:c r="D3194" s="147" t="n">
        <x:v>10128582</x:v>
      </x:c>
      <x:c r="E3194" s="147" t="s">
        <x:v>132</x:v>
      </x:c>
    </x:row>
    <x:row r="3195" spans="1:17">
      <x:c r="D3195" s="147" t="n">
        <x:v>10128595</x:v>
      </x:c>
      <x:c r="E3195" s="147" t="s">
        <x:v>132</x:v>
      </x:c>
    </x:row>
    <x:row r="3196" spans="1:17">
      <x:c r="D3196" s="147" t="n">
        <x:v>10128596</x:v>
      </x:c>
      <x:c r="E3196" s="147" t="s">
        <x:v>56</x:v>
      </x:c>
    </x:row>
    <x:row r="3197" spans="1:17">
      <x:c r="D3197" s="147" t="n">
        <x:v>10128597</x:v>
      </x:c>
      <x:c r="E3197" s="147" t="s">
        <x:v>114</x:v>
      </x:c>
    </x:row>
    <x:row r="3198" spans="1:17">
      <x:c r="D3198" s="147" t="n">
        <x:v>10128598</x:v>
      </x:c>
      <x:c r="E3198" s="147" t="s">
        <x:v>132</x:v>
      </x:c>
    </x:row>
    <x:row r="3199" spans="1:17">
      <x:c r="D3199" s="147" t="n">
        <x:v>10128599</x:v>
      </x:c>
      <x:c r="E3199" s="147" t="s">
        <x:v>154</x:v>
      </x:c>
    </x:row>
    <x:row r="3200" spans="1:17">
      <x:c r="D3200" s="147" t="n">
        <x:v>10128600</x:v>
      </x:c>
      <x:c r="E3200" s="147" t="s">
        <x:v>114</x:v>
      </x:c>
    </x:row>
    <x:row r="3201" spans="1:17">
      <x:c r="D3201" s="147" t="n">
        <x:v>10128579</x:v>
      </x:c>
      <x:c r="E3201" s="147" t="s">
        <x:v>154</x:v>
      </x:c>
    </x:row>
    <x:row r="3202" spans="1:17">
      <x:c r="D3202" s="147" t="n">
        <x:v>10128580</x:v>
      </x:c>
      <x:c r="E3202" s="147" t="s">
        <x:v>114</x:v>
      </x:c>
    </x:row>
    <x:row r="3203" spans="1:17">
      <x:c r="D3203" s="147" t="n">
        <x:v>10128581</x:v>
      </x:c>
      <x:c r="E3203" s="147" t="s">
        <x:v>114</x:v>
      </x:c>
    </x:row>
    <x:row r="3204" spans="1:17">
      <x:c r="D3204" s="147" t="n">
        <x:v>10128582</x:v>
      </x:c>
      <x:c r="E3204" s="147" t="s">
        <x:v>132</x:v>
      </x:c>
    </x:row>
    <x:row r="3205" spans="1:17">
      <x:c r="D3205" s="147" t="n">
        <x:v>10128595</x:v>
      </x:c>
      <x:c r="E3205" s="147" t="s">
        <x:v>132</x:v>
      </x:c>
    </x:row>
    <x:row r="3206" spans="1:17">
      <x:c r="D3206" s="147" t="n">
        <x:v>10128596</x:v>
      </x:c>
      <x:c r="E3206" s="147" t="s">
        <x:v>56</x:v>
      </x:c>
    </x:row>
    <x:row r="3207" spans="1:17">
      <x:c r="D3207" s="147" t="n">
        <x:v>10128597</x:v>
      </x:c>
      <x:c r="E3207" s="147" t="s">
        <x:v>114</x:v>
      </x:c>
    </x:row>
    <x:row r="3208" spans="1:17">
      <x:c r="D3208" s="147" t="n">
        <x:v>10128598</x:v>
      </x:c>
      <x:c r="E3208" s="147" t="s">
        <x:v>132</x:v>
      </x:c>
    </x:row>
    <x:row r="3209" spans="1:17">
      <x:c r="D3209" s="147" t="n">
        <x:v>10128599</x:v>
      </x:c>
      <x:c r="E3209" s="147" t="s">
        <x:v>154</x:v>
      </x:c>
    </x:row>
    <x:row r="3210" spans="1:17">
      <x:c r="D3210" s="147" t="n">
        <x:v>10128600</x:v>
      </x:c>
      <x:c r="E3210" s="147" t="s">
        <x:v>114</x:v>
      </x:c>
    </x:row>
    <x:row r="3211" spans="1:17">
      <x:c r="D3211" s="147" t="n">
        <x:v>10128579</x:v>
      </x:c>
      <x:c r="E3211" s="147" t="s">
        <x:v>154</x:v>
      </x:c>
    </x:row>
    <x:row r="3212" spans="1:17">
      <x:c r="D3212" s="147" t="n">
        <x:v>10128580</x:v>
      </x:c>
      <x:c r="E3212" s="147" t="s">
        <x:v>114</x:v>
      </x:c>
    </x:row>
    <x:row r="3213" spans="1:17">
      <x:c r="D3213" s="147" t="n">
        <x:v>10128581</x:v>
      </x:c>
      <x:c r="E3213" s="147" t="s">
        <x:v>114</x:v>
      </x:c>
    </x:row>
    <x:row r="3214" spans="1:17">
      <x:c r="D3214" s="147" t="n">
        <x:v>10128582</x:v>
      </x:c>
      <x:c r="E3214" s="147" t="s">
        <x:v>132</x:v>
      </x:c>
    </x:row>
    <x:row r="3215" spans="1:17">
      <x:c r="D3215" s="147" t="n">
        <x:v>10128595</x:v>
      </x:c>
      <x:c r="E3215" s="147" t="s">
        <x:v>132</x:v>
      </x:c>
    </x:row>
    <x:row r="3216" spans="1:17">
      <x:c r="D3216" s="147" t="n">
        <x:v>10128596</x:v>
      </x:c>
      <x:c r="E3216" s="147" t="s">
        <x:v>56</x:v>
      </x:c>
    </x:row>
    <x:row r="3217" spans="1:17">
      <x:c r="D3217" s="147" t="n">
        <x:v>10128597</x:v>
      </x:c>
      <x:c r="E3217" s="147" t="s">
        <x:v>114</x:v>
      </x:c>
    </x:row>
    <x:row r="3218" spans="1:17">
      <x:c r="D3218" s="147" t="n">
        <x:v>10128598</x:v>
      </x:c>
      <x:c r="E3218" s="147" t="s">
        <x:v>132</x:v>
      </x:c>
    </x:row>
    <x:row r="3219" spans="1:17">
      <x:c r="D3219" s="147" t="n">
        <x:v>10128599</x:v>
      </x:c>
      <x:c r="E3219" s="147" t="s">
        <x:v>154</x:v>
      </x:c>
    </x:row>
    <x:row r="3220" spans="1:17">
      <x:c r="D3220" s="147" t="n">
        <x:v>10128600</x:v>
      </x:c>
      <x:c r="E3220" s="147" t="s">
        <x:v>114</x:v>
      </x:c>
    </x:row>
    <x:row r="3221" spans="1:17">
      <x:c r="D3221" s="147" t="n">
        <x:v>10128579</x:v>
      </x:c>
      <x:c r="E3221" s="147" t="s">
        <x:v>154</x:v>
      </x:c>
    </x:row>
    <x:row r="3222" spans="1:17">
      <x:c r="D3222" s="147" t="n">
        <x:v>10128580</x:v>
      </x:c>
      <x:c r="E3222" s="147" t="s">
        <x:v>114</x:v>
      </x:c>
    </x:row>
    <x:row r="3223" spans="1:17">
      <x:c r="D3223" s="147" t="n">
        <x:v>10128581</x:v>
      </x:c>
      <x:c r="E3223" s="147" t="s">
        <x:v>114</x:v>
      </x:c>
    </x:row>
    <x:row r="3224" spans="1:17">
      <x:c r="D3224" s="147" t="n">
        <x:v>10128582</x:v>
      </x:c>
      <x:c r="E3224" s="147" t="s">
        <x:v>132</x:v>
      </x:c>
    </x:row>
    <x:row r="3225" spans="1:17">
      <x:c r="D3225" s="147" t="n">
        <x:v>10128595</x:v>
      </x:c>
      <x:c r="E3225" s="147" t="s">
        <x:v>132</x:v>
      </x:c>
    </x:row>
    <x:row r="3226" spans="1:17">
      <x:c r="D3226" s="147" t="n">
        <x:v>10128596</x:v>
      </x:c>
      <x:c r="E3226" s="147" t="s">
        <x:v>56</x:v>
      </x:c>
    </x:row>
    <x:row r="3227" spans="1:17">
      <x:c r="D3227" s="147" t="n">
        <x:v>10128597</x:v>
      </x:c>
      <x:c r="E3227" s="147" t="s">
        <x:v>114</x:v>
      </x:c>
    </x:row>
    <x:row r="3228" spans="1:17">
      <x:c r="D3228" s="147" t="n">
        <x:v>10128598</x:v>
      </x:c>
      <x:c r="E3228" s="147" t="s">
        <x:v>132</x:v>
      </x:c>
    </x:row>
    <x:row r="3229" spans="1:17">
      <x:c r="D3229" s="147" t="n">
        <x:v>10128599</x:v>
      </x:c>
      <x:c r="E3229" s="147" t="s">
        <x:v>154</x:v>
      </x:c>
    </x:row>
    <x:row r="3230" spans="1:17">
      <x:c r="D3230" s="147" t="n">
        <x:v>10128600</x:v>
      </x:c>
      <x:c r="E3230" s="147" t="s">
        <x:v>114</x:v>
      </x:c>
    </x:row>
    <x:row r="3231" spans="1:17">
      <x:c r="D3231" s="147" t="n">
        <x:v>10128579</x:v>
      </x:c>
      <x:c r="E3231" s="147" t="s">
        <x:v>154</x:v>
      </x:c>
    </x:row>
    <x:row r="3232" spans="1:17">
      <x:c r="D3232" s="147" t="n">
        <x:v>10128580</x:v>
      </x:c>
      <x:c r="E3232" s="147" t="s">
        <x:v>114</x:v>
      </x:c>
    </x:row>
    <x:row r="3233" spans="1:17">
      <x:c r="D3233" s="147" t="n">
        <x:v>10128581</x:v>
      </x:c>
      <x:c r="E3233" s="147" t="s">
        <x:v>114</x:v>
      </x:c>
    </x:row>
    <x:row r="3234" spans="1:17">
      <x:c r="D3234" s="147" t="n">
        <x:v>10128582</x:v>
      </x:c>
      <x:c r="E3234" s="147" t="s">
        <x:v>132</x:v>
      </x:c>
    </x:row>
    <x:row r="3235" spans="1:17">
      <x:c r="D3235" s="147" t="n">
        <x:v>10128595</x:v>
      </x:c>
      <x:c r="E3235" s="147" t="s">
        <x:v>132</x:v>
      </x:c>
    </x:row>
    <x:row r="3236" spans="1:17">
      <x:c r="D3236" s="147" t="n">
        <x:v>10128596</x:v>
      </x:c>
      <x:c r="E3236" s="147" t="s">
        <x:v>56</x:v>
      </x:c>
    </x:row>
    <x:row r="3237" spans="1:17">
      <x:c r="D3237" s="147" t="n">
        <x:v>10128597</x:v>
      </x:c>
      <x:c r="E3237" s="147" t="s">
        <x:v>114</x:v>
      </x:c>
    </x:row>
    <x:row r="3238" spans="1:17">
      <x:c r="D3238" s="147" t="n">
        <x:v>10128598</x:v>
      </x:c>
      <x:c r="E3238" s="147" t="s">
        <x:v>132</x:v>
      </x:c>
    </x:row>
    <x:row r="3239" spans="1:17">
      <x:c r="D3239" s="147" t="n">
        <x:v>10128599</x:v>
      </x:c>
      <x:c r="E3239" s="147" t="s">
        <x:v>154</x:v>
      </x:c>
    </x:row>
    <x:row r="3240" spans="1:17">
      <x:c r="D3240" s="147" t="n">
        <x:v>10128600</x:v>
      </x:c>
      <x:c r="E3240" s="147" t="s">
        <x:v>114</x:v>
      </x:c>
    </x:row>
    <x:row r="3241" spans="1:17">
      <x:c r="D3241" s="147" t="n">
        <x:v>10128579</x:v>
      </x:c>
      <x:c r="E3241" s="147" t="s">
        <x:v>154</x:v>
      </x:c>
    </x:row>
    <x:row r="3242" spans="1:17">
      <x:c r="D3242" s="147" t="n">
        <x:v>10128580</x:v>
      </x:c>
      <x:c r="E3242" s="147" t="s">
        <x:v>114</x:v>
      </x:c>
    </x:row>
    <x:row r="3243" spans="1:17">
      <x:c r="D3243" s="147" t="n">
        <x:v>10128581</x:v>
      </x:c>
      <x:c r="E3243" s="147" t="s">
        <x:v>114</x:v>
      </x:c>
    </x:row>
    <x:row r="3244" spans="1:17">
      <x:c r="D3244" s="147" t="n">
        <x:v>10128582</x:v>
      </x:c>
      <x:c r="E3244" s="147" t="s">
        <x:v>132</x:v>
      </x:c>
    </x:row>
    <x:row r="3245" spans="1:17">
      <x:c r="D3245" s="147" t="n">
        <x:v>10128595</x:v>
      </x:c>
      <x:c r="E3245" s="147" t="s">
        <x:v>132</x:v>
      </x:c>
    </x:row>
    <x:row r="3246" spans="1:17">
      <x:c r="D3246" s="147" t="n">
        <x:v>10128596</x:v>
      </x:c>
      <x:c r="E3246" s="147" t="s">
        <x:v>56</x:v>
      </x:c>
    </x:row>
    <x:row r="3247" spans="1:17">
      <x:c r="D3247" s="147" t="n">
        <x:v>10128597</x:v>
      </x:c>
      <x:c r="E3247" s="147" t="s">
        <x:v>114</x:v>
      </x:c>
    </x:row>
    <x:row r="3248" spans="1:17">
      <x:c r="D3248" s="147" t="n">
        <x:v>10128598</x:v>
      </x:c>
      <x:c r="E3248" s="147" t="s">
        <x:v>132</x:v>
      </x:c>
    </x:row>
    <x:row r="3249" spans="1:17">
      <x:c r="D3249" s="147" t="n">
        <x:v>10128599</x:v>
      </x:c>
      <x:c r="E3249" s="147" t="s">
        <x:v>154</x:v>
      </x:c>
    </x:row>
    <x:row r="3250" spans="1:17">
      <x:c r="D3250" s="147" t="n">
        <x:v>10128600</x:v>
      </x:c>
      <x:c r="E3250" s="147" t="s">
        <x:v>114</x:v>
      </x:c>
    </x:row>
    <x:row r="3251" spans="1:17">
      <x:c r="D3251" s="147" t="n">
        <x:v>10128579</x:v>
      </x:c>
      <x:c r="E3251" s="147" t="s">
        <x:v>154</x:v>
      </x:c>
    </x:row>
    <x:row r="3252" spans="1:17">
      <x:c r="D3252" s="147" t="n">
        <x:v>10128580</x:v>
      </x:c>
      <x:c r="E3252" s="147" t="s">
        <x:v>114</x:v>
      </x:c>
    </x:row>
    <x:row r="3253" spans="1:17">
      <x:c r="D3253" s="147" t="n">
        <x:v>10128581</x:v>
      </x:c>
      <x:c r="E3253" s="147" t="s">
        <x:v>114</x:v>
      </x:c>
    </x:row>
    <x:row r="3254" spans="1:17">
      <x:c r="D3254" s="147" t="n">
        <x:v>10128582</x:v>
      </x:c>
      <x:c r="E3254" s="147" t="s">
        <x:v>132</x:v>
      </x:c>
    </x:row>
    <x:row r="3255" spans="1:17">
      <x:c r="D3255" s="147" t="n">
        <x:v>10128595</x:v>
      </x:c>
      <x:c r="E3255" s="147" t="s">
        <x:v>132</x:v>
      </x:c>
    </x:row>
    <x:row r="3256" spans="1:17">
      <x:c r="D3256" s="147" t="n">
        <x:v>10128596</x:v>
      </x:c>
      <x:c r="E3256" s="147" t="s">
        <x:v>56</x:v>
      </x:c>
    </x:row>
    <x:row r="3257" spans="1:17">
      <x:c r="D3257" s="147" t="n">
        <x:v>10128597</x:v>
      </x:c>
      <x:c r="E3257" s="147" t="s">
        <x:v>114</x:v>
      </x:c>
    </x:row>
    <x:row r="3258" spans="1:17">
      <x:c r="D3258" s="147" t="n">
        <x:v>10128598</x:v>
      </x:c>
      <x:c r="E3258" s="147" t="s">
        <x:v>132</x:v>
      </x:c>
    </x:row>
    <x:row r="3259" spans="1:17">
      <x:c r="D3259" s="147" t="n">
        <x:v>10128599</x:v>
      </x:c>
      <x:c r="E3259" s="147" t="s">
        <x:v>154</x:v>
      </x:c>
    </x:row>
    <x:row r="3260" spans="1:17">
      <x:c r="D3260" s="147" t="n">
        <x:v>10128600</x:v>
      </x:c>
      <x:c r="E3260" s="147" t="s">
        <x:v>114</x:v>
      </x:c>
    </x:row>
    <x:row r="3261" spans="1:17">
      <x:c r="D3261" s="147" t="n">
        <x:v>10128579</x:v>
      </x:c>
      <x:c r="E3261" s="147" t="s">
        <x:v>154</x:v>
      </x:c>
    </x:row>
    <x:row r="3262" spans="1:17">
      <x:c r="D3262" s="147" t="n">
        <x:v>10128580</x:v>
      </x:c>
      <x:c r="E3262" s="147" t="s">
        <x:v>114</x:v>
      </x:c>
    </x:row>
    <x:row r="3263" spans="1:17">
      <x:c r="D3263" s="147" t="n">
        <x:v>10128581</x:v>
      </x:c>
      <x:c r="E3263" s="147" t="s">
        <x:v>114</x:v>
      </x:c>
    </x:row>
    <x:row r="3264" spans="1:17">
      <x:c r="D3264" s="147" t="n">
        <x:v>10128582</x:v>
      </x:c>
      <x:c r="E3264" s="147" t="s">
        <x:v>132</x:v>
      </x:c>
    </x:row>
    <x:row r="3265" spans="1:17">
      <x:c r="D3265" s="147" t="n">
        <x:v>10128595</x:v>
      </x:c>
      <x:c r="E3265" s="147" t="s">
        <x:v>132</x:v>
      </x:c>
    </x:row>
    <x:row r="3266" spans="1:17">
      <x:c r="D3266" s="147" t="n">
        <x:v>10128596</x:v>
      </x:c>
      <x:c r="E3266" s="147" t="s">
        <x:v>56</x:v>
      </x:c>
    </x:row>
    <x:row r="3267" spans="1:17">
      <x:c r="D3267" s="147" t="n">
        <x:v>10128597</x:v>
      </x:c>
      <x:c r="E3267" s="147" t="s">
        <x:v>114</x:v>
      </x:c>
    </x:row>
    <x:row r="3268" spans="1:17">
      <x:c r="D3268" s="147" t="n">
        <x:v>10128598</x:v>
      </x:c>
      <x:c r="E3268" s="147" t="s">
        <x:v>132</x:v>
      </x:c>
    </x:row>
    <x:row r="3269" spans="1:17">
      <x:c r="D3269" s="147" t="n">
        <x:v>10128599</x:v>
      </x:c>
      <x:c r="E3269" s="147" t="s">
        <x:v>154</x:v>
      </x:c>
    </x:row>
    <x:row r="3270" spans="1:17">
      <x:c r="D3270" s="147" t="n">
        <x:v>10128600</x:v>
      </x:c>
      <x:c r="E3270" s="147" t="s">
        <x:v>114</x:v>
      </x:c>
    </x:row>
    <x:row r="3271" spans="1:17">
      <x:c r="D3271" s="147" t="n">
        <x:v>10128579</x:v>
      </x:c>
      <x:c r="E3271" s="147" t="s">
        <x:v>154</x:v>
      </x:c>
    </x:row>
    <x:row r="3272" spans="1:17">
      <x:c r="D3272" s="147" t="n">
        <x:v>10128580</x:v>
      </x:c>
      <x:c r="E3272" s="147" t="s">
        <x:v>114</x:v>
      </x:c>
    </x:row>
    <x:row r="3273" spans="1:17">
      <x:c r="D3273" s="147" t="n">
        <x:v>10128581</x:v>
      </x:c>
      <x:c r="E3273" s="147" t="s">
        <x:v>114</x:v>
      </x:c>
    </x:row>
    <x:row r="3274" spans="1:17">
      <x:c r="D3274" s="147" t="n">
        <x:v>10128582</x:v>
      </x:c>
      <x:c r="E3274" s="147" t="s">
        <x:v>132</x:v>
      </x:c>
    </x:row>
    <x:row r="3275" spans="1:17">
      <x:c r="D3275" s="147" t="n">
        <x:v>10128595</x:v>
      </x:c>
      <x:c r="E3275" s="147" t="s">
        <x:v>132</x:v>
      </x:c>
    </x:row>
    <x:row r="3276" spans="1:17">
      <x:c r="D3276" s="147" t="n">
        <x:v>10128596</x:v>
      </x:c>
      <x:c r="E3276" s="147" t="s">
        <x:v>56</x:v>
      </x:c>
    </x:row>
    <x:row r="3277" spans="1:17">
      <x:c r="D3277" s="147" t="n">
        <x:v>10128597</x:v>
      </x:c>
      <x:c r="E3277" s="147" t="s">
        <x:v>114</x:v>
      </x:c>
    </x:row>
    <x:row r="3278" spans="1:17">
      <x:c r="D3278" s="147" t="n">
        <x:v>10128598</x:v>
      </x:c>
      <x:c r="E3278" s="147" t="s">
        <x:v>132</x:v>
      </x:c>
    </x:row>
    <x:row r="3279" spans="1:17">
      <x:c r="D3279" s="147" t="n">
        <x:v>10128599</x:v>
      </x:c>
      <x:c r="E3279" s="147" t="s">
        <x:v>154</x:v>
      </x:c>
    </x:row>
    <x:row r="3280" spans="1:17">
      <x:c r="D3280" s="147" t="n">
        <x:v>10128600</x:v>
      </x:c>
      <x:c r="E3280" s="147" t="s">
        <x:v>114</x:v>
      </x:c>
    </x:row>
    <x:row r="3281" spans="1:17">
      <x:c r="D3281" s="147" t="n">
        <x:v>10128579</x:v>
      </x:c>
      <x:c r="E3281" s="147" t="s">
        <x:v>154</x:v>
      </x:c>
    </x:row>
    <x:row r="3282" spans="1:17">
      <x:c r="D3282" s="147" t="n">
        <x:v>10128580</x:v>
      </x:c>
      <x:c r="E3282" s="147" t="s">
        <x:v>114</x:v>
      </x:c>
    </x:row>
    <x:row r="3283" spans="1:17">
      <x:c r="D3283" s="147" t="n">
        <x:v>10128581</x:v>
      </x:c>
      <x:c r="E3283" s="147" t="s">
        <x:v>114</x:v>
      </x:c>
    </x:row>
    <x:row r="3284" spans="1:17">
      <x:c r="D3284" s="147" t="n">
        <x:v>10128582</x:v>
      </x:c>
      <x:c r="E3284" s="147" t="s">
        <x:v>132</x:v>
      </x:c>
    </x:row>
    <x:row r="3285" spans="1:17">
      <x:c r="D3285" s="147" t="n">
        <x:v>10128595</x:v>
      </x:c>
      <x:c r="E3285" s="147" t="s">
        <x:v>132</x:v>
      </x:c>
    </x:row>
    <x:row r="3286" spans="1:17">
      <x:c r="D3286" s="147" t="n">
        <x:v>10128596</x:v>
      </x:c>
      <x:c r="E3286" s="147" t="s">
        <x:v>56</x:v>
      </x:c>
    </x:row>
    <x:row r="3287" spans="1:17">
      <x:c r="D3287" s="147" t="n">
        <x:v>10128597</x:v>
      </x:c>
      <x:c r="E3287" s="147" t="s">
        <x:v>114</x:v>
      </x:c>
    </x:row>
    <x:row r="3288" spans="1:17">
      <x:c r="D3288" s="147" t="n">
        <x:v>10128598</x:v>
      </x:c>
      <x:c r="E3288" s="147" t="s">
        <x:v>132</x:v>
      </x:c>
    </x:row>
    <x:row r="3289" spans="1:17">
      <x:c r="D3289" s="147" t="n">
        <x:v>10128599</x:v>
      </x:c>
      <x:c r="E3289" s="147" t="s">
        <x:v>154</x:v>
      </x:c>
    </x:row>
    <x:row r="3290" spans="1:17">
      <x:c r="D3290" s="147" t="n">
        <x:v>10128600</x:v>
      </x:c>
      <x:c r="E3290" s="147" t="s">
        <x:v>114</x:v>
      </x:c>
    </x:row>
    <x:row r="3291" spans="1:17">
      <x:c r="D3291" s="147" t="n">
        <x:v>10128579</x:v>
      </x:c>
      <x:c r="E3291" s="147" t="s">
        <x:v>154</x:v>
      </x:c>
    </x:row>
    <x:row r="3292" spans="1:17">
      <x:c r="D3292" s="147" t="n">
        <x:v>10128580</x:v>
      </x:c>
      <x:c r="E3292" s="147" t="s">
        <x:v>114</x:v>
      </x:c>
    </x:row>
    <x:row r="3293" spans="1:17">
      <x:c r="D3293" s="147" t="n">
        <x:v>10128581</x:v>
      </x:c>
      <x:c r="E3293" s="147" t="s">
        <x:v>114</x:v>
      </x:c>
    </x:row>
    <x:row r="3294" spans="1:17">
      <x:c r="D3294" s="147" t="n">
        <x:v>10128582</x:v>
      </x:c>
      <x:c r="E3294" s="147" t="s">
        <x:v>132</x:v>
      </x:c>
    </x:row>
    <x:row r="3295" spans="1:17">
      <x:c r="D3295" s="147" t="n">
        <x:v>10128595</x:v>
      </x:c>
      <x:c r="E3295" s="147" t="s">
        <x:v>132</x:v>
      </x:c>
    </x:row>
    <x:row r="3296" spans="1:17">
      <x:c r="D3296" s="147" t="n">
        <x:v>10128596</x:v>
      </x:c>
      <x:c r="E3296" s="147" t="s">
        <x:v>56</x:v>
      </x:c>
    </x:row>
    <x:row r="3297" spans="1:17">
      <x:c r="D3297" s="147" t="n">
        <x:v>10128597</x:v>
      </x:c>
      <x:c r="E3297" s="147" t="s">
        <x:v>114</x:v>
      </x:c>
    </x:row>
    <x:row r="3298" spans="1:17">
      <x:c r="D3298" s="147" t="n">
        <x:v>10128598</x:v>
      </x:c>
      <x:c r="E3298" s="147" t="s">
        <x:v>132</x:v>
      </x:c>
    </x:row>
    <x:row r="3299" spans="1:17">
      <x:c r="D3299" s="147" t="n">
        <x:v>10128599</x:v>
      </x:c>
      <x:c r="E3299" s="147" t="s">
        <x:v>154</x:v>
      </x:c>
    </x:row>
    <x:row r="3300" spans="1:17">
      <x:c r="D3300" s="147" t="n">
        <x:v>10128600</x:v>
      </x:c>
      <x:c r="E3300" s="147" t="s">
        <x:v>114</x:v>
      </x:c>
    </x:row>
    <x:row r="3301" spans="1:17">
      <x:c r="D3301" s="147" t="n">
        <x:v>10128579</x:v>
      </x:c>
      <x:c r="E3301" s="147" t="s">
        <x:v>154</x:v>
      </x:c>
    </x:row>
    <x:row r="3302" spans="1:17">
      <x:c r="D3302" s="147" t="n">
        <x:v>10128580</x:v>
      </x:c>
      <x:c r="E3302" s="147" t="s">
        <x:v>114</x:v>
      </x:c>
    </x:row>
    <x:row r="3303" spans="1:17">
      <x:c r="D3303" s="147" t="n">
        <x:v>10128581</x:v>
      </x:c>
      <x:c r="E3303" s="147" t="s">
        <x:v>114</x:v>
      </x:c>
    </x:row>
    <x:row r="3304" spans="1:17">
      <x:c r="D3304" s="147" t="n">
        <x:v>10128582</x:v>
      </x:c>
      <x:c r="E3304" s="147" t="s">
        <x:v>132</x:v>
      </x:c>
    </x:row>
    <x:row r="3305" spans="1:17">
      <x:c r="D3305" s="147" t="n">
        <x:v>10128595</x:v>
      </x:c>
      <x:c r="E3305" s="147" t="s">
        <x:v>132</x:v>
      </x:c>
    </x:row>
    <x:row r="3306" spans="1:17">
      <x:c r="D3306" s="147" t="n">
        <x:v>10128596</x:v>
      </x:c>
      <x:c r="E3306" s="147" t="s">
        <x:v>56</x:v>
      </x:c>
    </x:row>
    <x:row r="3307" spans="1:17">
      <x:c r="D3307" s="147" t="n">
        <x:v>10128597</x:v>
      </x:c>
      <x:c r="E3307" s="147" t="s">
        <x:v>114</x:v>
      </x:c>
    </x:row>
    <x:row r="3308" spans="1:17">
      <x:c r="D3308" s="147" t="n">
        <x:v>10128598</x:v>
      </x:c>
      <x:c r="E3308" s="147" t="s">
        <x:v>132</x:v>
      </x:c>
    </x:row>
    <x:row r="3309" spans="1:17">
      <x:c r="D3309" s="147" t="n">
        <x:v>10128599</x:v>
      </x:c>
      <x:c r="E3309" s="147" t="s">
        <x:v>154</x:v>
      </x:c>
    </x:row>
    <x:row r="3310" spans="1:17">
      <x:c r="D3310" s="147" t="n">
        <x:v>10128600</x:v>
      </x:c>
      <x:c r="E3310" s="147" t="s">
        <x:v>114</x:v>
      </x:c>
    </x:row>
    <x:row r="3311" spans="1:17">
      <x:c r="D3311" s="147" t="n">
        <x:v>10128579</x:v>
      </x:c>
      <x:c r="E3311" s="147" t="s">
        <x:v>154</x:v>
      </x:c>
    </x:row>
    <x:row r="3312" spans="1:17">
      <x:c r="D3312" s="147" t="n">
        <x:v>10128580</x:v>
      </x:c>
      <x:c r="E3312" s="147" t="s">
        <x:v>114</x:v>
      </x:c>
    </x:row>
    <x:row r="3313" spans="1:17">
      <x:c r="D3313" s="147" t="n">
        <x:v>10128581</x:v>
      </x:c>
      <x:c r="E3313" s="147" t="s">
        <x:v>114</x:v>
      </x:c>
    </x:row>
    <x:row r="3314" spans="1:17">
      <x:c r="D3314" s="147" t="n">
        <x:v>10128582</x:v>
      </x:c>
      <x:c r="E3314" s="147" t="s">
        <x:v>132</x:v>
      </x:c>
    </x:row>
    <x:row r="3315" spans="1:17">
      <x:c r="D3315" s="147" t="n">
        <x:v>10128595</x:v>
      </x:c>
      <x:c r="E3315" s="147" t="s">
        <x:v>132</x:v>
      </x:c>
    </x:row>
    <x:row r="3316" spans="1:17">
      <x:c r="D3316" s="147" t="n">
        <x:v>10128596</x:v>
      </x:c>
      <x:c r="E3316" s="147" t="s">
        <x:v>56</x:v>
      </x:c>
    </x:row>
    <x:row r="3317" spans="1:17">
      <x:c r="D3317" s="147" t="n">
        <x:v>10128597</x:v>
      </x:c>
      <x:c r="E3317" s="147" t="s">
        <x:v>114</x:v>
      </x:c>
    </x:row>
    <x:row r="3318" spans="1:17">
      <x:c r="D3318" s="147" t="n">
        <x:v>10128598</x:v>
      </x:c>
      <x:c r="E3318" s="147" t="s">
        <x:v>132</x:v>
      </x:c>
    </x:row>
    <x:row r="3319" spans="1:17">
      <x:c r="D3319" s="147" t="n">
        <x:v>10128599</x:v>
      </x:c>
      <x:c r="E3319" s="147" t="s">
        <x:v>154</x:v>
      </x:c>
    </x:row>
    <x:row r="3320" spans="1:17">
      <x:c r="D3320" s="147" t="n">
        <x:v>10128600</x:v>
      </x:c>
      <x:c r="E3320" s="147" t="s">
        <x:v>114</x:v>
      </x:c>
    </x:row>
    <x:row r="3321" spans="1:17">
      <x:c r="D3321" s="147" t="n">
        <x:v>10128579</x:v>
      </x:c>
      <x:c r="E3321" s="147" t="s">
        <x:v>154</x:v>
      </x:c>
    </x:row>
    <x:row r="3322" spans="1:17">
      <x:c r="D3322" s="147" t="n">
        <x:v>10128580</x:v>
      </x:c>
      <x:c r="E3322" s="147" t="s">
        <x:v>114</x:v>
      </x:c>
    </x:row>
    <x:row r="3323" spans="1:17">
      <x:c r="D3323" s="147" t="n">
        <x:v>10128581</x:v>
      </x:c>
      <x:c r="E3323" s="147" t="s">
        <x:v>114</x:v>
      </x:c>
    </x:row>
    <x:row r="3324" spans="1:17">
      <x:c r="D3324" s="147" t="n">
        <x:v>10128582</x:v>
      </x:c>
      <x:c r="E3324" s="147" t="s">
        <x:v>132</x:v>
      </x:c>
    </x:row>
    <x:row r="3325" spans="1:17">
      <x:c r="D3325" s="147" t="n">
        <x:v>10128595</x:v>
      </x:c>
      <x:c r="E3325" s="147" t="s">
        <x:v>132</x:v>
      </x:c>
    </x:row>
    <x:row r="3326" spans="1:17">
      <x:c r="D3326" s="147" t="n">
        <x:v>10128596</x:v>
      </x:c>
      <x:c r="E3326" s="147" t="s">
        <x:v>56</x:v>
      </x:c>
    </x:row>
    <x:row r="3327" spans="1:17">
      <x:c r="D3327" s="147" t="n">
        <x:v>10128597</x:v>
      </x:c>
      <x:c r="E3327" s="147" t="s">
        <x:v>114</x:v>
      </x:c>
    </x:row>
    <x:row r="3328" spans="1:17">
      <x:c r="D3328" s="147" t="n">
        <x:v>10128598</x:v>
      </x:c>
      <x:c r="E3328" s="147" t="s">
        <x:v>132</x:v>
      </x:c>
    </x:row>
    <x:row r="3329" spans="1:17">
      <x:c r="D3329" s="147" t="n">
        <x:v>10128599</x:v>
      </x:c>
      <x:c r="E3329" s="147" t="s">
        <x:v>154</x:v>
      </x:c>
    </x:row>
    <x:row r="3330" spans="1:17">
      <x:c r="D3330" s="147" t="n">
        <x:v>10128600</x:v>
      </x:c>
      <x:c r="E3330" s="147" t="s">
        <x:v>114</x:v>
      </x:c>
    </x:row>
    <x:row r="3331" spans="1:17">
      <x:c r="D3331" s="147" t="n">
        <x:v>10128579</x:v>
      </x:c>
      <x:c r="E3331" s="147" t="s">
        <x:v>154</x:v>
      </x:c>
    </x:row>
    <x:row r="3332" spans="1:17">
      <x:c r="D3332" s="147" t="n">
        <x:v>10128580</x:v>
      </x:c>
      <x:c r="E3332" s="147" t="s">
        <x:v>114</x:v>
      </x:c>
    </x:row>
    <x:row r="3333" spans="1:17">
      <x:c r="D3333" s="147" t="n">
        <x:v>10128581</x:v>
      </x:c>
      <x:c r="E3333" s="147" t="s">
        <x:v>114</x:v>
      </x:c>
    </x:row>
    <x:row r="3334" spans="1:17">
      <x:c r="D3334" s="147" t="n">
        <x:v>10128582</x:v>
      </x:c>
      <x:c r="E3334" s="147" t="s">
        <x:v>132</x:v>
      </x:c>
    </x:row>
    <x:row r="3335" spans="1:17">
      <x:c r="D3335" s="147" t="n">
        <x:v>10128595</x:v>
      </x:c>
      <x:c r="E3335" s="147" t="s">
        <x:v>132</x:v>
      </x:c>
    </x:row>
    <x:row r="3336" spans="1:17">
      <x:c r="D3336" s="147" t="n">
        <x:v>10128596</x:v>
      </x:c>
      <x:c r="E3336" s="147" t="s">
        <x:v>56</x:v>
      </x:c>
    </x:row>
    <x:row r="3337" spans="1:17">
      <x:c r="D3337" s="147" t="n">
        <x:v>10128597</x:v>
      </x:c>
      <x:c r="E3337" s="147" t="s">
        <x:v>114</x:v>
      </x:c>
    </x:row>
    <x:row r="3338" spans="1:17">
      <x:c r="D3338" s="147" t="n">
        <x:v>10128598</x:v>
      </x:c>
      <x:c r="E3338" s="147" t="s">
        <x:v>132</x:v>
      </x:c>
    </x:row>
    <x:row r="3339" spans="1:17">
      <x:c r="D3339" s="147" t="n">
        <x:v>10128599</x:v>
      </x:c>
      <x:c r="E3339" s="147" t="s">
        <x:v>154</x:v>
      </x:c>
    </x:row>
    <x:row r="3340" spans="1:17">
      <x:c r="D3340" s="147" t="n">
        <x:v>10128600</x:v>
      </x:c>
      <x:c r="E3340" s="147" t="s">
        <x:v>114</x:v>
      </x:c>
    </x:row>
    <x:row r="3341" spans="1:17">
      <x:c r="D3341" s="147" t="n">
        <x:v>10128579</x:v>
      </x:c>
      <x:c r="E3341" s="147" t="s">
        <x:v>154</x:v>
      </x:c>
    </x:row>
    <x:row r="3342" spans="1:17">
      <x:c r="D3342" s="147" t="n">
        <x:v>10128580</x:v>
      </x:c>
      <x:c r="E3342" s="147" t="s">
        <x:v>114</x:v>
      </x:c>
    </x:row>
    <x:row r="3343" spans="1:17">
      <x:c r="D3343" s="147" t="n">
        <x:v>10128581</x:v>
      </x:c>
      <x:c r="E3343" s="147" t="s">
        <x:v>114</x:v>
      </x:c>
    </x:row>
    <x:row r="3344" spans="1:17">
      <x:c r="D3344" s="147" t="n">
        <x:v>10128582</x:v>
      </x:c>
      <x:c r="E3344" s="147" t="s">
        <x:v>132</x:v>
      </x:c>
    </x:row>
    <x:row r="3345" spans="1:17">
      <x:c r="D3345" s="147" t="n">
        <x:v>10128595</x:v>
      </x:c>
      <x:c r="E3345" s="147" t="s">
        <x:v>132</x:v>
      </x:c>
    </x:row>
    <x:row r="3346" spans="1:17">
      <x:c r="D3346" s="147" t="n">
        <x:v>10128596</x:v>
      </x:c>
      <x:c r="E3346" s="147" t="s">
        <x:v>56</x:v>
      </x:c>
    </x:row>
    <x:row r="3347" spans="1:17">
      <x:c r="D3347" s="147" t="n">
        <x:v>10128597</x:v>
      </x:c>
      <x:c r="E3347" s="147" t="s">
        <x:v>114</x:v>
      </x:c>
    </x:row>
    <x:row r="3348" spans="1:17">
      <x:c r="D3348" s="147" t="n">
        <x:v>10128598</x:v>
      </x:c>
      <x:c r="E3348" s="147" t="s">
        <x:v>132</x:v>
      </x:c>
    </x:row>
    <x:row r="3349" spans="1:17">
      <x:c r="D3349" s="147" t="n">
        <x:v>10128599</x:v>
      </x:c>
      <x:c r="E3349" s="147" t="s">
        <x:v>154</x:v>
      </x:c>
    </x:row>
    <x:row r="3350" spans="1:17">
      <x:c r="D3350" s="147" t="n">
        <x:v>10128600</x:v>
      </x:c>
      <x:c r="E3350" s="147" t="s">
        <x:v>114</x:v>
      </x:c>
    </x:row>
    <x:row r="3351" spans="1:17">
      <x:c r="D3351" s="147" t="n">
        <x:v>10128579</x:v>
      </x:c>
      <x:c r="E3351" s="147" t="s">
        <x:v>154</x:v>
      </x:c>
    </x:row>
    <x:row r="3352" spans="1:17">
      <x:c r="D3352" s="147" t="n">
        <x:v>10128580</x:v>
      </x:c>
      <x:c r="E3352" s="147" t="s">
        <x:v>114</x:v>
      </x:c>
    </x:row>
    <x:row r="3353" spans="1:17">
      <x:c r="D3353" s="147" t="n">
        <x:v>10128581</x:v>
      </x:c>
      <x:c r="E3353" s="147" t="s">
        <x:v>114</x:v>
      </x:c>
    </x:row>
    <x:row r="3354" spans="1:17">
      <x:c r="D3354" s="147" t="n">
        <x:v>10128582</x:v>
      </x:c>
      <x:c r="E3354" s="147" t="s">
        <x:v>132</x:v>
      </x:c>
    </x:row>
    <x:row r="3355" spans="1:17">
      <x:c r="D3355" s="147" t="n">
        <x:v>10128595</x:v>
      </x:c>
      <x:c r="E3355" s="147" t="s">
        <x:v>132</x:v>
      </x:c>
    </x:row>
    <x:row r="3356" spans="1:17">
      <x:c r="D3356" s="147" t="n">
        <x:v>10128596</x:v>
      </x:c>
      <x:c r="E3356" s="147" t="s">
        <x:v>56</x:v>
      </x:c>
    </x:row>
    <x:row r="3357" spans="1:17">
      <x:c r="D3357" s="147" t="n">
        <x:v>10128597</x:v>
      </x:c>
      <x:c r="E3357" s="147" t="s">
        <x:v>114</x:v>
      </x:c>
    </x:row>
    <x:row r="3358" spans="1:17">
      <x:c r="D3358" s="147" t="n">
        <x:v>10128598</x:v>
      </x:c>
      <x:c r="E3358" s="147" t="s">
        <x:v>132</x:v>
      </x:c>
    </x:row>
    <x:row r="3359" spans="1:17">
      <x:c r="D3359" s="147" t="n">
        <x:v>10128599</x:v>
      </x:c>
      <x:c r="E3359" s="147" t="s">
        <x:v>154</x:v>
      </x:c>
    </x:row>
    <x:row r="3360" spans="1:17">
      <x:c r="D3360" s="147" t="n">
        <x:v>10128600</x:v>
      </x:c>
      <x:c r="E3360" s="147" t="s">
        <x:v>114</x:v>
      </x:c>
    </x:row>
    <x:row r="3361" spans="1:17">
      <x:c r="D3361" s="147" t="n">
        <x:v>10128579</x:v>
      </x:c>
      <x:c r="E3361" s="147" t="s">
        <x:v>154</x:v>
      </x:c>
    </x:row>
    <x:row r="3362" spans="1:17">
      <x:c r="D3362" s="147" t="n">
        <x:v>10128580</x:v>
      </x:c>
      <x:c r="E3362" s="147" t="s">
        <x:v>114</x:v>
      </x:c>
    </x:row>
    <x:row r="3363" spans="1:17">
      <x:c r="D3363" s="147" t="n">
        <x:v>10128581</x:v>
      </x:c>
      <x:c r="E3363" s="147" t="s">
        <x:v>114</x:v>
      </x:c>
    </x:row>
    <x:row r="3364" spans="1:17">
      <x:c r="D3364" s="147" t="n">
        <x:v>10128582</x:v>
      </x:c>
      <x:c r="E3364" s="147" t="s">
        <x:v>132</x:v>
      </x:c>
    </x:row>
    <x:row r="3365" spans="1:17">
      <x:c r="D3365" s="147" t="n">
        <x:v>10128595</x:v>
      </x:c>
      <x:c r="E3365" s="147" t="s">
        <x:v>132</x:v>
      </x:c>
    </x:row>
    <x:row r="3366" spans="1:17">
      <x:c r="D3366" s="147" t="n">
        <x:v>10128596</x:v>
      </x:c>
      <x:c r="E3366" s="147" t="s">
        <x:v>56</x:v>
      </x:c>
    </x:row>
    <x:row r="3367" spans="1:17">
      <x:c r="D3367" s="147" t="n">
        <x:v>10128597</x:v>
      </x:c>
      <x:c r="E3367" s="147" t="s">
        <x:v>114</x:v>
      </x:c>
    </x:row>
    <x:row r="3368" spans="1:17">
      <x:c r="D3368" s="147" t="n">
        <x:v>10128598</x:v>
      </x:c>
      <x:c r="E3368" s="147" t="s">
        <x:v>132</x:v>
      </x:c>
    </x:row>
    <x:row r="3369" spans="1:17">
      <x:c r="D3369" s="147" t="n">
        <x:v>10128599</x:v>
      </x:c>
      <x:c r="E3369" s="147" t="s">
        <x:v>154</x:v>
      </x:c>
    </x:row>
    <x:row r="3370" spans="1:17">
      <x:c r="D3370" s="147" t="n">
        <x:v>10128600</x:v>
      </x:c>
      <x:c r="E3370" s="147" t="s">
        <x:v>114</x:v>
      </x:c>
    </x:row>
    <x:row r="3371" spans="1:17">
      <x:c r="D3371" s="147" t="n">
        <x:v>10128579</x:v>
      </x:c>
      <x:c r="E3371" s="147" t="s">
        <x:v>154</x:v>
      </x:c>
    </x:row>
    <x:row r="3372" spans="1:17">
      <x:c r="D3372" s="147" t="n">
        <x:v>10128580</x:v>
      </x:c>
      <x:c r="E3372" s="147" t="s">
        <x:v>114</x:v>
      </x:c>
    </x:row>
    <x:row r="3373" spans="1:17">
      <x:c r="D3373" s="147" t="n">
        <x:v>10128581</x:v>
      </x:c>
      <x:c r="E3373" s="147" t="s">
        <x:v>114</x:v>
      </x:c>
    </x:row>
    <x:row r="3374" spans="1:17">
      <x:c r="D3374" s="147" t="n">
        <x:v>10128582</x:v>
      </x:c>
      <x:c r="E3374" s="147" t="s">
        <x:v>132</x:v>
      </x:c>
    </x:row>
    <x:row r="3375" spans="1:17">
      <x:c r="D3375" s="147" t="n">
        <x:v>10128595</x:v>
      </x:c>
      <x:c r="E3375" s="147" t="s">
        <x:v>132</x:v>
      </x:c>
    </x:row>
    <x:row r="3376" spans="1:17">
      <x:c r="D3376" s="147" t="n">
        <x:v>10128596</x:v>
      </x:c>
      <x:c r="E3376" s="147" t="s">
        <x:v>56</x:v>
      </x:c>
    </x:row>
    <x:row r="3377" spans="1:17">
      <x:c r="D3377" s="147" t="n">
        <x:v>10128597</x:v>
      </x:c>
      <x:c r="E3377" s="147" t="s">
        <x:v>114</x:v>
      </x:c>
    </x:row>
    <x:row r="3378" spans="1:17">
      <x:c r="D3378" s="147" t="n">
        <x:v>10128598</x:v>
      </x:c>
      <x:c r="E3378" s="147" t="s">
        <x:v>132</x:v>
      </x:c>
    </x:row>
    <x:row r="3379" spans="1:17">
      <x:c r="D3379" s="147" t="n">
        <x:v>10128599</x:v>
      </x:c>
      <x:c r="E3379" s="147" t="s">
        <x:v>154</x:v>
      </x:c>
    </x:row>
    <x:row r="3380" spans="1:17">
      <x:c r="D3380" s="147" t="n">
        <x:v>10128600</x:v>
      </x:c>
      <x:c r="E3380" s="147" t="s">
        <x:v>114</x:v>
      </x:c>
    </x:row>
    <x:row r="3381" spans="1:17">
      <x:c r="D3381" s="147" t="n">
        <x:v>10128579</x:v>
      </x:c>
      <x:c r="E3381" s="147" t="s">
        <x:v>154</x:v>
      </x:c>
    </x:row>
    <x:row r="3382" spans="1:17">
      <x:c r="D3382" s="147" t="n">
        <x:v>10128580</x:v>
      </x:c>
      <x:c r="E3382" s="147" t="s">
        <x:v>114</x:v>
      </x:c>
    </x:row>
    <x:row r="3383" spans="1:17">
      <x:c r="D3383" s="147" t="n">
        <x:v>10128581</x:v>
      </x:c>
      <x:c r="E3383" s="147" t="s">
        <x:v>114</x:v>
      </x:c>
    </x:row>
    <x:row r="3384" spans="1:17">
      <x:c r="D3384" s="147" t="n">
        <x:v>10128582</x:v>
      </x:c>
      <x:c r="E3384" s="147" t="s">
        <x:v>132</x:v>
      </x:c>
    </x:row>
    <x:row r="3385" spans="1:17">
      <x:c r="D3385" s="147" t="n">
        <x:v>10128595</x:v>
      </x:c>
      <x:c r="E3385" s="147" t="s">
        <x:v>132</x:v>
      </x:c>
    </x:row>
    <x:row r="3386" spans="1:17">
      <x:c r="D3386" s="147" t="n">
        <x:v>10128596</x:v>
      </x:c>
      <x:c r="E3386" s="147" t="s">
        <x:v>56</x:v>
      </x:c>
    </x:row>
    <x:row r="3387" spans="1:17">
      <x:c r="D3387" s="147" t="n">
        <x:v>10128597</x:v>
      </x:c>
      <x:c r="E3387" s="147" t="s">
        <x:v>114</x:v>
      </x:c>
    </x:row>
    <x:row r="3388" spans="1:17">
      <x:c r="D3388" s="147" t="n">
        <x:v>10128598</x:v>
      </x:c>
      <x:c r="E3388" s="147" t="s">
        <x:v>132</x:v>
      </x:c>
    </x:row>
    <x:row r="3389" spans="1:17">
      <x:c r="D3389" s="147" t="n">
        <x:v>10128599</x:v>
      </x:c>
      <x:c r="E3389" s="147" t="s">
        <x:v>154</x:v>
      </x:c>
    </x:row>
    <x:row r="3390" spans="1:17">
      <x:c r="D3390" s="147" t="n">
        <x:v>10128600</x:v>
      </x:c>
      <x:c r="E3390" s="147" t="s">
        <x:v>114</x:v>
      </x:c>
    </x:row>
    <x:row r="3391" spans="1:17">
      <x:c r="D3391" s="147" t="n">
        <x:v>10128579</x:v>
      </x:c>
      <x:c r="E3391" s="147" t="s">
        <x:v>154</x:v>
      </x:c>
    </x:row>
    <x:row r="3392" spans="1:17">
      <x:c r="D3392" s="147" t="n">
        <x:v>10128580</x:v>
      </x:c>
      <x:c r="E3392" s="147" t="s">
        <x:v>114</x:v>
      </x:c>
    </x:row>
    <x:row r="3393" spans="1:17">
      <x:c r="D3393" s="147" t="n">
        <x:v>10128581</x:v>
      </x:c>
      <x:c r="E3393" s="147" t="s">
        <x:v>114</x:v>
      </x:c>
    </x:row>
    <x:row r="3394" spans="1:17">
      <x:c r="D3394" s="147" t="n">
        <x:v>10128582</x:v>
      </x:c>
      <x:c r="E3394" s="147" t="s">
        <x:v>132</x:v>
      </x:c>
    </x:row>
    <x:row r="3395" spans="1:17">
      <x:c r="D3395" s="147" t="n">
        <x:v>10128595</x:v>
      </x:c>
      <x:c r="E3395" s="147" t="s">
        <x:v>132</x:v>
      </x:c>
    </x:row>
    <x:row r="3396" spans="1:17">
      <x:c r="D3396" s="147" t="n">
        <x:v>10128596</x:v>
      </x:c>
      <x:c r="E3396" s="147" t="s">
        <x:v>56</x:v>
      </x:c>
    </x:row>
    <x:row r="3397" spans="1:17">
      <x:c r="D3397" s="147" t="n">
        <x:v>10128597</x:v>
      </x:c>
      <x:c r="E3397" s="147" t="s">
        <x:v>114</x:v>
      </x:c>
    </x:row>
    <x:row r="3398" spans="1:17">
      <x:c r="D3398" s="147" t="n">
        <x:v>10128598</x:v>
      </x:c>
      <x:c r="E3398" s="147" t="s">
        <x:v>132</x:v>
      </x:c>
    </x:row>
    <x:row r="3399" spans="1:17">
      <x:c r="D3399" s="147" t="n">
        <x:v>10128599</x:v>
      </x:c>
      <x:c r="E3399" s="147" t="s">
        <x:v>154</x:v>
      </x:c>
    </x:row>
    <x:row r="3400" spans="1:17">
      <x:c r="D3400" s="147" t="n">
        <x:v>10128600</x:v>
      </x:c>
      <x:c r="E3400" s="147" t="s">
        <x:v>114</x:v>
      </x:c>
    </x:row>
    <x:row r="3401" spans="1:17">
      <x:c r="D3401" s="147" t="n">
        <x:v>10128579</x:v>
      </x:c>
      <x:c r="E3401" s="147" t="s">
        <x:v>154</x:v>
      </x:c>
    </x:row>
    <x:row r="3402" spans="1:17">
      <x:c r="D3402" s="147" t="n">
        <x:v>10128580</x:v>
      </x:c>
      <x:c r="E3402" s="147" t="s">
        <x:v>114</x:v>
      </x:c>
    </x:row>
    <x:row r="3403" spans="1:17">
      <x:c r="D3403" s="147" t="n">
        <x:v>10128581</x:v>
      </x:c>
      <x:c r="E3403" s="147" t="s">
        <x:v>114</x:v>
      </x:c>
    </x:row>
    <x:row r="3404" spans="1:17">
      <x:c r="D3404" s="147" t="n">
        <x:v>10128582</x:v>
      </x:c>
      <x:c r="E3404" s="147" t="s">
        <x:v>132</x:v>
      </x:c>
    </x:row>
    <x:row r="3405" spans="1:17">
      <x:c r="D3405" s="147" t="n">
        <x:v>10128595</x:v>
      </x:c>
      <x:c r="E3405" s="147" t="s">
        <x:v>132</x:v>
      </x:c>
    </x:row>
    <x:row r="3406" spans="1:17">
      <x:c r="D3406" s="147" t="n">
        <x:v>10128596</x:v>
      </x:c>
      <x:c r="E3406" s="147" t="s">
        <x:v>56</x:v>
      </x:c>
    </x:row>
    <x:row r="3407" spans="1:17">
      <x:c r="D3407" s="147" t="n">
        <x:v>10128597</x:v>
      </x:c>
      <x:c r="E3407" s="147" t="s">
        <x:v>114</x:v>
      </x:c>
    </x:row>
    <x:row r="3408" spans="1:17">
      <x:c r="D3408" s="147" t="n">
        <x:v>10128598</x:v>
      </x:c>
      <x:c r="E3408" s="147" t="s">
        <x:v>132</x:v>
      </x:c>
    </x:row>
    <x:row r="3409" spans="1:17">
      <x:c r="D3409" s="147" t="n">
        <x:v>10128599</x:v>
      </x:c>
      <x:c r="E3409" s="147" t="s">
        <x:v>154</x:v>
      </x:c>
    </x:row>
    <x:row r="3410" spans="1:17">
      <x:c r="D3410" s="147" t="n">
        <x:v>10128600</x:v>
      </x:c>
      <x:c r="E3410" s="147" t="s">
        <x:v>114</x:v>
      </x:c>
    </x:row>
    <x:row r="3411" spans="1:17">
      <x:c r="D3411" s="147" t="n">
        <x:v>10128579</x:v>
      </x:c>
      <x:c r="E3411" s="147" t="s">
        <x:v>154</x:v>
      </x:c>
    </x:row>
    <x:row r="3412" spans="1:17">
      <x:c r="D3412" s="147" t="n">
        <x:v>10128580</x:v>
      </x:c>
      <x:c r="E3412" s="147" t="s">
        <x:v>114</x:v>
      </x:c>
    </x:row>
    <x:row r="3413" spans="1:17">
      <x:c r="D3413" s="147" t="n">
        <x:v>10128581</x:v>
      </x:c>
      <x:c r="E3413" s="147" t="s">
        <x:v>114</x:v>
      </x:c>
    </x:row>
    <x:row r="3414" spans="1:17">
      <x:c r="D3414" s="147" t="n">
        <x:v>10128582</x:v>
      </x:c>
      <x:c r="E3414" s="147" t="s">
        <x:v>132</x:v>
      </x:c>
    </x:row>
    <x:row r="3415" spans="1:17">
      <x:c r="D3415" s="147" t="n">
        <x:v>10128595</x:v>
      </x:c>
      <x:c r="E3415" s="147" t="s">
        <x:v>132</x:v>
      </x:c>
    </x:row>
    <x:row r="3416" spans="1:17">
      <x:c r="D3416" s="147" t="n">
        <x:v>10128596</x:v>
      </x:c>
      <x:c r="E3416" s="147" t="s">
        <x:v>56</x:v>
      </x:c>
    </x:row>
    <x:row r="3417" spans="1:17">
      <x:c r="D3417" s="147" t="n">
        <x:v>10128597</x:v>
      </x:c>
      <x:c r="E3417" s="147" t="s">
        <x:v>114</x:v>
      </x:c>
    </x:row>
    <x:row r="3418" spans="1:17">
      <x:c r="D3418" s="147" t="n">
        <x:v>10128598</x:v>
      </x:c>
      <x:c r="E3418" s="147" t="s">
        <x:v>132</x:v>
      </x:c>
    </x:row>
    <x:row r="3419" spans="1:17">
      <x:c r="D3419" s="147" t="n">
        <x:v>10128599</x:v>
      </x:c>
      <x:c r="E3419" s="147" t="s">
        <x:v>154</x:v>
      </x:c>
    </x:row>
    <x:row r="3420" spans="1:17">
      <x:c r="D3420" s="147" t="n">
        <x:v>10128600</x:v>
      </x:c>
      <x:c r="E3420" s="147" t="s">
        <x:v>114</x:v>
      </x:c>
    </x:row>
    <x:row r="3421" spans="1:17">
      <x:c r="D3421" s="147" t="n">
        <x:v>10128579</x:v>
      </x:c>
      <x:c r="E3421" s="147" t="s">
        <x:v>154</x:v>
      </x:c>
    </x:row>
    <x:row r="3422" spans="1:17">
      <x:c r="D3422" s="147" t="n">
        <x:v>10128580</x:v>
      </x:c>
      <x:c r="E3422" s="147" t="s">
        <x:v>114</x:v>
      </x:c>
    </x:row>
    <x:row r="3423" spans="1:17">
      <x:c r="D3423" s="147" t="n">
        <x:v>10128581</x:v>
      </x:c>
      <x:c r="E3423" s="147" t="s">
        <x:v>114</x:v>
      </x:c>
    </x:row>
    <x:row r="3424" spans="1:17">
      <x:c r="D3424" s="147" t="n">
        <x:v>10128582</x:v>
      </x:c>
      <x:c r="E3424" s="147" t="s">
        <x:v>132</x:v>
      </x:c>
    </x:row>
    <x:row r="3425" spans="1:17">
      <x:c r="D3425" s="147" t="n">
        <x:v>10128595</x:v>
      </x:c>
      <x:c r="E3425" s="147" t="s">
        <x:v>132</x:v>
      </x:c>
    </x:row>
    <x:row r="3426" spans="1:17">
      <x:c r="D3426" s="147" t="n">
        <x:v>10128596</x:v>
      </x:c>
      <x:c r="E3426" s="147" t="s">
        <x:v>56</x:v>
      </x:c>
    </x:row>
    <x:row r="3427" spans="1:17">
      <x:c r="D3427" s="147" t="n">
        <x:v>10128597</x:v>
      </x:c>
      <x:c r="E3427" s="147" t="s">
        <x:v>114</x:v>
      </x:c>
    </x:row>
    <x:row r="3428" spans="1:17">
      <x:c r="D3428" s="147" t="n">
        <x:v>10128598</x:v>
      </x:c>
      <x:c r="E3428" s="147" t="s">
        <x:v>132</x:v>
      </x:c>
    </x:row>
    <x:row r="3429" spans="1:17">
      <x:c r="D3429" s="147" t="n">
        <x:v>10128599</x:v>
      </x:c>
      <x:c r="E3429" s="147" t="s">
        <x:v>154</x:v>
      </x:c>
    </x:row>
    <x:row r="3430" spans="1:17">
      <x:c r="D3430" s="147" t="n">
        <x:v>10128600</x:v>
      </x:c>
      <x:c r="E3430" s="147" t="s">
        <x:v>114</x:v>
      </x:c>
    </x:row>
    <x:row r="3431" spans="1:17">
      <x:c r="D3431" s="147" t="n">
        <x:v>10128579</x:v>
      </x:c>
      <x:c r="E3431" s="147" t="s">
        <x:v>154</x:v>
      </x:c>
    </x:row>
    <x:row r="3432" spans="1:17">
      <x:c r="D3432" s="147" t="n">
        <x:v>10128580</x:v>
      </x:c>
      <x:c r="E3432" s="147" t="s">
        <x:v>114</x:v>
      </x:c>
    </x:row>
    <x:row r="3433" spans="1:17">
      <x:c r="D3433" s="147" t="n">
        <x:v>10128581</x:v>
      </x:c>
      <x:c r="E3433" s="147" t="s">
        <x:v>114</x:v>
      </x:c>
    </x:row>
    <x:row r="3434" spans="1:17">
      <x:c r="D3434" s="147" t="n">
        <x:v>10128582</x:v>
      </x:c>
      <x:c r="E3434" s="147" t="s">
        <x:v>132</x:v>
      </x:c>
    </x:row>
    <x:row r="3435" spans="1:17">
      <x:c r="D3435" s="147" t="n">
        <x:v>10128595</x:v>
      </x:c>
      <x:c r="E3435" s="147" t="s">
        <x:v>132</x:v>
      </x:c>
    </x:row>
    <x:row r="3436" spans="1:17">
      <x:c r="D3436" s="147" t="n">
        <x:v>10128596</x:v>
      </x:c>
      <x:c r="E3436" s="147" t="s">
        <x:v>56</x:v>
      </x:c>
    </x:row>
    <x:row r="3437" spans="1:17">
      <x:c r="D3437" s="147" t="n">
        <x:v>10128597</x:v>
      </x:c>
      <x:c r="E3437" s="147" t="s">
        <x:v>114</x:v>
      </x:c>
    </x:row>
    <x:row r="3438" spans="1:17">
      <x:c r="D3438" s="147" t="n">
        <x:v>10128598</x:v>
      </x:c>
      <x:c r="E3438" s="147" t="s">
        <x:v>132</x:v>
      </x:c>
    </x:row>
    <x:row r="3439" spans="1:17">
      <x:c r="D3439" s="147" t="n">
        <x:v>10128599</x:v>
      </x:c>
      <x:c r="E3439" s="147" t="s">
        <x:v>154</x:v>
      </x:c>
    </x:row>
    <x:row r="3440" spans="1:17">
      <x:c r="D3440" s="147" t="n">
        <x:v>10128600</x:v>
      </x:c>
      <x:c r="E3440" s="147" t="s">
        <x:v>114</x:v>
      </x:c>
    </x:row>
    <x:row r="3441" spans="1:17">
      <x:c r="D3441" s="147" t="n">
        <x:v>10128579</x:v>
      </x:c>
      <x:c r="E3441" s="147" t="s">
        <x:v>154</x:v>
      </x:c>
    </x:row>
    <x:row r="3442" spans="1:17">
      <x:c r="D3442" s="147" t="n">
        <x:v>10128580</x:v>
      </x:c>
      <x:c r="E3442" s="147" t="s">
        <x:v>114</x:v>
      </x:c>
    </x:row>
    <x:row r="3443" spans="1:17">
      <x:c r="D3443" s="147" t="n">
        <x:v>10128581</x:v>
      </x:c>
      <x:c r="E3443" s="147" t="s">
        <x:v>114</x:v>
      </x:c>
    </x:row>
    <x:row r="3444" spans="1:17">
      <x:c r="D3444" s="147" t="n">
        <x:v>10128582</x:v>
      </x:c>
      <x:c r="E3444" s="147" t="s">
        <x:v>132</x:v>
      </x:c>
    </x:row>
    <x:row r="3445" spans="1:17">
      <x:c r="D3445" s="147" t="n">
        <x:v>10128595</x:v>
      </x:c>
      <x:c r="E3445" s="147" t="s">
        <x:v>132</x:v>
      </x:c>
    </x:row>
    <x:row r="3446" spans="1:17">
      <x:c r="D3446" s="147" t="n">
        <x:v>10128596</x:v>
      </x:c>
      <x:c r="E3446" s="147" t="s">
        <x:v>56</x:v>
      </x:c>
    </x:row>
    <x:row r="3447" spans="1:17">
      <x:c r="D3447" s="147" t="n">
        <x:v>10128597</x:v>
      </x:c>
      <x:c r="E3447" s="147" t="s">
        <x:v>114</x:v>
      </x:c>
    </x:row>
    <x:row r="3448" spans="1:17">
      <x:c r="D3448" s="147" t="n">
        <x:v>10128598</x:v>
      </x:c>
      <x:c r="E3448" s="147" t="s">
        <x:v>132</x:v>
      </x:c>
    </x:row>
    <x:row r="3449" spans="1:17">
      <x:c r="D3449" s="147" t="n">
        <x:v>10128599</x:v>
      </x:c>
      <x:c r="E3449" s="147" t="s">
        <x:v>154</x:v>
      </x:c>
    </x:row>
    <x:row r="3450" spans="1:17">
      <x:c r="D3450" s="147" t="n">
        <x:v>10128600</x:v>
      </x:c>
      <x:c r="E3450" s="147" t="s">
        <x:v>114</x:v>
      </x:c>
    </x:row>
  </x:sheetData>
  <x:printOptions horizontalCentered="0" verticalCentered="0" headings="0" gridLines="0"/>
  <x:pageMargins left="0.7" right="0.7" top="0.75" bottom="0.75" header="0.3" footer="0.3"/>
  <x:pageSetup paperSize="9" scale="100" pageOrder="downThenOver" orientation="portrait" blackAndWhite="0" draft="0" cellComments="none" errors="displayed" r:id="rId1"/>
  <x:headerFooter/>
  <x:tableParts count="0"/>
</x:worksheet>
</file>

<file path=docProps/app.xml><?xml version="1.0" encoding="utf-8"?>
<ap:Properties xmlns:vt="http://schemas.openxmlformats.org/officeDocument/2006/docPropsVTypes" xmlns:ap="http://schemas.openxmlformats.org/officeDocument/2006/extended-properties">
  <ap:Application>Microsoft Excel</ap:Application>
  <ap:DocSecurity>0</ap:DocSecurity>
  <ap:ScaleCrop>false</ap:ScaleCrop>
  <ap:HeadingPairs>
    <vt:vector baseType="variant" size="4">
      <vt:variant>
        <vt:lpstr>Worksheets</vt:lpstr>
      </vt:variant>
      <vt:variant>
        <vt:i4>2</vt:i4>
      </vt:variant>
      <vt:variant>
        <vt:lpstr>Named Ranges</vt:lpstr>
      </vt:variant>
      <vt:variant>
        <vt:i4>56</vt:i4>
      </vt:variant>
    </vt:vector>
  </ap:HeadingPairs>
  <ap:TitlesOfParts>
    <vt:vector baseType="lpstr" size="58">
      <vt:lpstr>Quote</vt:lpstr>
      <vt:lpstr>MasterData</vt:lpstr>
      <vt:lpstr>Quote!Print_Area</vt:lpstr>
      <vt:lpstr>Quote!Print_Titles</vt:lpstr>
      <vt:lpstr>MasterData!Print_Area</vt:lpstr>
      <vt:lpstr>MasterData!Print_Titles</vt:lpstr>
      <vt:lpstr>BCCEmailId</vt:lpstr>
      <vt:lpstr>BuyerRemarks</vt:lpstr>
      <vt:lpstr>CompanyAddress</vt:lpstr>
      <vt:lpstr>CompanyName</vt:lpstr>
      <vt:lpstr>Currency</vt:lpstr>
      <vt:lpstr>Days</vt:lpstr>
      <vt:lpstr>Discount_All</vt:lpstr>
      <vt:lpstr>Enquiry_ID</vt:lpstr>
      <vt:lpstr>Enquiry_To_Vendor_ID</vt:lpstr>
      <vt:lpstr>ErrorMessage</vt:lpstr>
      <vt:lpstr>GrandTotal</vt:lpstr>
      <vt:lpstr>HeaderID</vt:lpstr>
      <vt:lpstr>ItemID</vt:lpstr>
      <vt:lpstr>ItemListEndRow</vt:lpstr>
      <vt:lpstr>ItemListStartupRow</vt:lpstr>
      <vt:lpstr>ItemSubTotal</vt:lpstr>
      <vt:lpstr>ItemSubTotalTitle</vt:lpstr>
      <vt:lpstr>LoggedInEmailID</vt:lpstr>
      <vt:lpstr>LoggedInPwd</vt:lpstr>
      <vt:lpstr>OtherChargesLastRow</vt:lpstr>
      <vt:lpstr>OtherChargesStartRow</vt:lpstr>
      <vt:lpstr>PackingInstruction</vt:lpstr>
      <vt:lpstr>Payment_Terms</vt:lpstr>
      <vt:lpstr>PortOfDelivery</vt:lpstr>
      <vt:lpstr>QuoteBefore</vt:lpstr>
      <vt:lpstr>QuoteID</vt:lpstr>
      <vt:lpstr>QuoteSubject</vt:lpstr>
      <vt:lpstr>ReqNumber</vt:lpstr>
      <vt:lpstr>RequestForQuoteID</vt:lpstr>
      <vt:lpstr>RFQ_ID</vt:lpstr>
      <vt:lpstr>RFQCategory</vt:lpstr>
      <vt:lpstr>RFQDate</vt:lpstr>
      <vt:lpstr>RFQFileType</vt:lpstr>
      <vt:lpstr>RFQNumber</vt:lpstr>
      <vt:lpstr>SentDate</vt:lpstr>
      <vt:lpstr>SentIndex</vt:lpstr>
      <vt:lpstr>ToEmailID</vt:lpstr>
      <vt:lpstr>ToEmailPwd</vt:lpstr>
      <vt:lpstr>VAT_All</vt:lpstr>
      <vt:lpstr>Vendor_ID</vt:lpstr>
      <vt:lpstr>VendorAddress</vt:lpstr>
      <vt:lpstr>VendorAddressCity</vt:lpstr>
      <vt:lpstr>VendorAddressEmail</vt:lpstr>
      <vt:lpstr>VendorAddressPhone</vt:lpstr>
      <vt:lpstr>VendorEmailID</vt:lpstr>
      <vt:lpstr>VendorID</vt:lpstr>
      <vt:lpstr>VendorName</vt:lpstr>
      <vt:lpstr>VendorReference</vt:lpstr>
      <vt:lpstr>VendorRemarks</vt:lpstr>
      <vt:lpstr>VesselETA</vt:lpstr>
      <vt:lpstr>VesselName</vt:lpstr>
      <vt:lpstr>SubItemTotal</vt:lpstr>
    </vt:vector>
  </ap:TitlesOfParts>
  <ap:LinksUpToDate>false</ap:LinksUpToDate>
  <ap:SharedDoc>false</ap:SharedDoc>
  <ap:HyperlinksChanged>false</ap:HyperlinksChanged>
  <ap:AppVersion>16.0300</ap:AppVersion>
</ap:Properties>
</file>

<file path=docProps/core.xml><?xml version="1.0" encoding="utf-8"?>
<coreProperties xmlns:dc="http://purl.org/dc/elements/1.1/" xmlns:dcterms="http://purl.org/dc/terms/" xmlns:xsi="http://www.w3.org/2001/XMLSchema-instance" xmlns="http://schemas.openxmlformats.org/package/2006/metadata/core-properties">
  <dc:creator>PAL2G</dc:creator>
  <lastModifiedBy>Tocy Tom (MariApps)</lastModifiedBy>
  <lastPrinted>2014-10-25T06:19:58.0000000Z</lastPrinted>
  <dcterms:created xsi:type="dcterms:W3CDTF">2014-10-25T04:06:27.0000000Z</dcterms:created>
  <dcterms:modified xsi:type="dcterms:W3CDTF">2019-08-09T06:39:30.8358934Z</dcterms:modified>
</coreProperties>
</file>