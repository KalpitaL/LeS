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xcalcf="http://schemas.microsoft.com/office/spreadsheetml/2018/calcfeature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fileVersion appName="xl" lastEdited="7" lowestEdited="5" rupBuild="21328" codeName="{74837BA0-65D6-932C-5D65-3B800EBDC722}"/>
  <workbookPr codeName="ThisWorkbook" defaultThemeVersion="124226"/>
  <bookViews>
    <workbookView xWindow="65416" yWindow="65416" windowWidth="21840" windowHeight="13140" activeTab="0"/>
  </bookViews>
  <sheets>
    <sheet name="Quote" sheetId="1" r:id="rId1"/>
    <sheet name="MasterData" sheetId="2" state="hidden" r:id="rId2"/>
    <sheet name="Hide Unhide" sheetId="8" r:id="rId3"/>
  </sheets>
  <definedNames>
    <definedName name="_xlnm.Print_Area" localSheetId="0">Quote!$A$1:$R$108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Quote!$A$89</definedName>
    <definedName name="Enquiry_To_Vendor_ID" comment="Enquiry to Vendor ID">Quote!$C$89</definedName>
    <definedName name="GenPro">Quote!$Q$4</definedName>
    <definedName name="GrandTotal">Quote!$N$88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Quote!$A$81</definedName>
    <definedName name="ItemListStartupRow" comment="Item List Start Up Row">Quote!$A$19</definedName>
    <definedName name="ItemSubTotal">Quote!$N$87</definedName>
    <definedName name="ItemSubTotalTitle">Quote!$J$87</definedName>
    <definedName name="LeadDay">Quote!$M$11</definedName>
    <definedName name="Lock">Quote!$M$89</definedName>
    <definedName name="LoggedInEmailID">Quote!$N$89</definedName>
    <definedName name="LoggedInPwd">Quote!$O$89</definedName>
    <definedName name="OtherCharges">Quote!$C$83</definedName>
    <definedName name="OtherChargesLastRow">Quote!$A$87</definedName>
    <definedName name="OtherChargesStartRow">Quote!$A$82</definedName>
    <definedName name="Port">Quote!$P$89</definedName>
    <definedName name="PortOfDelivery" comment="Port of Delivery">Quote!$M$9</definedName>
    <definedName name="PurchaserName">Quote!$J$89</definedName>
    <definedName name="QuoteBefore">Quote!$M$8</definedName>
    <definedName name="QuoteID">MasterData!$N$7</definedName>
    <definedName name="QuoteSubject">Quote!$E$89</definedName>
    <definedName name="Remarks">Quote!$E$91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Quote!$K$89</definedName>
    <definedName name="SentIndex">Quote!$L$89</definedName>
    <definedName name="Server">Quote!$Q$89</definedName>
    <definedName name="Terms">Quote!$A$95:$T$116</definedName>
    <definedName name="ToEmailID">Quote!$I$89</definedName>
    <definedName name="ToEmailPwd">Quote!$H$89</definedName>
    <definedName name="VAL">Quote!$F$89</definedName>
    <definedName name="VAT_All">Quote!$M$16</definedName>
    <definedName name="Vendor_ID" comment="Vendor ID">Quote!$B$89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Quote!$D$89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Quote!$E$92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,Quote!$N$61:$N$61,Quote!$N$62:$N$62,Quote!$N$63:$N$63,Quote!$N$64:$N$64,Quote!$N$65:$N$65,Quote!$N$66:$N$66,Quote!$N$67:$N$67,Quote!$N$68:$N$68,Quote!$N$69:$N$69,Quote!$N$70:$N$70,Quote!$N$71:$N$71,Quote!$N$72:$N$72,Quote!$N$73:$N$73,Quote!$N$74:$N$74,Quote!$N$75:$N$75,Quote!$N$76:$N$76,Quote!$N$77:$N$77,Quote!$N$78:$N$78,Quote!$N$79:$N$79,Quote!$N$80:$N$80</definedName>
  </definedNames>
  <calcPr fullCalcOnLoad="1"/>
  <x:extLst>
    <x: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x:ext>
  </x:extLst>
</workbook>
</file>

<file path=xl/sharedStrings.xml><?xml version="1.0" encoding="utf-8"?>
<sst xmlns="http://schemas.openxmlformats.org/spreadsheetml/2006/main" count="387" uniqueCount="250">
  <si>
    <t>RFQ</t>
  </si>
  <si>
    <t>Request for Quote</t>
  </si>
  <si>
    <t>Invoice To</t>
  </si>
  <si>
    <t xml:space="preserve">Bernhard Schulte Shipmanagement (China) Company Ltd.
</t>
  </si>
  <si>
    <t>Vessel</t>
  </si>
  <si>
    <t>XH Explorer</t>
  </si>
  <si>
    <t>RFQ No.</t>
  </si>
  <si>
    <t>XHE/O0008/RF20</t>
  </si>
  <si>
    <t>RFQ Date</t>
  </si>
  <si>
    <t>Submit Quote Before:</t>
  </si>
  <si>
    <t>Port of Delivery</t>
  </si>
  <si>
    <t>CAOFEIDIAN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</si>
  <si>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</si>
  <si>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</si>
  <si>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</si>
  <si>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</si>
  <si>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</si>
  <si>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</si>
  <si>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</si>
  <si>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</si>
  <si>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</si>
  <si>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</si>
  <si>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</si>
  <si>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</si>
  <si>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</si>
  <si>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</si>
  <si>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</si>
  <si>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</si>
  <si>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</si>
  <si>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</si>
  <si>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</si>
  <si>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</si>
  <si>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</si>
  <si>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</si>
  <si>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</si>
  <si>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</si>
  <si>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</si>
  <si>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</si>
  <si>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</si>
  <si>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</si>
  <si>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V_00000089</t>
  </si>
  <si>
    <t>Non-Spark Hatchets</t>
  </si>
  <si>
    <t>PC</t>
  </si>
  <si>
    <t>HD CENTER BOLT &amp; NUT P/N.1-3, FOR SCALING MACHINE KC-50/60</t>
  </si>
  <si>
    <t>PCS</t>
  </si>
  <si>
    <t>HD DISC PIN P/N.1-2, FOR SCALING MACHINE KC-50/60</t>
  </si>
  <si>
    <t>HD TOOL ASSEMBLY P/N.1, FOR SCALING MACHINE KC-50/60</t>
  </si>
  <si>
    <t>SET</t>
  </si>
  <si>
    <t>HD TOOL CUTTER P/N.1-1, FOR SCALING MACHINE KC-50/60</t>
  </si>
  <si>
    <t>TAP HAND METRIC FINE, M10X0.75MM 3'S CARBON STEEL</t>
  </si>
  <si>
    <t>HOSE BAND STAINLESS STEEL 68-85MM</t>
  </si>
  <si>
    <t>HOSE BAND STAINLESS STEEL 58-75MM</t>
  </si>
  <si>
    <t>PUNCHING TOOL SET DIES &amp; TABLE, 6-38MM 16'S</t>
  </si>
  <si>
    <t>CHISEL COLD 22X200MM</t>
  </si>
  <si>
    <t>SCISSORS CLOTH OVERALL 210MM</t>
  </si>
  <si>
    <t>PRS</t>
  </si>
  <si>
    <t>KNIFE HEAVY-DUTY WITH LEATHER, CASE</t>
  </si>
  <si>
    <t>RULE CONVEX STEEL METRIC 5MTR</t>
  </si>
  <si>
    <t>FLEXIBLE EXTENSION HOSE PT 1/8 FOR PIN TYPE GREASE NIPPLE</t>
  </si>
  <si>
    <t>GREASE NIPPLE PIN TYPE, PT 1/8 PLATED STEEL</t>
  </si>
  <si>
    <t>HOIST CHAIN SPUR-GEAR 2TON, 3MTR (cert!)</t>
  </si>
  <si>
    <t>QUOTED WITH MILL COPY CERT</t>
  </si>
  <si>
    <t>WHEEL CUT-OFF RESINOID GRAIN36 100X2.0X15.88MM 4300MTR/MIN</t>
  </si>
  <si>
    <t>WHEEL GRINDING OFFSET RESINOID, 100X6X15MM GRAIN36 4300MTR/MIN</t>
  </si>
  <si>
    <t>QUOTED BRAND BOSCH</t>
  </si>
  <si>
    <t>GRINDER ANGLE ELECTRIC 100MM, AC110V 1-PHASE</t>
  </si>
  <si>
    <t>SPARE MINI ROLLER 100MM WIDTH</t>
  </si>
  <si>
    <t>HOSE ABRASION RESISTANT PVC, 38MM</t>
  </si>
  <si>
    <t>MTR</t>
  </si>
  <si>
    <t>EYEWEAR PROTECTIVE ANTIFOG , CLEAR LENS #10026005</t>
  </si>
  <si>
    <t>SHACKLE STRAIGHT EYE BOLT, GALV JIS-SC 16MM SWL 1.5TON</t>
  </si>
  <si>
    <t>TIGERROPE POLYETHYLENE 3STRAND, BLACK/YELLOW 1-3/4"CIRX200MTR</t>
  </si>
  <si>
    <t>C/L</t>
  </si>
  <si>
    <t>RAIN SUITS WITH HOOD, CLOTH LINED RUBBER SIZE 4L</t>
  </si>
  <si>
    <t>RAIN SUITS WITH HOOD NYLON, SIZE XXL (3L)</t>
  </si>
  <si>
    <t>GLOVES PLASTIC OIL/ACID RESIST, SHORT</t>
  </si>
  <si>
    <t>GLOVES WORKING CALF HIDE SOFT</t>
  </si>
  <si>
    <t>GLOVES WORKING COTTON ORDINARY</t>
  </si>
  <si>
    <t>DOZ</t>
  </si>
  <si>
    <t>Metal Detector FROM KLOSKA CATALOGUE</t>
  </si>
  <si>
    <t>PADLOCK BRASS 50MM, MASTER KEY SYSTEM</t>
  </si>
  <si>
    <t>MASTER KEY ONLY FOR MASTER KEY, SYSTEM PADLOCK 50MM</t>
  </si>
  <si>
    <t>DELIVERY TIME 2-3 WORKING DAYS</t>
  </si>
  <si>
    <t>JACK HYDRAULIC PORTABLE 15TON</t>
  </si>
  <si>
    <t>DRILL SET HSS STRAIGHT SHANK, 1-13MM 25'S IN STEEL CASE</t>
  </si>
  <si>
    <t>BRUSH COUNTER BLACK HAIR</t>
  </si>
  <si>
    <t>HAND CUFFS</t>
  </si>
  <si>
    <t>DUMMY ANTI-PIRACY BARE</t>
  </si>
  <si>
    <t>BODY ARMER (VEST) DC2 NIJ, STANDAD IIIA-.44 2600GRM</t>
  </si>
  <si>
    <t>HELMET COMBAT BULLETPROOF, NIJ IIIA 9MM DC4-4 1500GRM</t>
  </si>
  <si>
    <t>PLYWOOD WATER-PROOF, 910X1820X12MM</t>
  </si>
  <si>
    <t>LADDER WHARF ALUMINIUM ALLOY, WITH FURTHER DETAIL</t>
  </si>
  <si>
    <t>type: A5, length:5m</t>
  </si>
  <si>
    <t>RIVETER KIT HAND IN STEEL CASE</t>
  </si>
  <si>
    <t>WIRE GAUZE WITH FURTHER DETAIL</t>
  </si>
  <si>
    <t>SHT</t>
  </si>
  <si>
    <t>stainless steel,10 x 10, W 1000mm x L 5m x 1 sheet; 30 x 30, W 1000mm x L 3m x 1sheet</t>
  </si>
  <si>
    <t>PLYWOOD WATER-PROOF, 910X1820X5.5MM</t>
  </si>
  <si>
    <t>GLUE GENERAL PURPOSE 3KG</t>
  </si>
  <si>
    <t>CAN</t>
  </si>
  <si>
    <t>PACKING DOOR WATERTIGHT, EPDM RUBBER 40X20MM L:10MTR</t>
  </si>
  <si>
    <t>LGH</t>
  </si>
  <si>
    <t>PACKING DOOR WATERTIGHT, EPDM RUBBER 40X15MM L:10MTR</t>
  </si>
  <si>
    <t>PACKING DOOR WATERTIGHT, EPDM RUBBER 35X15MM L:10MTR</t>
  </si>
  <si>
    <t>WINCH BRAKE TEST KIT</t>
  </si>
  <si>
    <t>V_00000075</t>
  </si>
  <si>
    <t>BATTERY FOR LUMIX CAMERA (TYPE:DMW-BCK7GK 3.6V 680mAh 2.5Wh)</t>
  </si>
  <si>
    <t>V_00000041</t>
  </si>
  <si>
    <t>Multipurpose Grease, 16Kgs/Can</t>
  </si>
  <si>
    <t>TAPE SEAL TEFLON 0.1X20MMX10MTR</t>
  </si>
  <si>
    <t>V_00000095</t>
  </si>
  <si>
    <t>MACGREGOR HATCH STEEL WASHER, #13.00.07</t>
  </si>
  <si>
    <t>PA</t>
  </si>
  <si>
    <t>MACGREGOR HATCH RUBBER WASHER, #13.00.06</t>
  </si>
  <si>
    <t>EMPTY DRUMS 200LTRS ---&gt; PLASTIC EMPTY DRUM 200LTR, WITH COVER</t>
  </si>
  <si>
    <t>V_00000097</t>
  </si>
  <si>
    <t>speaker microphone for walky-talky VX-231-G6-5 Vertex Standard</t>
  </si>
  <si>
    <t>FAUCET WALL WITH SNAP ON HOSE COUPLING 13(1/2)</t>
  </si>
  <si>
    <t>CHAIN S. STEEL HEAVY LINK, BODY DIAM 4MM 26 X 6.0MM</t>
  </si>
  <si>
    <t>PIN SHIP'S TOGGLE A TYPE, S.STEEL WITH FURTHER DETAIL</t>
  </si>
  <si>
    <t>normal size: 8mm, length:60mm</t>
  </si>
  <si>
    <t>STEEL FLAT HOT-ROLLED 6X22MM, 5.5MTR</t>
  </si>
  <si>
    <t>5.5m x 6 pcs,  total: 33m</t>
  </si>
  <si>
    <t>STEEL FLAT HOT-ROLLED 4.5X22MM, 5.5MTR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</si>
  <si>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</si>
  <si>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</si>
  <si>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</si>
  <si>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</si>
  <si>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</si>
  <si>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</si>
  <si>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</si>
  <si>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</si>
  <si>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</si>
  <si>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</si>
  <si>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</si>
  <si>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</si>
  <si>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</si>
  <si>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</si>
  <si>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</si>
  <si>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</si>
  <si>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</si>
  <si>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</si>
  <si>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</si>
  <si>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</si>
  <si>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</si>
  <si>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</si>
  <si>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</si>
  <si>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</si>
  <si>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</si>
  <si>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</si>
  <si>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</si>
  <si>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</si>
  <si>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</si>
  <si>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</si>
  <si>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</si>
  <si>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</si>
  <si>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</si>
  <si>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</si>
  <si>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</si>
  <si>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</si>
  <si>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</si>
  <si>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</si>
  <si>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</si>
  <si>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</si>
  <si>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</si>
  <si>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</si>
  <si>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</si>
  <si>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</si>
  <si>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</si>
  <si>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</si>
  <si>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</si>
  <si>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</si>
  <si>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</si>
  <si>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</si>
  <si>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</si>
  <si>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</si>
  <si>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</si>
  <si>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</si>
  <si>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</si>
  <si>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</si>
  <si>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</si>
  <si>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</si>
  <si>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</si>
  <si>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</si>
  <si>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</si>
  <si>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</si>
  <si>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</si>
  <si>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</si>
  <si>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</si>
  <si>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</si>
  <si>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</si>
  <si>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</si>
  <si>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</si>
  <si>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</si>
  <si>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</si>
  <si>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</si>
  <si>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</si>
  <si>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</si>
  <si>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</si>
  <si>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</si>
  <si>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</si>
  <si>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</si>
  <si>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</si>
  <si>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</si>
  <si>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</si>
  <si>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</si>
  <si>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</si>
  <si>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</si>
  <si>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</si>
  <si>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</si>
  <si>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</si>
  <si>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</si>
  <si>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</si>
  <si>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</si>
  <si>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</si>
  <si>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</si>
  <si>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</si>
  <si>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</si>
  <si>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</si>
  <si>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</si>
  <si>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</si>
  <si>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</si>
  <si>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</si>
  <si>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</si>
  <si>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</si>
  <si>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</si>
  <si>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BJD2001221005172LET</t>
  </si>
  <si>
    <t>02/26/2020</t>
  </si>
  <si>
    <t>3</t>
  </si>
  <si>
    <t>PLS ADV SIZE</t>
  </si>
  <si>
    <t>6pc/set</t>
  </si>
  <si>
    <t>18pc/set</t>
  </si>
  <si>
    <t>2TON 2.5MTR,MILL CERT</t>
  </si>
  <si>
    <t>110V 100MM 750W 60HZ</t>
  </si>
  <si>
    <t>50M/ROLL,NO CUT</t>
  </si>
  <si>
    <t>YONGSHENG</t>
  </si>
  <si>
    <t>EQUIVALENT</t>
  </si>
  <si>
    <t>STAINLESS STEEL</t>
  </si>
  <si>
    <t>INCLUDED IN ABV ITEM</t>
  </si>
  <si>
    <t>YUWANG</t>
  </si>
  <si>
    <t>1220*2440*12MM</t>
  </si>
  <si>
    <t>W0.6*L5MTR</t>
  </si>
  <si>
    <t>MESH 10*10</t>
  </si>
  <si>
    <t>1220*2440*5MM</t>
  </si>
  <si>
    <t>0.8KG（1000ML）</t>
  </si>
  <si>
    <t>NOT AVAILABLE</t>
  </si>
  <si>
    <t>QUOTED AFTER CHINESE NEW YEAR HOLIDAY</t>
  </si>
  <si>
    <t>PLS ADV WHERE TO USE</t>
  </si>
  <si>
    <t>6MTR/LGH</t>
  </si>
  <si>
    <t xml:space="preserve">
Date promised : 2020-01-30
Quote validity : 2020-02-26
Item Added - 5 : HD TOOL CUTTER P/N.1-1, FOR SCALING MACHINE KC-50/60 | Ref.No.:591256 | QTY : 200 | UOM : PCS | Price : 0.25 USD | Remarks : 18pc/set
Item Added - 6 : TAP HAND METRIC FINE, M10X0.75MM 3'S CARBON STEEL | Ref.No.:631124 | QTY : 2 | UOM : SET | Price : 1.46 USD
Item Added - 7 : HOSE BAND STAINLESS STEEL 68-85MM | Ref.No.:614073 | QTY : 50 | UOM : PCS | Price : 0.22 USD
Item Added - 8 : HOSE BAND STAINLESS STEEL 58-75MM | Ref.No.:614072 | QTY : 50 | UOM : PCS | Price : 0.2 USD
Item Added - 9 : PUNCHING TOOL SET DIES &amp; TABLE, 6-38MM 16'S | Ref.No.:613056 | QTY : 1 | UOM : SET | Price : 61.89 USD
Item Added - 10 : CHISEL COLD 22X200MM | Ref.No.:612906 | QTY : 2 | UOM : PCS | Price : 1.29 USD
Item Added - 11 : SCISSORS CLOTH OVERALL 210MM | Ref.No.:611841 | QTY : 2 | UOM : PRS | Price : 3.39 USD
Item Added - 12 : KNIFE HEAVY-DUTY WITH LEATHER, CASE | Ref.No.:611855 | QTY : 2 | UOM : PCS | Price : 2.7 USD
Item Added - 13 : RULE CONVEX STEEL METRIC 5MTR | Ref.No.:650823 | QTY : 4 | UOM : PCS | Price : 1.2 USD
Item Added - 14 : FLEXIBLE EXTENSION HOSE PT 1/8 FOR PIN TYPE GREASE NIPPLE | Ref.No.:617680 | QTY : 20 | UOM : PCS | Price : 1.99 USD
Item Added - 15 : GREASE NIPPLE PIN TYPE, PT 1/8 PLATED STEEL | Ref.No.:617624 | QTY : 50 | UOM : PCS | Price : 0.2 USD
Item Added - 16 : HOIST CHAIN SPUR-GEAR 2TON, 3MTR (cert!) | Ref.No.:615009 | QTY : 1 | UOM : SET | Price : 48.91 USD | Remarks : 2TON 2.5MTR,MILL CERT
Item Added - 17 : WHEEL CUT-OFF RESINOID GRAIN36 100X2.0X15.88MM 4300MTR/MIN | Ref.No.:614859 | QTY : 200 | UOM : PCS | Price : 0.16 USD
Item Added - 18 : WHEEL GRINDING OFFSET RESINOID, 100X6X15MM GRAIN36 4300MTR/MIN | Ref.No.:614803 | QTY : 200 | UOM : PCS | Price : 0.27 USD
Item Added - 19 : GRINDER ANGLE ELECTRIC 100MM, AC110V 1-PHASE | Ref.No.:591021 | QTY : 3 | UOM : SET | Price : 22.96 USD | Remarks : 110V 100MM 750W 60HZ
Item Added - 20 : SPARE MINI ROLLER 100MM WIDTH | Ref.No.:510462 | QTY : 200 | UOM : PCS | Price : 0.14 USD
Item Added - 21 : HOSE ABRASION RESISTANT PVC, 38MM | Ref.No.:350451 | QTY : 100 | UOM : MTR | Price : 2.35 USD | Remarks : 50M/ROLL,NO CUT
Item Added - 22 : EYEWEAR PROTECTIVE ANTIFOG , CLEAR LENS #10026005 | Ref.No.:311051 | QTY : 20 | UOM : PRS | Price : 0.49 USD | Remarks : YONGSHENG
Item Added - 23 : SHACKLE STRAIGHT EYE BOLT, GALV JIS-SC 16MM SWL 1.5TON | Ref.No.:231356 | QTY : 10 | UOM : PCS | Price : 0.86 USD
Item Added - 24 : TIGERROPE POLYETHYLENE 3STRAND, BLACK/YELLOW 1-3/4CIRX200MTR | Ref.No.:211355 | QTY : 1 | UOM : C/L | Price : 45.56 USD
Item Added - 25 : RAIN SUITS WITH HOOD, CLOTH LINED RUBBER SIZE 4L | Ref.No.:190415 | QTY : 5 | UOM : SET | Price : 10.31 USD
Item Added - 26 : RAIN SUITS WITH HOOD NYLON, SIZE XXL (3L) | Ref.No.:190409 | QTY : 5 | UOM : SET | Price : 5.33 USD
Item Added - 27 : GLOVES PLASTIC OIL/ACID RESIST, SHORT | Ref.No.:190131 | QTY : 20 | UOM : PRS | Price : 1.16 USD
Item Added - 28 : GLOVES WORKING CALF HIDE SOFT | Ref.No.:190112 | QTY : 100 | UOM : PRS | Price : 1.34 USD
Item Added - 29 : GLOVES WORKING COTTON ORDINARY | Ref.No.:190101 | QTY : 200 | UOM : DOZ | Price : 1.56 USD
Item Added - 30 : Metal Detector FROM KLOSKA CATALOGUE | Ref.No.:412082150 | QTY : 1 | UOM : PCS | Price : 29.61 USD | Remarks : EQUIVALENT
Item Added - 31 : PADLOCK BRASS 50MM, MASTER KEY SYSTEM | Ref.No.:490512 | QTY : 30 | UOM : PCS | Price : 1.65 USD | Remarks : STAINLESS STEEL
Item Added - 32 : MASTER KEY ONLY FOR MASTER KEY, SYSTEM PADLOCK 50MM | Ref.No.:490509 | QTY : 5 | UOM : PCS | Price : 0 USD | Remarks : INCLUDED IN ABV ITEM
Item Added - 33 : JACK HYDRAULIC PORTABLE 15TON | Ref.No.:615116 | QTY : 2 | UOM : SET | Price : 22.78 USD
Item Added - 34 : DRILL SET HSS STRAIGHT SHANK, 1-13MM 25'S IN STEEL CASE | Ref.No.:630255 | QTY : 1 | UOM : SET | Price : 20.96 USD
Item Added - 35 : BRUSH COUNTER BLACK HAIR | Ref.No.:510646 | QTY : 10 | UOM : PCS | Price : 0.84 USD
Item Added - 36 : HAND CUFFS | Ref.No.:232621 | QTY : 2 | UOM : PRS | Price : 10.57 USD
Item Added - 37 : DUMMY ANTI-PIRACY BARE | Ref.No.:314116 | QTY : 2 | UOM : PCS | Price : 53.6 USD
Item Added - 38 : BODY ARMER (VEST) DC2 NIJ, STANDAD IIIA-.44 2600GRM | Ref.No.:314111 | QTY : 3 | UOM : PCS | Price : 217.15 USD | Remarks : YUWANG
Item Added - 39 : HELMET COMBAT BULLETPROOF, NIJ IIIA 9MM DC4-4 1500GRM | Ref.No.:310351 | QTY : 3 | UOM : PCS | Price : 180.33 USD | Remarks : YUWANG
Item Added - 40 : PLYWOOD WATER-PROOF, 910X1820X12MM | Ref.No.:232726 | QTY : 2 | UOM : PCS | Price : 16.97 USD | Remarks : 1220*2440*12MM
Item Added - 41 : LADDER WHARF ALUMINIUM ALLOY, WITH FURTHER DETAIL | Ref.No.:232076 | QTY : 1 | UOM : SET | Price : 621.24 USD | Remarks : W0.6*L5MTR
Item Added - 42 : RIVETER KIT HAND IN STEEL CASE | Ref.No.:615233 | QTY : 1 | UOM : SET | Price : 9.98 USD
Item Added - 43 : WIRE GAUZE WITH FURTHER DETAIL | Ref.No.:673901 | QTY : 2 | UOM : SHT | Price : 12.75 USD | Remarks : MESH 10*10
Item Added - 44 : PLYWOOD WATER-PROOF, 910X1820X5.5MM | Ref.No.:232724 | QTY : 2 | UOM : PCS | Price : 11.39 USD | Remarks : 1220*2440*5MM
Item Added - 45 : GLUE GENERAL PURPOSE 3KG | Ref.No.:812705 | QTY : 2 | UOM : CAN | Price : 3.8 USD | Remarks : 0.8KG（1000ML）
Item Added - 46 : PACKING DOOR WATERTIGHT, EPDM RUBBER 40X20MM L:10MTR | Ref.No.:815009 | QTY : 30 | UOM : LGH | Price : 16.4 USD
Item Added - 47 : PACKING DOOR WATERTIGHT, EPDM RUBBER 40X15MM L:10MTR | Ref.No.:815008 | QTY : 30 | UOM : LGH | Price : 13.4 USD
Item Added - 48 : PACKING DOOR WATERTIGHT, EPDM RUBBER 35X15MM L:10MTR | Ref.No.:815004 | QTY : 50 | UOM : LGH | Price : 11.8 USD
Item Added - 49 : WINCH BRAKE TEST KIT | Ref.No.:2941800 | QTY : 1 | UOM : SET | Price : 0 USD | Remarks : NOT AVAILABLE
Item Added - 50 : BATTERY FOR LUMIX CAMERA (TYPE:DMW-BCK7GK 3.6V 680mAh 2.5Wh) | Ref.No.:V_00000075 | QTY : 2 | UOM : PC | Price : 0 USD | Remarks : QUOTED AFTER CHINESE NEW YEAR HOLIDAY
Item Added - 51 : Multipurpose Grease, 16Kgs/Can | Ref.No.:450155 | QTY : 6 | UOM : CAN | Price : 28.85 USD | Remarks : EQUIVALENT
Item Added - 52 : TAPE SEAL TEFLON 0.1X20MMX10MTR | Ref.No.:812502 | QTY : 10 | UOM : PCS | Price : 0.18 USD
Item Added - 53 : MACGREGOR HATCH STEEL WASHER, #13.00.07 | Ref.No.:233258 | QTY : 20 | UOM : PA | Price : 1.05 USD
Item Added - 54 : MACGREGOR HATCH RUBBER WASHER, #13.00.06 | Ref.No.:233257 | QTY : 60 | UOM : PCS | Price : 0.87 USD
Item Added - 55 : EMPTY DRUMS 200LTRS ---&gt; PLASTIC EMPTY DRUM 200LTR, WITH COVER | Ref.No.:9301900174 | QTY : 3 | UOM : PCS | Price : 31.36 USD | Remarks : PLS ADV WHERE TO USE
Item Added - 56 : speaker microphone for walky-talky VX-231-G6-5 Vertex Standard | Ref.No.:V_00000097 | QTY : 4 | UOM : PC | Price : 0 USD | Remarks : NOT AVAILABLE
Item Added - 57 : FAUCET WALL WITH SNAP ON HOSE COUPLING 13(1/2) | Ref.No.:530136 | QTY : 10 | UOM : PCS | Price : 2.96 USD
Item Added - 58 : CHAIN S. STEEL HEAVY LINK, BODY DIAM 4MM 26 X 6.0MM | Ref.No.:231123 | QTY : 6 | UOM : MTR | Price : 2.03 USD
Item Added - 59 : PIN SHIP'S TOGGLE A TYPE, S.STEEL WITH FURTHER DETAIL | Ref.No.:696803 | QTY : 20 | UOM : PCS | Price : 1.64 USD
Item Added - 60 : STEEL FLAT HOT-ROLLED 6X22MM, 5.5MTR | Ref.No.:670504 | QTY : 33 | UOM : LGH | Price : 1.19 USD | Remarks : 6MTR/LGH
Item Added - 61 : STEEL FLAT HOT-ROLLED 4.5X22MM, 5.5MTR | Ref.No.:670493 | QTY : 33 | UOM : LGH | Price : 0.99 USD | Remarks : 6MTR/LGH
Item Added - 43.10 : WIRE GAUZE WITH FURTHER DETAIL | Ref.No.:673901 | QTY : 2 | UOM : SHT | Price : 4.38 USD | Remarks : MESH 30*30
 Item Total : 5650.93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</si>
</sst>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indexed="44"/>
      </right>
      <top/>
      <bottom/>
    </border>
    <border>
      <left/>
      <right/>
      <top style="thin"/>
      <bottom style="thin"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 style="thin"/>
      <right/>
      <top style="thin"/>
      <bottom/>
    </border>
    <border>
      <left/>
      <right/>
      <top style="thin"/>
      <bottom/>
    </border>
    <border>
      <left style="thin">
        <color indexed="44"/>
      </left>
      <right/>
      <top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23" xfId="0" applyNumberFormat="1" applyFont="1" applyFill="1" applyBorder="1" applyAlignment="1" applyProtection="1">
      <alignment horizontal="left" vertical="center" wrapText="1"/>
      <protection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4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4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4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10" xfId="0" applyFont="1" applyFill="1" applyBorder="1" applyAlignment="1" applyProtection="1">
      <alignment horizontal="left"/>
      <protection/>
    </xf>
    <xf numFmtId="0" fontId="14" fillId="33" borderId="25" xfId="0" applyFont="1" applyFill="1" applyBorder="1" applyAlignment="1" applyProtection="1">
      <alignment horizontal="left"/>
      <protection/>
    </xf>
    <xf numFmtId="4" fontId="17" fillId="34" borderId="26" xfId="0" applyNumberFormat="1" applyFont="1" applyFill="1" applyBorder="1" applyAlignment="1" applyProtection="1">
      <alignment horizontal="center" vertical="center"/>
      <protection/>
    </xf>
    <xf numFmtId="4" fontId="17" fillId="34" borderId="27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4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4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8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170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9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30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0" fontId="14" fillId="33" borderId="31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49" fontId="4" fillId="33" borderId="29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33" borderId="0" xfId="0" applyNumberFormat="1" applyAlignment="1" applyProtection="1">
      <alignment horizontal="left" vertical="top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167" fontId="14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9" fontId="4" fillId="33" borderId="30" xfId="0" applyNumberFormat="1" applyBorder="1" applyAlignment="1" applyProtection="1">
      <alignment horizontal="left" vertical="top" wrapText="1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25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4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31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23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6" xfId="0" applyNumberFormat="1" applyBorder="1" applyAlignment="1" applyProtection="1">
      <alignment horizontal="left" vertical="center"/>
      <protection/>
    </xf>
    <xf numFmtId="4" fontId="17" fillId="34" borderId="27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4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4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4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8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microsoft.com/office/2006/relationships/vbaProject" Target="vbaProject.bin" /><Relationship Id="rId5" Type="http://schemas.openxmlformats.org/officeDocument/2006/relationships/styles" Target="styles.xml" /><Relationship Id="rId6" Type="http://schemas.openxmlformats.org/officeDocument/2006/relationships/sharedStrings" Target="sharedStrings.xml" /><Relationship Id="rId7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sheetPr codeName="Sheet1"/>
  <dimension ref="A1:X118"/>
  <sheetViews>
    <sheetView showGridLines="0" tabSelected="1" workbookViewId="0" topLeftCell="G1">
      <selection pane="topLeft" activeCell="M4" sqref="M4 M4:P4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5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69"/>
      <c r="B1" s="169" t="s">
        <v>0</v>
      </c>
      <c r="C1" s="169"/>
      <c r="E1" s="170"/>
      <c r="F1" s="170"/>
      <c r="G1" s="170"/>
      <c r="J1" s="170"/>
      <c r="K1" s="171" t="s">
        <v>1</v>
      </c>
      <c r="L1" s="171"/>
      <c r="M1" s="171"/>
      <c r="N1" s="171"/>
      <c r="O1" s="171"/>
      <c r="P1" s="171"/>
      <c r="Q1" s="171"/>
      <c r="R1" s="171"/>
      <c r="S1" s="171"/>
      <c r="T1" s="172"/>
    </row>
    <row r="2" spans="1:20" ht="5.25" customHeight="1">
      <c r="A2" s="173"/>
      <c r="B2" s="173"/>
      <c r="C2" s="173"/>
      <c r="D2" s="173"/>
      <c r="E2" s="173"/>
      <c r="F2" s="173"/>
      <c r="G2" s="173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5"/>
    </row>
    <row r="3" spans="1:20" ht="15" customHeight="1">
      <c r="A3" s="176" t="s">
        <v>2</v>
      </c>
      <c r="B3" s="176"/>
      <c r="C3" s="176"/>
      <c r="D3" s="176"/>
      <c r="E3" s="176"/>
      <c r="F3" s="176"/>
      <c r="G3" s="176"/>
      <c r="Q3" s="177"/>
      <c r="R3" s="177"/>
      <c r="S3" s="177"/>
      <c r="T3" s="175"/>
    </row>
    <row r="4" spans="1:20" ht="22.5" customHeight="1">
      <c r="A4" s="165" t="s">
        <v>3</v>
      </c>
      <c r="B4" s="165"/>
      <c r="C4" s="165"/>
      <c r="D4" s="165"/>
      <c r="E4" s="165"/>
      <c r="F4" s="165"/>
      <c r="G4" s="165"/>
      <c r="H4" s="165"/>
      <c r="I4" s="165"/>
      <c r="K4" s="166" t="s">
        <v>4</v>
      </c>
      <c r="L4" s="166"/>
      <c r="M4" s="164" t="s">
        <v>5</v>
      </c>
      <c r="N4" s="164"/>
      <c r="O4" s="164"/>
      <c r="P4" s="164"/>
      <c r="Q4" s="167"/>
      <c r="R4" s="167"/>
      <c r="S4" s="167"/>
      <c r="T4" s="168"/>
    </row>
    <row r="5" spans="1:20" ht="21" customHeight="1">
      <c r="A5" s="178"/>
      <c r="B5" s="178"/>
      <c r="C5" s="178"/>
      <c r="D5" s="178"/>
      <c r="E5" s="178"/>
      <c r="F5" s="178"/>
      <c r="G5" s="178"/>
      <c r="H5" s="178"/>
      <c r="I5" s="178"/>
      <c r="K5" s="179" t="s">
        <v>6</v>
      </c>
      <c r="L5" s="179"/>
      <c r="M5" s="180" t="s">
        <v>7</v>
      </c>
      <c r="N5" s="180"/>
      <c r="O5" s="180"/>
      <c r="P5" s="180"/>
      <c r="Q5" s="167"/>
      <c r="R5" s="167"/>
      <c r="S5" s="167"/>
      <c r="T5" s="168"/>
    </row>
    <row r="6" spans="1:20" s="184" customFormat="1" ht="14.1" customHeight="1">
      <c r="A6" s="178"/>
      <c r="B6" s="178"/>
      <c r="C6" s="178"/>
      <c r="D6" s="178"/>
      <c r="E6" s="178"/>
      <c r="F6" s="178"/>
      <c r="G6" s="178"/>
      <c r="H6" s="178"/>
      <c r="I6" s="178"/>
      <c r="K6" s="181" t="s">
        <v>8</v>
      </c>
      <c r="L6" s="181"/>
      <c r="M6" s="182">
        <v>43852</v>
      </c>
      <c r="N6" s="182"/>
      <c r="O6" s="182"/>
      <c r="P6" s="182"/>
      <c r="Q6" s="167"/>
      <c r="R6" s="167"/>
      <c r="S6" s="167"/>
      <c r="T6" s="168"/>
    </row>
    <row r="7" spans="1:24" s="184" customFormat="1" ht="14.1" customHeight="1">
      <c r="A7" s="178"/>
      <c r="B7" s="178"/>
      <c r="C7" s="178"/>
      <c r="D7" s="178"/>
      <c r="E7" s="178"/>
      <c r="F7" s="178"/>
      <c r="G7" s="178"/>
      <c r="H7" s="178"/>
      <c r="I7" s="178"/>
      <c r="K7" s="181"/>
      <c r="L7" s="181"/>
      <c r="M7" s="183"/>
      <c r="N7" s="183"/>
      <c r="O7" s="183"/>
      <c r="P7" s="183"/>
      <c r="Q7" s="183"/>
      <c r="R7" s="167"/>
      <c r="S7" s="167"/>
      <c r="T7" s="168"/>
      <c r="U7" s="184"/>
      <c r="V7" s="184"/>
      <c r="W7" s="184"/>
      <c r="X7" s="184"/>
    </row>
    <row r="8" spans="1:20" s="184" customFormat="1" ht="13.5" customHeight="1">
      <c r="A8" s="178"/>
      <c r="B8" s="178"/>
      <c r="C8" s="178"/>
      <c r="D8" s="178"/>
      <c r="E8" s="178"/>
      <c r="F8" s="178"/>
      <c r="G8" s="178"/>
      <c r="H8" s="178"/>
      <c r="I8" s="178"/>
      <c r="J8" s="185"/>
      <c r="K8" s="181" t="s">
        <v>9</v>
      </c>
      <c r="L8" s="181"/>
      <c r="M8" s="186" t="s">
        <v>227</v>
      </c>
      <c r="N8" s="186"/>
      <c r="O8" s="187"/>
      <c r="P8" s="167"/>
      <c r="Q8" s="188"/>
      <c r="R8" s="188"/>
      <c r="S8" s="188"/>
      <c r="T8" s="189"/>
    </row>
    <row r="9" spans="1:20" s="184" customFormat="1" ht="15" customHeight="1">
      <c r="A9" s="178"/>
      <c r="B9" s="178"/>
      <c r="C9" s="178"/>
      <c r="D9" s="178"/>
      <c r="E9" s="178"/>
      <c r="F9" s="178"/>
      <c r="G9" s="178"/>
      <c r="H9" s="178"/>
      <c r="I9" s="178"/>
      <c r="J9" s="185"/>
      <c r="K9" s="190" t="s">
        <v>10</v>
      </c>
      <c r="L9" s="191"/>
      <c r="M9" s="183" t="s">
        <v>11</v>
      </c>
      <c r="N9" s="183"/>
      <c r="O9" s="183"/>
      <c r="P9" s="183"/>
      <c r="Q9" s="183"/>
      <c r="R9" s="188"/>
      <c r="S9" s="188"/>
      <c r="T9" s="189"/>
    </row>
    <row r="10" spans="1:20" s="184" customFormat="1" ht="15" customHeight="1">
      <c r="A10" s="178"/>
      <c r="B10" s="178"/>
      <c r="C10" s="178"/>
      <c r="D10" s="178"/>
      <c r="E10" s="178"/>
      <c r="F10" s="178"/>
      <c r="G10" s="178"/>
      <c r="H10" s="178"/>
      <c r="I10" s="178"/>
      <c r="J10" s="185"/>
      <c r="K10" s="190" t="s">
        <v>12</v>
      </c>
      <c r="L10" s="191"/>
      <c r="M10" s="182"/>
      <c r="N10" s="182"/>
      <c r="O10" s="187"/>
      <c r="P10" s="191"/>
      <c r="Q10" s="188"/>
      <c r="R10" s="188"/>
      <c r="S10" s="188"/>
      <c r="T10" s="189"/>
    </row>
    <row r="11" spans="1:20" s="184" customFormat="1" ht="15" customHeight="1">
      <c r="A11" s="192"/>
      <c r="B11" s="192"/>
      <c r="C11" s="192"/>
      <c r="D11" s="192"/>
      <c r="E11" s="192"/>
      <c r="F11" s="192"/>
      <c r="G11" s="192"/>
      <c r="H11" s="192"/>
      <c r="I11" s="192"/>
      <c r="J11" s="185"/>
      <c r="K11" s="190" t="s">
        <v>13</v>
      </c>
      <c r="L11" s="191"/>
      <c r="M11" s="193">
        <v>14</v>
      </c>
      <c r="N11" s="194"/>
      <c r="O11" s="195"/>
      <c r="P11" s="188"/>
      <c r="Q11" s="188"/>
      <c r="R11" s="188"/>
      <c r="S11" s="188"/>
      <c r="T11" s="189"/>
    </row>
    <row r="12" spans="1:20" s="184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81" t="s">
        <v>15</v>
      </c>
      <c r="L12" s="199"/>
      <c r="M12" s="200" t="s">
        <v>226</v>
      </c>
      <c r="N12" s="201"/>
      <c r="O12" s="202"/>
      <c r="P12" s="188"/>
      <c r="Q12" s="188"/>
      <c r="R12" s="188"/>
      <c r="S12" s="188"/>
      <c r="T12" s="189"/>
    </row>
    <row r="13" spans="1:20" s="184" customFormat="1" ht="12.75" customHeight="1">
      <c r="A13" s="181" t="s">
        <v>16</v>
      </c>
      <c r="B13" s="181"/>
      <c r="C13" s="181"/>
      <c r="D13" s="183" t="s">
        <v>17</v>
      </c>
      <c r="E13" s="183"/>
      <c r="F13" s="183"/>
      <c r="G13" s="183"/>
      <c r="H13" s="183"/>
      <c r="I13" s="203"/>
      <c r="K13" s="204"/>
      <c r="L13" s="204"/>
      <c r="M13" s="205"/>
      <c r="N13" s="205"/>
      <c r="O13" s="205"/>
      <c r="P13" s="205"/>
      <c r="Q13" s="205"/>
      <c r="R13" s="188"/>
      <c r="S13" s="188"/>
      <c r="T13" s="189"/>
    </row>
    <row r="14" spans="1:20" s="184" customFormat="1" ht="12.75" customHeight="1">
      <c r="A14" s="181" t="s">
        <v>18</v>
      </c>
      <c r="B14" s="181"/>
      <c r="C14" s="181"/>
      <c r="D14" s="183" t="s">
        <v>19</v>
      </c>
      <c r="E14" s="183"/>
      <c r="F14" s="183"/>
      <c r="G14" s="183"/>
      <c r="H14" s="183"/>
      <c r="I14" s="203"/>
      <c r="K14" s="181" t="s">
        <v>20</v>
      </c>
      <c r="L14" s="206"/>
      <c r="M14" s="207" t="s">
        <v>219</v>
      </c>
      <c r="N14" s="191"/>
      <c r="O14" s="191"/>
      <c r="P14" s="208"/>
      <c r="Q14" s="168"/>
      <c r="R14" s="188"/>
      <c r="S14" s="188"/>
      <c r="T14" s="189"/>
    </row>
    <row r="15" spans="1:20" s="184" customFormat="1" ht="12.75" customHeight="1">
      <c r="A15" s="181" t="s">
        <v>21</v>
      </c>
      <c r="B15" s="181"/>
      <c r="C15" s="181"/>
      <c r="D15" s="183"/>
      <c r="E15" s="183"/>
      <c r="F15" s="183"/>
      <c r="G15" s="183"/>
      <c r="H15" s="183"/>
      <c r="I15" s="203"/>
      <c r="K15" s="181" t="s">
        <v>22</v>
      </c>
      <c r="L15" s="206"/>
      <c r="M15" s="209">
        <v>0</v>
      </c>
      <c r="N15" s="210"/>
      <c r="O15" s="211"/>
      <c r="P15" s="208" t="s">
        <v>23</v>
      </c>
      <c r="Q15" s="168"/>
      <c r="R15" s="188"/>
      <c r="S15" s="188"/>
      <c r="T15" s="189"/>
    </row>
    <row r="16" spans="1:20" s="184" customFormat="1" ht="12.75" customHeight="1">
      <c r="A16" s="181" t="s">
        <v>24</v>
      </c>
      <c r="B16" s="181"/>
      <c r="C16" s="181"/>
      <c r="D16" s="183"/>
      <c r="E16" s="183"/>
      <c r="F16" s="183"/>
      <c r="G16" s="183"/>
      <c r="H16" s="183"/>
      <c r="I16" s="203"/>
      <c r="K16" s="181" t="s">
        <v>25</v>
      </c>
      <c r="L16" s="206"/>
      <c r="M16" s="209">
        <v>0</v>
      </c>
      <c r="N16" s="210"/>
      <c r="O16" s="211"/>
      <c r="P16" s="191"/>
      <c r="Q16" s="167"/>
      <c r="R16" s="188"/>
      <c r="S16" s="188"/>
      <c r="T16" s="189"/>
    </row>
    <row r="17" spans="1:20" s="184" customFormat="1" ht="12.75" customHeight="1">
      <c r="A17" s="181" t="s">
        <v>26</v>
      </c>
      <c r="B17" s="181"/>
      <c r="C17" s="181"/>
      <c r="D17" s="183" t="s">
        <v>27</v>
      </c>
      <c r="E17" s="183"/>
      <c r="F17" s="183"/>
      <c r="G17" s="183"/>
      <c r="H17" s="183"/>
      <c r="I17" s="203"/>
      <c r="K17" s="177"/>
      <c r="L17" s="177"/>
      <c r="M17" s="177"/>
      <c r="N17" s="177"/>
      <c r="O17" s="177"/>
      <c r="P17" s="177"/>
      <c r="Q17" s="177"/>
      <c r="R17" s="177"/>
      <c r="S17" s="177"/>
      <c r="T17" s="212"/>
    </row>
    <row r="18" spans="1:20" s="184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265600005058</v>
      </c>
      <c r="C20" s="227" t="s">
        <v>40</v>
      </c>
      <c r="D20" s="228" t="s">
        <v>41</v>
      </c>
      <c r="E20" s="229"/>
      <c r="F20" s="229">
        <v>615977</v>
      </c>
      <c r="G20" s="229" t="s">
        <v>42</v>
      </c>
      <c r="H20" s="230">
        <v>0</v>
      </c>
      <c r="I20" s="231">
        <v>1</v>
      </c>
      <c r="J20" s="232">
        <v>0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 t="s">
        <v>228</v>
      </c>
      <c r="P20" s="235" t="s">
        <v>229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99990009802744</v>
      </c>
      <c r="C21" s="227">
        <v>591258</v>
      </c>
      <c r="D21" s="228" t="s">
        <v>43</v>
      </c>
      <c r="E21" s="229"/>
      <c r="F21" s="229">
        <v>591258</v>
      </c>
      <c r="G21" s="229" t="s">
        <v>44</v>
      </c>
      <c r="H21" s="230">
        <v>0</v>
      </c>
      <c r="I21" s="231">
        <v>10</v>
      </c>
      <c r="J21" s="232">
        <v>0.91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 t="s">
        <v>228</v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99990009802743</v>
      </c>
      <c r="C22" s="227">
        <v>591257</v>
      </c>
      <c r="D22" s="228" t="s">
        <v>45</v>
      </c>
      <c r="E22" s="229"/>
      <c r="F22" s="229">
        <v>591257</v>
      </c>
      <c r="G22" s="229" t="s">
        <v>44</v>
      </c>
      <c r="H22" s="230">
        <v>0</v>
      </c>
      <c r="I22" s="231">
        <v>50</v>
      </c>
      <c r="J22" s="232">
        <v>0.16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 t="s">
        <v>228</v>
      </c>
      <c r="P22" s="235" t="s">
        <v>230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99990010004256</v>
      </c>
      <c r="C23" s="227">
        <v>591255</v>
      </c>
      <c r="D23" s="228" t="s">
        <v>46</v>
      </c>
      <c r="E23" s="229"/>
      <c r="F23" s="229">
        <v>591255</v>
      </c>
      <c r="G23" s="229" t="s">
        <v>47</v>
      </c>
      <c r="H23" s="230">
        <v>0</v>
      </c>
      <c r="I23" s="231">
        <v>20</v>
      </c>
      <c r="J23" s="232">
        <v>8.66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 t="s">
        <v>228</v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99990009802742</v>
      </c>
      <c r="C24" s="227">
        <v>591256</v>
      </c>
      <c r="D24" s="228" t="s">
        <v>48</v>
      </c>
      <c r="E24" s="229"/>
      <c r="F24" s="229">
        <v>591256</v>
      </c>
      <c r="G24" s="229" t="s">
        <v>44</v>
      </c>
      <c r="H24" s="230">
        <v>0</v>
      </c>
      <c r="I24" s="231">
        <v>200</v>
      </c>
      <c r="J24" s="232">
        <v>0.25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 t="s">
        <v>228</v>
      </c>
      <c r="P24" s="235" t="s">
        <v>231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99990008192644</v>
      </c>
      <c r="C25" s="227">
        <v>631124</v>
      </c>
      <c r="D25" s="228" t="s">
        <v>49</v>
      </c>
      <c r="E25" s="229"/>
      <c r="F25" s="229">
        <v>631124</v>
      </c>
      <c r="G25" s="229" t="s">
        <v>47</v>
      </c>
      <c r="H25" s="230">
        <v>0</v>
      </c>
      <c r="I25" s="231">
        <v>2</v>
      </c>
      <c r="J25" s="232">
        <v>1.46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 t="s">
        <v>228</v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99990008658088</v>
      </c>
      <c r="C26" s="227">
        <v>614073</v>
      </c>
      <c r="D26" s="228" t="s">
        <v>50</v>
      </c>
      <c r="E26" s="229"/>
      <c r="F26" s="229">
        <v>614073</v>
      </c>
      <c r="G26" s="229" t="s">
        <v>44</v>
      </c>
      <c r="H26" s="230">
        <v>0.22</v>
      </c>
      <c r="I26" s="231">
        <v>50</v>
      </c>
      <c r="J26" s="232">
        <v>0.22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 t="s">
        <v>228</v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99990008658087</v>
      </c>
      <c r="C27" s="227">
        <v>614072</v>
      </c>
      <c r="D27" s="228" t="s">
        <v>51</v>
      </c>
      <c r="E27" s="229"/>
      <c r="F27" s="229">
        <v>614072</v>
      </c>
      <c r="G27" s="229" t="s">
        <v>44</v>
      </c>
      <c r="H27" s="230">
        <v>0.20</v>
      </c>
      <c r="I27" s="231">
        <v>50</v>
      </c>
      <c r="J27" s="232">
        <v>0.2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 t="s">
        <v>228</v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99990008658021</v>
      </c>
      <c r="C28" s="227">
        <v>613056</v>
      </c>
      <c r="D28" s="228" t="s">
        <v>52</v>
      </c>
      <c r="E28" s="229"/>
      <c r="F28" s="229">
        <v>613056</v>
      </c>
      <c r="G28" s="229" t="s">
        <v>47</v>
      </c>
      <c r="H28" s="230">
        <v>61.89</v>
      </c>
      <c r="I28" s="231">
        <v>1</v>
      </c>
      <c r="J28" s="232">
        <v>61.89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 t="s">
        <v>228</v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99990008658001</v>
      </c>
      <c r="C29" s="227">
        <v>612906</v>
      </c>
      <c r="D29" s="228" t="s">
        <v>53</v>
      </c>
      <c r="E29" s="229"/>
      <c r="F29" s="229">
        <v>612906</v>
      </c>
      <c r="G29" s="229" t="s">
        <v>44</v>
      </c>
      <c r="H29" s="230">
        <v>1.29</v>
      </c>
      <c r="I29" s="231">
        <v>2</v>
      </c>
      <c r="J29" s="232">
        <v>1.29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 t="s">
        <v>228</v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99990008656475</v>
      </c>
      <c r="C30" s="227">
        <v>611841</v>
      </c>
      <c r="D30" s="228" t="s">
        <v>54</v>
      </c>
      <c r="E30" s="229"/>
      <c r="F30" s="229">
        <v>611841</v>
      </c>
      <c r="G30" s="229" t="s">
        <v>55</v>
      </c>
      <c r="H30" s="230">
        <v>3.39</v>
      </c>
      <c r="I30" s="231">
        <v>2</v>
      </c>
      <c r="J30" s="232">
        <v>3.39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 t="s">
        <v>228</v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99990008656482</v>
      </c>
      <c r="C31" s="227">
        <v>611855</v>
      </c>
      <c r="D31" s="228" t="s">
        <v>56</v>
      </c>
      <c r="E31" s="229"/>
      <c r="F31" s="229">
        <v>611855</v>
      </c>
      <c r="G31" s="229" t="s">
        <v>44</v>
      </c>
      <c r="H31" s="230">
        <v>2.70</v>
      </c>
      <c r="I31" s="231">
        <v>2</v>
      </c>
      <c r="J31" s="232">
        <v>2.7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 t="s">
        <v>228</v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99990009572422</v>
      </c>
      <c r="C32" s="227">
        <v>2136146</v>
      </c>
      <c r="D32" s="228" t="s">
        <v>57</v>
      </c>
      <c r="E32" s="229"/>
      <c r="F32" s="229">
        <v>650823</v>
      </c>
      <c r="G32" s="229" t="s">
        <v>44</v>
      </c>
      <c r="H32" s="230">
        <v>1.20</v>
      </c>
      <c r="I32" s="231">
        <v>4</v>
      </c>
      <c r="J32" s="232">
        <v>1.2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 t="s">
        <v>228</v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99990008658181</v>
      </c>
      <c r="C33" s="227">
        <v>617680</v>
      </c>
      <c r="D33" s="228" t="s">
        <v>58</v>
      </c>
      <c r="E33" s="229"/>
      <c r="F33" s="229">
        <v>617680</v>
      </c>
      <c r="G33" s="229" t="s">
        <v>44</v>
      </c>
      <c r="H33" s="230">
        <v>1.99</v>
      </c>
      <c r="I33" s="231">
        <v>20</v>
      </c>
      <c r="J33" s="232">
        <v>1.99</v>
      </c>
      <c r="K33" s="233"/>
      <c r="L33" s="231">
        <v>0</v>
      </c>
      <c r="M33" s="231">
        <v>0</v>
      </c>
      <c r="N33" s="234">
        <f>ROUND(((I33*J33)-((I33*J33)*L33/100))+(((I33*J33)-((I33*J33)*L33/100))*M33/100),2)</f>
      </c>
      <c r="O33" s="230" t="s">
        <v>228</v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99990009647163</v>
      </c>
      <c r="C34" s="227">
        <v>617624</v>
      </c>
      <c r="D34" s="228" t="s">
        <v>59</v>
      </c>
      <c r="E34" s="229"/>
      <c r="F34" s="229">
        <v>617624</v>
      </c>
      <c r="G34" s="229" t="s">
        <v>44</v>
      </c>
      <c r="H34" s="230">
        <v>0.22</v>
      </c>
      <c r="I34" s="231">
        <v>50</v>
      </c>
      <c r="J34" s="232">
        <v>0.2</v>
      </c>
      <c r="K34" s="233"/>
      <c r="L34" s="231">
        <v>0</v>
      </c>
      <c r="M34" s="231">
        <v>0</v>
      </c>
      <c r="N34" s="234">
        <f>ROUND(((I34*J34)-((I34*J34)*L34/100))+(((I34*J34)-((I34*J34)*L34/100))*M34/100),2)</f>
      </c>
      <c r="O34" s="230" t="s">
        <v>228</v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99990008655651</v>
      </c>
      <c r="C35" s="227">
        <v>615009</v>
      </c>
      <c r="D35" s="228" t="s">
        <v>60</v>
      </c>
      <c r="E35" s="229"/>
      <c r="F35" s="229">
        <v>615009</v>
      </c>
      <c r="G35" s="229" t="s">
        <v>47</v>
      </c>
      <c r="H35" s="230">
        <v>48.91</v>
      </c>
      <c r="I35" s="231">
        <v>1</v>
      </c>
      <c r="J35" s="232">
        <v>48.91</v>
      </c>
      <c r="K35" s="233"/>
      <c r="L35" s="231">
        <v>0</v>
      </c>
      <c r="M35" s="231">
        <v>0</v>
      </c>
      <c r="N35" s="234">
        <f>ROUND(((I35*J35)-((I35*J35)*L35/100))+(((I35*J35)-((I35*J35)*L35/100))*M35/100),2)</f>
      </c>
      <c r="O35" s="230" t="s">
        <v>228</v>
      </c>
      <c r="P35" s="235" t="s">
        <v>232</v>
      </c>
      <c r="Q35" s="236"/>
      <c r="R35" s="237" t="s">
        <v>61</v>
      </c>
      <c r="S35" s="238"/>
      <c r="T35" s="239"/>
    </row>
    <row r="36" spans="1:20" ht="24" customHeight="1">
      <c r="A36" s="226">
        <v>17</v>
      </c>
      <c r="B36" s="226">
        <v>99990008658144</v>
      </c>
      <c r="C36" s="227">
        <v>614859</v>
      </c>
      <c r="D36" s="228" t="s">
        <v>62</v>
      </c>
      <c r="E36" s="229"/>
      <c r="F36" s="229">
        <v>614859</v>
      </c>
      <c r="G36" s="229" t="s">
        <v>44</v>
      </c>
      <c r="H36" s="230">
        <v>0.16</v>
      </c>
      <c r="I36" s="231">
        <v>200</v>
      </c>
      <c r="J36" s="232">
        <v>0.16</v>
      </c>
      <c r="K36" s="233"/>
      <c r="L36" s="231">
        <v>0</v>
      </c>
      <c r="M36" s="231">
        <v>0</v>
      </c>
      <c r="N36" s="234">
        <f>ROUND(((I36*J36)-((I36*J36)*L36/100))+(((I36*J36)-((I36*J36)*L36/100))*M36/100),2)</f>
      </c>
      <c r="O36" s="230" t="s">
        <v>228</v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99990008655642</v>
      </c>
      <c r="C37" s="227">
        <v>614803</v>
      </c>
      <c r="D37" s="228" t="s">
        <v>63</v>
      </c>
      <c r="E37" s="229"/>
      <c r="F37" s="229">
        <v>614803</v>
      </c>
      <c r="G37" s="229" t="s">
        <v>44</v>
      </c>
      <c r="H37" s="230">
        <v>0.80</v>
      </c>
      <c r="I37" s="231">
        <v>200</v>
      </c>
      <c r="J37" s="232">
        <v>0.27</v>
      </c>
      <c r="K37" s="233"/>
      <c r="L37" s="231">
        <v>0</v>
      </c>
      <c r="M37" s="231">
        <v>0</v>
      </c>
      <c r="N37" s="234">
        <f>ROUND(((I37*J37)-((I37*J37)*L37/100))+(((I37*J37)-((I37*J37)*L37/100))*M37/100),2)</f>
      </c>
      <c r="O37" s="230" t="s">
        <v>228</v>
      </c>
      <c r="P37" s="235"/>
      <c r="Q37" s="236"/>
      <c r="R37" s="237" t="s">
        <v>64</v>
      </c>
      <c r="S37" s="238"/>
      <c r="T37" s="239"/>
    </row>
    <row r="38" spans="1:20" ht="24" customHeight="1">
      <c r="A38" s="226">
        <v>19</v>
      </c>
      <c r="B38" s="226">
        <v>99990008656218</v>
      </c>
      <c r="C38" s="227">
        <v>591021</v>
      </c>
      <c r="D38" s="228" t="s">
        <v>65</v>
      </c>
      <c r="E38" s="229"/>
      <c r="F38" s="229">
        <v>591021</v>
      </c>
      <c r="G38" s="229" t="s">
        <v>47</v>
      </c>
      <c r="H38" s="230">
        <v>22.96</v>
      </c>
      <c r="I38" s="231">
        <v>3</v>
      </c>
      <c r="J38" s="232">
        <v>22.96</v>
      </c>
      <c r="K38" s="233"/>
      <c r="L38" s="231">
        <v>0</v>
      </c>
      <c r="M38" s="231">
        <v>0</v>
      </c>
      <c r="N38" s="234">
        <f>ROUND(((I38*J38)-((I38*J38)*L38/100))+(((I38*J38)-((I38*J38)*L38/100))*M38/100),2)</f>
      </c>
      <c r="O38" s="230" t="s">
        <v>228</v>
      </c>
      <c r="P38" s="235" t="s">
        <v>233</v>
      </c>
      <c r="Q38" s="236"/>
      <c r="R38" s="237"/>
      <c r="S38" s="238"/>
      <c r="T38" s="239"/>
    </row>
    <row r="39" spans="1:20" ht="24" customHeight="1">
      <c r="A39" s="226">
        <v>20</v>
      </c>
      <c r="B39" s="226">
        <v>99990008655906</v>
      </c>
      <c r="C39" s="227">
        <v>510462</v>
      </c>
      <c r="D39" s="228" t="s">
        <v>66</v>
      </c>
      <c r="E39" s="229"/>
      <c r="F39" s="229">
        <v>510462</v>
      </c>
      <c r="G39" s="229" t="s">
        <v>44</v>
      </c>
      <c r="H39" s="230">
        <v>0.14</v>
      </c>
      <c r="I39" s="231">
        <v>200</v>
      </c>
      <c r="J39" s="232">
        <v>0.14</v>
      </c>
      <c r="K39" s="233"/>
      <c r="L39" s="231">
        <v>0</v>
      </c>
      <c r="M39" s="231">
        <v>0</v>
      </c>
      <c r="N39" s="234">
        <f>ROUND(((I39*J39)-((I39*J39)*L39/100))+(((I39*J39)-((I39*J39)*L39/100))*M39/100),2)</f>
      </c>
      <c r="O39" s="230" t="s">
        <v>228</v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99990008180094</v>
      </c>
      <c r="C40" s="227">
        <v>350451</v>
      </c>
      <c r="D40" s="228" t="s">
        <v>67</v>
      </c>
      <c r="E40" s="229"/>
      <c r="F40" s="229">
        <v>350451</v>
      </c>
      <c r="G40" s="229" t="s">
        <v>68</v>
      </c>
      <c r="H40" s="230">
        <v>0</v>
      </c>
      <c r="I40" s="231">
        <v>100</v>
      </c>
      <c r="J40" s="232">
        <v>2.35</v>
      </c>
      <c r="K40" s="233"/>
      <c r="L40" s="231">
        <v>0</v>
      </c>
      <c r="M40" s="231">
        <v>0</v>
      </c>
      <c r="N40" s="234">
        <f>ROUND(((I40*J40)-((I40*J40)*L40/100))+(((I40*J40)-((I40*J40)*L40/100))*M40/100),2)</f>
      </c>
      <c r="O40" s="230" t="s">
        <v>228</v>
      </c>
      <c r="P40" s="235" t="s">
        <v>234</v>
      </c>
      <c r="Q40" s="236"/>
      <c r="R40" s="237"/>
      <c r="S40" s="238"/>
      <c r="T40" s="239"/>
    </row>
    <row r="41" spans="1:20" ht="24" customHeight="1">
      <c r="A41" s="226">
        <v>22</v>
      </c>
      <c r="B41" s="226">
        <v>99990009873263</v>
      </c>
      <c r="C41" s="227">
        <v>311051</v>
      </c>
      <c r="D41" s="228" t="s">
        <v>69</v>
      </c>
      <c r="E41" s="229"/>
      <c r="F41" s="229">
        <v>311051</v>
      </c>
      <c r="G41" s="229" t="s">
        <v>55</v>
      </c>
      <c r="H41" s="230">
        <v>0</v>
      </c>
      <c r="I41" s="231">
        <v>20</v>
      </c>
      <c r="J41" s="232">
        <v>0.49</v>
      </c>
      <c r="K41" s="233"/>
      <c r="L41" s="231">
        <v>0</v>
      </c>
      <c r="M41" s="231">
        <v>0</v>
      </c>
      <c r="N41" s="234">
        <f>ROUND(((I41*J41)-((I41*J41)*L41/100))+(((I41*J41)-((I41*J41)*L41/100))*M41/100),2)</f>
      </c>
      <c r="O41" s="230" t="s">
        <v>228</v>
      </c>
      <c r="P41" s="235" t="s">
        <v>235</v>
      </c>
      <c r="Q41" s="236"/>
      <c r="R41" s="237"/>
      <c r="S41" s="238"/>
      <c r="T41" s="239"/>
    </row>
    <row r="42" spans="1:20" ht="24" customHeight="1">
      <c r="A42" s="226">
        <v>23</v>
      </c>
      <c r="B42" s="226">
        <v>99990010763544</v>
      </c>
      <c r="C42" s="227">
        <v>231356</v>
      </c>
      <c r="D42" s="228" t="s">
        <v>70</v>
      </c>
      <c r="E42" s="229"/>
      <c r="F42" s="229">
        <v>231356</v>
      </c>
      <c r="G42" s="229" t="s">
        <v>44</v>
      </c>
      <c r="H42" s="230">
        <v>0</v>
      </c>
      <c r="I42" s="231">
        <v>10</v>
      </c>
      <c r="J42" s="232">
        <v>0.86</v>
      </c>
      <c r="K42" s="233"/>
      <c r="L42" s="231">
        <v>0</v>
      </c>
      <c r="M42" s="231">
        <v>0</v>
      </c>
      <c r="N42" s="234">
        <f>ROUND(((I42*J42)-((I42*J42)*L42/100))+(((I42*J42)-((I42*J42)*L42/100))*M42/100),2)</f>
      </c>
      <c r="O42" s="230" t="s">
        <v>228</v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99990010179130</v>
      </c>
      <c r="C43" s="227">
        <v>211355</v>
      </c>
      <c r="D43" s="228" t="s">
        <v>71</v>
      </c>
      <c r="E43" s="229"/>
      <c r="F43" s="229">
        <v>211355</v>
      </c>
      <c r="G43" s="229" t="s">
        <v>72</v>
      </c>
      <c r="H43" s="230">
        <v>0</v>
      </c>
      <c r="I43" s="231">
        <v>1</v>
      </c>
      <c r="J43" s="232">
        <v>45.56</v>
      </c>
      <c r="K43" s="233"/>
      <c r="L43" s="231">
        <v>0</v>
      </c>
      <c r="M43" s="231">
        <v>0</v>
      </c>
      <c r="N43" s="234">
        <f>ROUND(((I43*J43)-((I43*J43)*L43/100))+(((I43*J43)-((I43*J43)*L43/100))*M43/100),2)</f>
      </c>
      <c r="O43" s="230" t="s">
        <v>228</v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99990009872429</v>
      </c>
      <c r="C44" s="227">
        <v>190415</v>
      </c>
      <c r="D44" s="228" t="s">
        <v>73</v>
      </c>
      <c r="E44" s="229"/>
      <c r="F44" s="229">
        <v>190415</v>
      </c>
      <c r="G44" s="229" t="s">
        <v>47</v>
      </c>
      <c r="H44" s="230">
        <v>0</v>
      </c>
      <c r="I44" s="231">
        <v>5</v>
      </c>
      <c r="J44" s="232">
        <v>10.31</v>
      </c>
      <c r="K44" s="233"/>
      <c r="L44" s="231">
        <v>0</v>
      </c>
      <c r="M44" s="231">
        <v>0</v>
      </c>
      <c r="N44" s="234">
        <f>ROUND(((I44*J44)-((I44*J44)*L44/100))+(((I44*J44)-((I44*J44)*L44/100))*M44/100),2)</f>
      </c>
      <c r="O44" s="230" t="s">
        <v>228</v>
      </c>
      <c r="P44" s="235"/>
      <c r="Q44" s="236"/>
      <c r="R44" s="237"/>
      <c r="S44" s="238"/>
      <c r="T44" s="239"/>
    </row>
    <row r="45" spans="1:20" ht="24" customHeight="1">
      <c r="A45" s="226">
        <v>26</v>
      </c>
      <c r="B45" s="226">
        <v>99990009872434</v>
      </c>
      <c r="C45" s="227">
        <v>190409</v>
      </c>
      <c r="D45" s="228" t="s">
        <v>74</v>
      </c>
      <c r="E45" s="229"/>
      <c r="F45" s="229">
        <v>190409</v>
      </c>
      <c r="G45" s="229" t="s">
        <v>47</v>
      </c>
      <c r="H45" s="230">
        <v>0</v>
      </c>
      <c r="I45" s="231">
        <v>5</v>
      </c>
      <c r="J45" s="232">
        <v>5.33</v>
      </c>
      <c r="K45" s="233"/>
      <c r="L45" s="231">
        <v>0</v>
      </c>
      <c r="M45" s="231">
        <v>0</v>
      </c>
      <c r="N45" s="234">
        <f>ROUND(((I45*J45)-((I45*J45)*L45/100))+(((I45*J45)-((I45*J45)*L45/100))*M45/100),2)</f>
      </c>
      <c r="O45" s="230" t="s">
        <v>228</v>
      </c>
      <c r="P45" s="235"/>
      <c r="Q45" s="236"/>
      <c r="R45" s="237"/>
      <c r="S45" s="238"/>
      <c r="T45" s="239"/>
    </row>
    <row r="46" spans="1:20" ht="24" customHeight="1">
      <c r="A46" s="226">
        <v>27</v>
      </c>
      <c r="B46" s="226">
        <v>99990009872893</v>
      </c>
      <c r="C46" s="227">
        <v>190131</v>
      </c>
      <c r="D46" s="228" t="s">
        <v>75</v>
      </c>
      <c r="E46" s="229"/>
      <c r="F46" s="229">
        <v>190131</v>
      </c>
      <c r="G46" s="229" t="s">
        <v>55</v>
      </c>
      <c r="H46" s="230">
        <v>0</v>
      </c>
      <c r="I46" s="231">
        <v>20</v>
      </c>
      <c r="J46" s="232">
        <v>1.16</v>
      </c>
      <c r="K46" s="233"/>
      <c r="L46" s="231">
        <v>0</v>
      </c>
      <c r="M46" s="231">
        <v>0</v>
      </c>
      <c r="N46" s="234">
        <f>ROUND(((I46*J46)-((I46*J46)*L46/100))+(((I46*J46)-((I46*J46)*L46/100))*M46/100),2)</f>
      </c>
      <c r="O46" s="230" t="s">
        <v>228</v>
      </c>
      <c r="P46" s="235"/>
      <c r="Q46" s="236"/>
      <c r="R46" s="237"/>
      <c r="S46" s="238"/>
      <c r="T46" s="239"/>
    </row>
    <row r="47" spans="1:20" ht="24" customHeight="1">
      <c r="A47" s="226">
        <v>28</v>
      </c>
      <c r="B47" s="226">
        <v>99990009872898</v>
      </c>
      <c r="C47" s="227">
        <v>190112</v>
      </c>
      <c r="D47" s="228" t="s">
        <v>76</v>
      </c>
      <c r="E47" s="229"/>
      <c r="F47" s="229">
        <v>190112</v>
      </c>
      <c r="G47" s="229" t="s">
        <v>55</v>
      </c>
      <c r="H47" s="230">
        <v>0</v>
      </c>
      <c r="I47" s="231">
        <v>100</v>
      </c>
      <c r="J47" s="232">
        <v>1.34</v>
      </c>
      <c r="K47" s="233"/>
      <c r="L47" s="231">
        <v>0</v>
      </c>
      <c r="M47" s="231">
        <v>0</v>
      </c>
      <c r="N47" s="234">
        <f>ROUND(((I47*J47)-((I47*J47)*L47/100))+(((I47*J47)-((I47*J47)*L47/100))*M47/100),2)</f>
      </c>
      <c r="O47" s="230" t="s">
        <v>228</v>
      </c>
      <c r="P47" s="235"/>
      <c r="Q47" s="236"/>
      <c r="R47" s="237"/>
      <c r="S47" s="238"/>
      <c r="T47" s="239"/>
    </row>
    <row r="48" spans="1:20" ht="24" customHeight="1">
      <c r="A48" s="226">
        <v>29</v>
      </c>
      <c r="B48" s="226">
        <v>99990009872907</v>
      </c>
      <c r="C48" s="227">
        <v>190101</v>
      </c>
      <c r="D48" s="228" t="s">
        <v>77</v>
      </c>
      <c r="E48" s="229"/>
      <c r="F48" s="229">
        <v>190101</v>
      </c>
      <c r="G48" s="229" t="s">
        <v>78</v>
      </c>
      <c r="H48" s="230">
        <v>0</v>
      </c>
      <c r="I48" s="231">
        <v>200</v>
      </c>
      <c r="J48" s="232">
        <v>1.56</v>
      </c>
      <c r="K48" s="233"/>
      <c r="L48" s="231">
        <v>0</v>
      </c>
      <c r="M48" s="231">
        <v>0</v>
      </c>
      <c r="N48" s="234">
        <f>ROUND(((I48*J48)-((I48*J48)*L48/100))+(((I48*J48)-((I48*J48)*L48/100))*M48/100),2)</f>
      </c>
      <c r="O48" s="230" t="s">
        <v>228</v>
      </c>
      <c r="P48" s="235"/>
      <c r="Q48" s="236"/>
      <c r="R48" s="237"/>
      <c r="S48" s="238"/>
      <c r="T48" s="239"/>
    </row>
    <row r="49" spans="1:20" ht="24" customHeight="1">
      <c r="A49" s="226">
        <v>30</v>
      </c>
      <c r="B49" s="226">
        <v>99990011877343</v>
      </c>
      <c r="C49" s="227">
        <v>2629738</v>
      </c>
      <c r="D49" s="228" t="s">
        <v>79</v>
      </c>
      <c r="E49" s="229"/>
      <c r="F49" s="229">
        <v>412082150</v>
      </c>
      <c r="G49" s="229" t="s">
        <v>44</v>
      </c>
      <c r="H49" s="230">
        <v>0</v>
      </c>
      <c r="I49" s="231">
        <v>1</v>
      </c>
      <c r="J49" s="232">
        <v>29.61</v>
      </c>
      <c r="K49" s="233"/>
      <c r="L49" s="231">
        <v>0</v>
      </c>
      <c r="M49" s="231">
        <v>0</v>
      </c>
      <c r="N49" s="234">
        <f>ROUND(((I49*J49)-((I49*J49)*L49/100))+(((I49*J49)-((I49*J49)*L49/100))*M49/100),2)</f>
      </c>
      <c r="O49" s="230" t="s">
        <v>228</v>
      </c>
      <c r="P49" s="235" t="s">
        <v>236</v>
      </c>
      <c r="Q49" s="236"/>
      <c r="R49" s="237"/>
      <c r="S49" s="238"/>
      <c r="T49" s="239"/>
    </row>
    <row r="50" spans="1:20" ht="24" customHeight="1">
      <c r="A50" s="226">
        <v>31</v>
      </c>
      <c r="B50" s="226">
        <v>99990008655535</v>
      </c>
      <c r="C50" s="227">
        <v>490512</v>
      </c>
      <c r="D50" s="228" t="s">
        <v>80</v>
      </c>
      <c r="E50" s="229"/>
      <c r="F50" s="229">
        <v>490512</v>
      </c>
      <c r="G50" s="229" t="s">
        <v>44</v>
      </c>
      <c r="H50" s="230">
        <v>1.65</v>
      </c>
      <c r="I50" s="231">
        <v>30</v>
      </c>
      <c r="J50" s="232">
        <v>1.65</v>
      </c>
      <c r="K50" s="233"/>
      <c r="L50" s="231">
        <v>0</v>
      </c>
      <c r="M50" s="231">
        <v>0</v>
      </c>
      <c r="N50" s="234">
        <f>ROUND(((I50*J50)-((I50*J50)*L50/100))+(((I50*J50)-((I50*J50)*L50/100))*M50/100),2)</f>
      </c>
      <c r="O50" s="230" t="s">
        <v>228</v>
      </c>
      <c r="P50" s="235" t="s">
        <v>237</v>
      </c>
      <c r="Q50" s="236"/>
      <c r="R50" s="237"/>
      <c r="S50" s="238"/>
      <c r="T50" s="239"/>
    </row>
    <row r="51" spans="1:20" ht="24" customHeight="1">
      <c r="A51" s="226">
        <v>32</v>
      </c>
      <c r="B51" s="226">
        <v>99990008655532</v>
      </c>
      <c r="C51" s="227">
        <v>490509</v>
      </c>
      <c r="D51" s="228" t="s">
        <v>81</v>
      </c>
      <c r="E51" s="229"/>
      <c r="F51" s="229">
        <v>490509</v>
      </c>
      <c r="G51" s="229" t="s">
        <v>44</v>
      </c>
      <c r="H51" s="230">
        <v>1.64</v>
      </c>
      <c r="I51" s="231">
        <v>5</v>
      </c>
      <c r="J51" s="232">
        <v>0</v>
      </c>
      <c r="K51" s="233"/>
      <c r="L51" s="231">
        <v>0</v>
      </c>
      <c r="M51" s="231">
        <v>0</v>
      </c>
      <c r="N51" s="234">
        <f>ROUND(((I51*J51)-((I51*J51)*L51/100))+(((I51*J51)-((I51*J51)*L51/100))*M51/100),2)</f>
      </c>
      <c r="O51" s="230" t="s">
        <v>228</v>
      </c>
      <c r="P51" s="235" t="s">
        <v>238</v>
      </c>
      <c r="Q51" s="236"/>
      <c r="R51" s="237" t="s">
        <v>82</v>
      </c>
      <c r="S51" s="238"/>
      <c r="T51" s="239"/>
    </row>
    <row r="52" spans="1:20" ht="24" customHeight="1">
      <c r="A52" s="226">
        <v>33</v>
      </c>
      <c r="B52" s="226">
        <v>99990008190995</v>
      </c>
      <c r="C52" s="227">
        <v>615116</v>
      </c>
      <c r="D52" s="228" t="s">
        <v>83</v>
      </c>
      <c r="E52" s="229"/>
      <c r="F52" s="229">
        <v>615116</v>
      </c>
      <c r="G52" s="229" t="s">
        <v>47</v>
      </c>
      <c r="H52" s="230">
        <v>0</v>
      </c>
      <c r="I52" s="231">
        <v>2</v>
      </c>
      <c r="J52" s="232">
        <v>22.78</v>
      </c>
      <c r="K52" s="233"/>
      <c r="L52" s="231">
        <v>0</v>
      </c>
      <c r="M52" s="231">
        <v>0</v>
      </c>
      <c r="N52" s="234">
        <f>ROUND(((I52*J52)-((I52*J52)*L52/100))+(((I52*J52)-((I52*J52)*L52/100))*M52/100),2)</f>
      </c>
      <c r="O52" s="230" t="s">
        <v>228</v>
      </c>
      <c r="P52" s="235"/>
      <c r="Q52" s="236"/>
      <c r="R52" s="237"/>
      <c r="S52" s="238"/>
      <c r="T52" s="239"/>
    </row>
    <row r="53" spans="1:20" ht="24" customHeight="1">
      <c r="A53" s="226">
        <v>34</v>
      </c>
      <c r="B53" s="226">
        <v>99990008658203</v>
      </c>
      <c r="C53" s="227">
        <v>630255</v>
      </c>
      <c r="D53" s="228" t="s">
        <v>84</v>
      </c>
      <c r="E53" s="229"/>
      <c r="F53" s="229">
        <v>630255</v>
      </c>
      <c r="G53" s="229" t="s">
        <v>47</v>
      </c>
      <c r="H53" s="230">
        <v>20.96</v>
      </c>
      <c r="I53" s="231">
        <v>1</v>
      </c>
      <c r="J53" s="232">
        <v>20.96</v>
      </c>
      <c r="K53" s="233"/>
      <c r="L53" s="231">
        <v>0</v>
      </c>
      <c r="M53" s="231">
        <v>0</v>
      </c>
      <c r="N53" s="234">
        <f>ROUND(((I53*J53)-((I53*J53)*L53/100))+(((I53*J53)-((I53*J53)*L53/100))*M53/100),2)</f>
      </c>
      <c r="O53" s="230" t="s">
        <v>228</v>
      </c>
      <c r="P53" s="235"/>
      <c r="Q53" s="236"/>
      <c r="R53" s="237"/>
      <c r="S53" s="238"/>
      <c r="T53" s="239"/>
    </row>
    <row r="54" spans="1:20" ht="24" customHeight="1">
      <c r="A54" s="226">
        <v>35</v>
      </c>
      <c r="B54" s="226">
        <v>99990008655922</v>
      </c>
      <c r="C54" s="227">
        <v>510646</v>
      </c>
      <c r="D54" s="228" t="s">
        <v>85</v>
      </c>
      <c r="E54" s="229"/>
      <c r="F54" s="229">
        <v>510646</v>
      </c>
      <c r="G54" s="229" t="s">
        <v>44</v>
      </c>
      <c r="H54" s="230">
        <v>0.84</v>
      </c>
      <c r="I54" s="231">
        <v>10</v>
      </c>
      <c r="J54" s="232">
        <v>0.84</v>
      </c>
      <c r="K54" s="233"/>
      <c r="L54" s="231">
        <v>0</v>
      </c>
      <c r="M54" s="231">
        <v>0</v>
      </c>
      <c r="N54" s="234">
        <f>ROUND(((I54*J54)-((I54*J54)*L54/100))+(((I54*J54)-((I54*J54)*L54/100))*M54/100),2)</f>
      </c>
      <c r="O54" s="230" t="s">
        <v>228</v>
      </c>
      <c r="P54" s="235"/>
      <c r="Q54" s="236"/>
      <c r="R54" s="237"/>
      <c r="S54" s="238"/>
      <c r="T54" s="239"/>
    </row>
    <row r="55" spans="1:20" ht="24" customHeight="1">
      <c r="A55" s="226">
        <v>36</v>
      </c>
      <c r="B55" s="226">
        <v>99990008176223</v>
      </c>
      <c r="C55" s="227">
        <v>232621</v>
      </c>
      <c r="D55" s="228" t="s">
        <v>86</v>
      </c>
      <c r="E55" s="229"/>
      <c r="F55" s="229">
        <v>232621</v>
      </c>
      <c r="G55" s="229" t="s">
        <v>55</v>
      </c>
      <c r="H55" s="230">
        <v>0</v>
      </c>
      <c r="I55" s="231">
        <v>2</v>
      </c>
      <c r="J55" s="232">
        <v>10.57</v>
      </c>
      <c r="K55" s="233"/>
      <c r="L55" s="231">
        <v>0</v>
      </c>
      <c r="M55" s="231">
        <v>0</v>
      </c>
      <c r="N55" s="234">
        <f>ROUND(((I55*J55)-((I55*J55)*L55/100))+(((I55*J55)-((I55*J55)*L55/100))*M55/100),2)</f>
      </c>
      <c r="O55" s="230" t="s">
        <v>228</v>
      </c>
      <c r="P55" s="235"/>
      <c r="Q55" s="236"/>
      <c r="R55" s="237"/>
      <c r="S55" s="238"/>
      <c r="T55" s="239"/>
    </row>
    <row r="56" spans="1:20" ht="24" customHeight="1">
      <c r="A56" s="226">
        <v>37</v>
      </c>
      <c r="B56" s="226">
        <v>99990009873102</v>
      </c>
      <c r="C56" s="227">
        <v>314116</v>
      </c>
      <c r="D56" s="228" t="s">
        <v>87</v>
      </c>
      <c r="E56" s="229"/>
      <c r="F56" s="229">
        <v>314116</v>
      </c>
      <c r="G56" s="229" t="s">
        <v>44</v>
      </c>
      <c r="H56" s="230">
        <v>0</v>
      </c>
      <c r="I56" s="231">
        <v>2</v>
      </c>
      <c r="J56" s="232">
        <v>53.6</v>
      </c>
      <c r="K56" s="233"/>
      <c r="L56" s="231">
        <v>0</v>
      </c>
      <c r="M56" s="231">
        <v>0</v>
      </c>
      <c r="N56" s="234">
        <f>ROUND(((I56*J56)-((I56*J56)*L56/100))+(((I56*J56)-((I56*J56)*L56/100))*M56/100),2)</f>
      </c>
      <c r="O56" s="230" t="s">
        <v>228</v>
      </c>
      <c r="P56" s="235"/>
      <c r="Q56" s="236"/>
      <c r="R56" s="237"/>
      <c r="S56" s="238"/>
      <c r="T56" s="239"/>
    </row>
    <row r="57" spans="1:20" ht="24" customHeight="1">
      <c r="A57" s="226">
        <v>38</v>
      </c>
      <c r="B57" s="226">
        <v>99990009873107</v>
      </c>
      <c r="C57" s="227">
        <v>314111</v>
      </c>
      <c r="D57" s="228" t="s">
        <v>88</v>
      </c>
      <c r="E57" s="229"/>
      <c r="F57" s="229">
        <v>314111</v>
      </c>
      <c r="G57" s="229" t="s">
        <v>44</v>
      </c>
      <c r="H57" s="230">
        <v>0</v>
      </c>
      <c r="I57" s="231">
        <v>3</v>
      </c>
      <c r="J57" s="232">
        <v>217.15</v>
      </c>
      <c r="K57" s="233"/>
      <c r="L57" s="231">
        <v>0</v>
      </c>
      <c r="M57" s="231">
        <v>0</v>
      </c>
      <c r="N57" s="234">
        <f>ROUND(((I57*J57)-((I57*J57)*L57/100))+(((I57*J57)-((I57*J57)*L57/100))*M57/100),2)</f>
      </c>
      <c r="O57" s="230" t="s">
        <v>228</v>
      </c>
      <c r="P57" s="235" t="s">
        <v>239</v>
      </c>
      <c r="Q57" s="236"/>
      <c r="R57" s="237"/>
      <c r="S57" s="238"/>
      <c r="T57" s="239"/>
    </row>
    <row r="58" spans="1:20" ht="24" customHeight="1">
      <c r="A58" s="226">
        <v>39</v>
      </c>
      <c r="B58" s="226">
        <v>99990009873109</v>
      </c>
      <c r="C58" s="227">
        <v>310351</v>
      </c>
      <c r="D58" s="228" t="s">
        <v>89</v>
      </c>
      <c r="E58" s="229"/>
      <c r="F58" s="229">
        <v>310351</v>
      </c>
      <c r="G58" s="229" t="s">
        <v>44</v>
      </c>
      <c r="H58" s="230">
        <v>0</v>
      </c>
      <c r="I58" s="231">
        <v>3</v>
      </c>
      <c r="J58" s="232">
        <v>180.33</v>
      </c>
      <c r="K58" s="233"/>
      <c r="L58" s="231">
        <v>0</v>
      </c>
      <c r="M58" s="231">
        <v>0</v>
      </c>
      <c r="N58" s="234">
        <f>ROUND(((I58*J58)-((I58*J58)*L58/100))+(((I58*J58)-((I58*J58)*L58/100))*M58/100),2)</f>
      </c>
      <c r="O58" s="230" t="s">
        <v>228</v>
      </c>
      <c r="P58" s="235" t="s">
        <v>239</v>
      </c>
      <c r="Q58" s="236"/>
      <c r="R58" s="237"/>
      <c r="S58" s="238"/>
      <c r="T58" s="239"/>
    </row>
    <row r="59" spans="1:20" ht="24" customHeight="1">
      <c r="A59" s="226">
        <v>40</v>
      </c>
      <c r="B59" s="226">
        <v>99990008655504</v>
      </c>
      <c r="C59" s="227">
        <v>232726</v>
      </c>
      <c r="D59" s="228" t="s">
        <v>90</v>
      </c>
      <c r="E59" s="229"/>
      <c r="F59" s="229">
        <v>232726</v>
      </c>
      <c r="G59" s="229" t="s">
        <v>44</v>
      </c>
      <c r="H59" s="230">
        <v>17.97</v>
      </c>
      <c r="I59" s="231">
        <v>2</v>
      </c>
      <c r="J59" s="232">
        <v>16.97</v>
      </c>
      <c r="K59" s="233"/>
      <c r="L59" s="231">
        <v>0</v>
      </c>
      <c r="M59" s="231">
        <v>0</v>
      </c>
      <c r="N59" s="234">
        <f>ROUND(((I59*J59)-((I59*J59)*L59/100))+(((I59*J59)-((I59*J59)*L59/100))*M59/100),2)</f>
      </c>
      <c r="O59" s="230" t="s">
        <v>228</v>
      </c>
      <c r="P59" s="235" t="s">
        <v>240</v>
      </c>
      <c r="Q59" s="236"/>
      <c r="R59" s="237"/>
      <c r="S59" s="238"/>
      <c r="T59" s="239"/>
    </row>
    <row r="60" spans="1:20" ht="24" customHeight="1">
      <c r="A60" s="226">
        <v>41</v>
      </c>
      <c r="B60" s="226">
        <v>99990008175965</v>
      </c>
      <c r="C60" s="227">
        <v>232076</v>
      </c>
      <c r="D60" s="228" t="s">
        <v>91</v>
      </c>
      <c r="E60" s="229"/>
      <c r="F60" s="229">
        <v>232076</v>
      </c>
      <c r="G60" s="229" t="s">
        <v>47</v>
      </c>
      <c r="H60" s="230">
        <v>0</v>
      </c>
      <c r="I60" s="231">
        <v>1</v>
      </c>
      <c r="J60" s="232">
        <v>621.24</v>
      </c>
      <c r="K60" s="233"/>
      <c r="L60" s="231">
        <v>0</v>
      </c>
      <c r="M60" s="231">
        <v>0</v>
      </c>
      <c r="N60" s="234">
        <f>ROUND(((I60*J60)-((I60*J60)*L60/100))+(((I60*J60)-((I60*J60)*L60/100))*M60/100),2)</f>
      </c>
      <c r="O60" s="230" t="s">
        <v>228</v>
      </c>
      <c r="P60" s="235" t="s">
        <v>241</v>
      </c>
      <c r="Q60" s="236"/>
      <c r="R60" s="237" t="s">
        <v>92</v>
      </c>
      <c r="S60" s="238"/>
      <c r="T60" s="239"/>
    </row>
    <row r="61" spans="1:20" ht="24" customHeight="1">
      <c r="A61" s="226">
        <v>42</v>
      </c>
      <c r="B61" s="226">
        <v>99990008655665</v>
      </c>
      <c r="C61" s="227">
        <v>615233</v>
      </c>
      <c r="D61" s="228" t="s">
        <v>93</v>
      </c>
      <c r="E61" s="229"/>
      <c r="F61" s="229">
        <v>615233</v>
      </c>
      <c r="G61" s="229" t="s">
        <v>47</v>
      </c>
      <c r="H61" s="230">
        <v>9.98</v>
      </c>
      <c r="I61" s="231">
        <v>1</v>
      </c>
      <c r="J61" s="232">
        <v>9.98</v>
      </c>
      <c r="K61" s="233"/>
      <c r="L61" s="231">
        <v>0</v>
      </c>
      <c r="M61" s="231">
        <v>0</v>
      </c>
      <c r="N61" s="234">
        <f>ROUND(((I61*J61)-((I61*J61)*L61/100))+(((I61*J61)-((I61*J61)*L61/100))*M61/100),2)</f>
      </c>
      <c r="O61" s="230" t="s">
        <v>228</v>
      </c>
      <c r="P61" s="235"/>
      <c r="Q61" s="236"/>
      <c r="R61" s="237"/>
      <c r="S61" s="238"/>
      <c r="T61" s="239"/>
    </row>
    <row r="62" spans="1:20" ht="24" customHeight="1">
      <c r="A62" s="226">
        <v>43</v>
      </c>
      <c r="B62" s="226">
        <v>99990009575538</v>
      </c>
      <c r="C62" s="227">
        <v>2138254</v>
      </c>
      <c r="D62" s="228" t="s">
        <v>94</v>
      </c>
      <c r="E62" s="229"/>
      <c r="F62" s="229">
        <v>673901</v>
      </c>
      <c r="G62" s="229" t="s">
        <v>95</v>
      </c>
      <c r="H62" s="230">
        <v>0</v>
      </c>
      <c r="I62" s="231">
        <v>2</v>
      </c>
      <c r="J62" s="232">
        <v>12.75</v>
      </c>
      <c r="K62" s="233"/>
      <c r="L62" s="231">
        <v>0</v>
      </c>
      <c r="M62" s="231">
        <v>0</v>
      </c>
      <c r="N62" s="234">
        <f>ROUND(((I62*J62)-((I62*J62)*L62/100))+(((I62*J62)-((I62*J62)*L62/100))*M62/100),2)</f>
      </c>
      <c r="O62" s="230" t="s">
        <v>228</v>
      </c>
      <c r="P62" s="235" t="s">
        <v>242</v>
      </c>
      <c r="Q62" s="236"/>
      <c r="R62" s="237" t="s">
        <v>96</v>
      </c>
      <c r="S62" s="238"/>
      <c r="T62" s="239"/>
    </row>
    <row r="63" spans="1:20" ht="24" customHeight="1">
      <c r="A63" s="226">
        <v>44</v>
      </c>
      <c r="B63" s="226">
        <v>99990008655503</v>
      </c>
      <c r="C63" s="227">
        <v>232724</v>
      </c>
      <c r="D63" s="228" t="s">
        <v>97</v>
      </c>
      <c r="E63" s="229"/>
      <c r="F63" s="229">
        <v>232724</v>
      </c>
      <c r="G63" s="229" t="s">
        <v>44</v>
      </c>
      <c r="H63" s="230">
        <v>9.98</v>
      </c>
      <c r="I63" s="231">
        <v>2</v>
      </c>
      <c r="J63" s="232">
        <v>11.39</v>
      </c>
      <c r="K63" s="233"/>
      <c r="L63" s="231">
        <v>0</v>
      </c>
      <c r="M63" s="231">
        <v>0</v>
      </c>
      <c r="N63" s="234">
        <f>ROUND(((I63*J63)-((I63*J63)*L63/100))+(((I63*J63)-((I63*J63)*L63/100))*M63/100),2)</f>
      </c>
      <c r="O63" s="230" t="s">
        <v>228</v>
      </c>
      <c r="P63" s="235" t="s">
        <v>243</v>
      </c>
      <c r="Q63" s="236"/>
      <c r="R63" s="237"/>
      <c r="S63" s="238"/>
      <c r="T63" s="239"/>
    </row>
    <row r="64" spans="1:20" ht="24" customHeight="1">
      <c r="A64" s="226">
        <v>45</v>
      </c>
      <c r="B64" s="226">
        <v>99990011391687</v>
      </c>
      <c r="C64" s="227">
        <v>812705</v>
      </c>
      <c r="D64" s="228" t="s">
        <v>98</v>
      </c>
      <c r="E64" s="229"/>
      <c r="F64" s="229">
        <v>812705</v>
      </c>
      <c r="G64" s="229" t="s">
        <v>99</v>
      </c>
      <c r="H64" s="230">
        <v>0</v>
      </c>
      <c r="I64" s="231">
        <v>2</v>
      </c>
      <c r="J64" s="232">
        <v>3.8</v>
      </c>
      <c r="K64" s="233"/>
      <c r="L64" s="231">
        <v>0</v>
      </c>
      <c r="M64" s="231">
        <v>0</v>
      </c>
      <c r="N64" s="234">
        <f>ROUND(((I64*J64)-((I64*J64)*L64/100))+(((I64*J64)-((I64*J64)*L64/100))*M64/100),2)</f>
      </c>
      <c r="O64" s="230" t="s">
        <v>228</v>
      </c>
      <c r="P64" s="235" t="s">
        <v>244</v>
      </c>
      <c r="Q64" s="236"/>
      <c r="R64" s="237"/>
      <c r="S64" s="238"/>
      <c r="T64" s="239"/>
    </row>
    <row r="65" spans="1:20" ht="24" customHeight="1">
      <c r="A65" s="226">
        <v>46</v>
      </c>
      <c r="B65" s="226">
        <v>99990010306038</v>
      </c>
      <c r="C65" s="227">
        <v>815009</v>
      </c>
      <c r="D65" s="228" t="s">
        <v>100</v>
      </c>
      <c r="E65" s="229"/>
      <c r="F65" s="229">
        <v>815009</v>
      </c>
      <c r="G65" s="229" t="s">
        <v>101</v>
      </c>
      <c r="H65" s="230">
        <v>0</v>
      </c>
      <c r="I65" s="231">
        <v>30</v>
      </c>
      <c r="J65" s="232">
        <v>16.4</v>
      </c>
      <c r="K65" s="233"/>
      <c r="L65" s="231">
        <v>0</v>
      </c>
      <c r="M65" s="231">
        <v>0</v>
      </c>
      <c r="N65" s="234">
        <f>ROUND(((I65*J65)-((I65*J65)*L65/100))+(((I65*J65)-((I65*J65)*L65/100))*M65/100),2)</f>
      </c>
      <c r="O65" s="230" t="s">
        <v>228</v>
      </c>
      <c r="P65" s="235"/>
      <c r="Q65" s="236"/>
      <c r="R65" s="237"/>
      <c r="S65" s="238"/>
      <c r="T65" s="239"/>
    </row>
    <row r="66" spans="1:20" ht="24" customHeight="1">
      <c r="A66" s="226">
        <v>47</v>
      </c>
      <c r="B66" s="226">
        <v>99990010306037</v>
      </c>
      <c r="C66" s="227">
        <v>815008</v>
      </c>
      <c r="D66" s="228" t="s">
        <v>102</v>
      </c>
      <c r="E66" s="229"/>
      <c r="F66" s="229">
        <v>815008</v>
      </c>
      <c r="G66" s="229" t="s">
        <v>101</v>
      </c>
      <c r="H66" s="230">
        <v>0</v>
      </c>
      <c r="I66" s="231">
        <v>30</v>
      </c>
      <c r="J66" s="232">
        <v>13.4</v>
      </c>
      <c r="K66" s="233"/>
      <c r="L66" s="231">
        <v>0</v>
      </c>
      <c r="M66" s="231">
        <v>0</v>
      </c>
      <c r="N66" s="234">
        <f>ROUND(((I66*J66)-((I66*J66)*L66/100))+(((I66*J66)-((I66*J66)*L66/100))*M66/100),2)</f>
      </c>
      <c r="O66" s="230" t="s">
        <v>228</v>
      </c>
      <c r="P66" s="235"/>
      <c r="Q66" s="236"/>
      <c r="R66" s="237"/>
      <c r="S66" s="238"/>
      <c r="T66" s="239"/>
    </row>
    <row r="67" spans="1:20" ht="24" customHeight="1">
      <c r="A67" s="226">
        <v>48</v>
      </c>
      <c r="B67" s="226">
        <v>99990010306034</v>
      </c>
      <c r="C67" s="227">
        <v>815004</v>
      </c>
      <c r="D67" s="228" t="s">
        <v>103</v>
      </c>
      <c r="E67" s="229"/>
      <c r="F67" s="229">
        <v>815004</v>
      </c>
      <c r="G67" s="229" t="s">
        <v>101</v>
      </c>
      <c r="H67" s="230">
        <v>0</v>
      </c>
      <c r="I67" s="231">
        <v>50</v>
      </c>
      <c r="J67" s="232">
        <v>11.8</v>
      </c>
      <c r="K67" s="233"/>
      <c r="L67" s="231">
        <v>0</v>
      </c>
      <c r="M67" s="231">
        <v>0</v>
      </c>
      <c r="N67" s="234">
        <f>ROUND(((I67*J67)-((I67*J67)*L67/100))+(((I67*J67)-((I67*J67)*L67/100))*M67/100),2)</f>
      </c>
      <c r="O67" s="230" t="s">
        <v>228</v>
      </c>
      <c r="P67" s="235"/>
      <c r="Q67" s="236"/>
      <c r="R67" s="237"/>
      <c r="S67" s="238"/>
      <c r="T67" s="239"/>
    </row>
    <row r="68" spans="1:20" ht="24" customHeight="1">
      <c r="A68" s="226">
        <v>49</v>
      </c>
      <c r="B68" s="226">
        <v>99990014636102</v>
      </c>
      <c r="C68" s="227">
        <v>2941800</v>
      </c>
      <c r="D68" s="228" t="s">
        <v>104</v>
      </c>
      <c r="E68" s="229"/>
      <c r="F68" s="229">
        <v>2941800</v>
      </c>
      <c r="G68" s="229" t="s">
        <v>47</v>
      </c>
      <c r="H68" s="230">
        <v>0</v>
      </c>
      <c r="I68" s="231">
        <v>1</v>
      </c>
      <c r="J68" s="232">
        <v>0</v>
      </c>
      <c r="K68" s="233"/>
      <c r="L68" s="231">
        <v>0</v>
      </c>
      <c r="M68" s="231">
        <v>0</v>
      </c>
      <c r="N68" s="234">
        <f>ROUND(((I68*J68)-((I68*J68)*L68/100))+(((I68*J68)-((I68*J68)*L68/100))*M68/100),2)</f>
      </c>
      <c r="O68" s="230" t="s">
        <v>228</v>
      </c>
      <c r="P68" s="235" t="s">
        <v>245</v>
      </c>
      <c r="Q68" s="236"/>
      <c r="R68" s="237"/>
      <c r="S68" s="238"/>
      <c r="T68" s="239"/>
    </row>
    <row r="69" spans="1:20" ht="24" customHeight="1">
      <c r="A69" s="226">
        <v>50</v>
      </c>
      <c r="B69" s="226">
        <v>265600005051</v>
      </c>
      <c r="C69" s="227" t="s">
        <v>105</v>
      </c>
      <c r="D69" s="228" t="s">
        <v>106</v>
      </c>
      <c r="E69" s="229"/>
      <c r="F69" s="229" t="s">
        <v>105</v>
      </c>
      <c r="G69" s="229" t="s">
        <v>42</v>
      </c>
      <c r="H69" s="230">
        <v>0</v>
      </c>
      <c r="I69" s="231">
        <v>2</v>
      </c>
      <c r="J69" s="232">
        <v>0</v>
      </c>
      <c r="K69" s="233"/>
      <c r="L69" s="231">
        <v>0</v>
      </c>
      <c r="M69" s="231">
        <v>0</v>
      </c>
      <c r="N69" s="234">
        <f>ROUND(((I69*J69)-((I69*J69)*L69/100))+(((I69*J69)-((I69*J69)*L69/100))*M69/100),2)</f>
      </c>
      <c r="O69" s="230" t="s">
        <v>228</v>
      </c>
      <c r="P69" s="235" t="s">
        <v>246</v>
      </c>
      <c r="Q69" s="236"/>
      <c r="R69" s="237"/>
      <c r="S69" s="238"/>
      <c r="T69" s="239"/>
    </row>
    <row r="70" spans="1:20" ht="24" customHeight="1">
      <c r="A70" s="226">
        <v>51</v>
      </c>
      <c r="B70" s="226">
        <v>265600005034</v>
      </c>
      <c r="C70" s="227" t="s">
        <v>107</v>
      </c>
      <c r="D70" s="228" t="s">
        <v>108</v>
      </c>
      <c r="E70" s="229"/>
      <c r="F70" s="229">
        <v>450155</v>
      </c>
      <c r="G70" s="229" t="s">
        <v>99</v>
      </c>
      <c r="H70" s="230">
        <v>0</v>
      </c>
      <c r="I70" s="231">
        <v>6</v>
      </c>
      <c r="J70" s="232">
        <v>28.85</v>
      </c>
      <c r="K70" s="233"/>
      <c r="L70" s="231">
        <v>0</v>
      </c>
      <c r="M70" s="231">
        <v>0</v>
      </c>
      <c r="N70" s="234">
        <f>ROUND(((I70*J70)-((I70*J70)*L70/100))+(((I70*J70)-((I70*J70)*L70/100))*M70/100),2)</f>
      </c>
      <c r="O70" s="230" t="s">
        <v>228</v>
      </c>
      <c r="P70" s="235" t="s">
        <v>236</v>
      </c>
      <c r="Q70" s="236"/>
      <c r="R70" s="237"/>
      <c r="S70" s="238"/>
      <c r="T70" s="239"/>
    </row>
    <row r="71" spans="1:20" ht="24" customHeight="1">
      <c r="A71" s="226">
        <v>52</v>
      </c>
      <c r="B71" s="226">
        <v>99990008657553</v>
      </c>
      <c r="C71" s="227">
        <v>812502</v>
      </c>
      <c r="D71" s="228" t="s">
        <v>109</v>
      </c>
      <c r="E71" s="229"/>
      <c r="F71" s="229">
        <v>812502</v>
      </c>
      <c r="G71" s="229" t="s">
        <v>44</v>
      </c>
      <c r="H71" s="230">
        <v>0.18</v>
      </c>
      <c r="I71" s="231">
        <v>10</v>
      </c>
      <c r="J71" s="232">
        <v>0.18</v>
      </c>
      <c r="K71" s="233"/>
      <c r="L71" s="231">
        <v>0</v>
      </c>
      <c r="M71" s="231">
        <v>0</v>
      </c>
      <c r="N71" s="234">
        <f>ROUND(((I71*J71)-((I71*J71)*L71/100))+(((I71*J71)-((I71*J71)*L71/100))*M71/100),2)</f>
      </c>
      <c r="O71" s="230" t="s">
        <v>228</v>
      </c>
      <c r="P71" s="235"/>
      <c r="Q71" s="236"/>
      <c r="R71" s="237"/>
      <c r="S71" s="238"/>
      <c r="T71" s="239"/>
    </row>
    <row r="72" spans="1:20" ht="24" customHeight="1">
      <c r="A72" s="226">
        <v>53</v>
      </c>
      <c r="B72" s="226">
        <v>265600005061</v>
      </c>
      <c r="C72" s="227" t="s">
        <v>110</v>
      </c>
      <c r="D72" s="228" t="s">
        <v>111</v>
      </c>
      <c r="E72" s="229"/>
      <c r="F72" s="229">
        <v>233258</v>
      </c>
      <c r="G72" s="229" t="s">
        <v>112</v>
      </c>
      <c r="H72" s="230">
        <v>0</v>
      </c>
      <c r="I72" s="231">
        <v>20</v>
      </c>
      <c r="J72" s="232">
        <v>1.05</v>
      </c>
      <c r="K72" s="233"/>
      <c r="L72" s="231">
        <v>0</v>
      </c>
      <c r="M72" s="231">
        <v>0</v>
      </c>
      <c r="N72" s="234">
        <f>ROUND(((I72*J72)-((I72*J72)*L72/100))+(((I72*J72)-((I72*J72)*L72/100))*M72/100),2)</f>
      </c>
      <c r="O72" s="230" t="s">
        <v>228</v>
      </c>
      <c r="P72" s="235"/>
      <c r="Q72" s="236"/>
      <c r="R72" s="237"/>
      <c r="S72" s="238"/>
      <c r="T72" s="239"/>
    </row>
    <row r="73" spans="1:20" ht="24" customHeight="1">
      <c r="A73" s="226">
        <v>54</v>
      </c>
      <c r="B73" s="226">
        <v>99990011427186</v>
      </c>
      <c r="C73" s="227">
        <v>233257</v>
      </c>
      <c r="D73" s="228" t="s">
        <v>113</v>
      </c>
      <c r="E73" s="229"/>
      <c r="F73" s="229">
        <v>233257</v>
      </c>
      <c r="G73" s="229" t="s">
        <v>44</v>
      </c>
      <c r="H73" s="230">
        <v>0</v>
      </c>
      <c r="I73" s="231">
        <v>60</v>
      </c>
      <c r="J73" s="232">
        <v>0.87</v>
      </c>
      <c r="K73" s="233"/>
      <c r="L73" s="231">
        <v>0</v>
      </c>
      <c r="M73" s="231">
        <v>0</v>
      </c>
      <c r="N73" s="234">
        <f>ROUND(((I73*J73)-((I73*J73)*L73/100))+(((I73*J73)-((I73*J73)*L73/100))*M73/100),2)</f>
      </c>
      <c r="O73" s="230" t="s">
        <v>228</v>
      </c>
      <c r="P73" s="235"/>
      <c r="Q73" s="236"/>
      <c r="R73" s="237"/>
      <c r="S73" s="238"/>
      <c r="T73" s="239"/>
    </row>
    <row r="74" spans="1:20" ht="24" customHeight="1">
      <c r="A74" s="226">
        <v>55</v>
      </c>
      <c r="B74" s="226">
        <v>99990013730732</v>
      </c>
      <c r="C74" s="227">
        <v>9301900174</v>
      </c>
      <c r="D74" s="228" t="s">
        <v>114</v>
      </c>
      <c r="E74" s="229"/>
      <c r="F74" s="229">
        <v>9301900174</v>
      </c>
      <c r="G74" s="229" t="s">
        <v>44</v>
      </c>
      <c r="H74" s="230">
        <v>0</v>
      </c>
      <c r="I74" s="231">
        <v>3</v>
      </c>
      <c r="J74" s="232">
        <v>31.36</v>
      </c>
      <c r="K74" s="233"/>
      <c r="L74" s="231">
        <v>0</v>
      </c>
      <c r="M74" s="231">
        <v>0</v>
      </c>
      <c r="N74" s="234">
        <f>ROUND(((I74*J74)-((I74*J74)*L74/100))+(((I74*J74)-((I74*J74)*L74/100))*M74/100),2)</f>
      </c>
      <c r="O74" s="230" t="s">
        <v>228</v>
      </c>
      <c r="P74" s="235" t="s">
        <v>247</v>
      </c>
      <c r="Q74" s="236"/>
      <c r="R74" s="237"/>
      <c r="S74" s="238"/>
      <c r="T74" s="239"/>
    </row>
    <row r="75" spans="1:20" ht="24" customHeight="1">
      <c r="A75" s="226">
        <v>56</v>
      </c>
      <c r="B75" s="226">
        <v>265600005062</v>
      </c>
      <c r="C75" s="227" t="s">
        <v>115</v>
      </c>
      <c r="D75" s="228" t="s">
        <v>116</v>
      </c>
      <c r="E75" s="229"/>
      <c r="F75" s="229" t="s">
        <v>115</v>
      </c>
      <c r="G75" s="229" t="s">
        <v>42</v>
      </c>
      <c r="H75" s="230">
        <v>0</v>
      </c>
      <c r="I75" s="231">
        <v>4</v>
      </c>
      <c r="J75" s="232">
        <v>0</v>
      </c>
      <c r="K75" s="233"/>
      <c r="L75" s="231">
        <v>0</v>
      </c>
      <c r="M75" s="231">
        <v>0</v>
      </c>
      <c r="N75" s="234">
        <f>ROUND(((I75*J75)-((I75*J75)*L75/100))+(((I75*J75)-((I75*J75)*L75/100))*M75/100),2)</f>
      </c>
      <c r="O75" s="230" t="s">
        <v>228</v>
      </c>
      <c r="P75" s="235" t="s">
        <v>245</v>
      </c>
      <c r="Q75" s="236"/>
      <c r="R75" s="237"/>
      <c r="S75" s="238"/>
      <c r="T75" s="239"/>
    </row>
    <row r="76" spans="1:20" ht="24" customHeight="1">
      <c r="A76" s="226">
        <v>57</v>
      </c>
      <c r="B76" s="226">
        <v>99990008655273</v>
      </c>
      <c r="C76" s="227">
        <v>530136</v>
      </c>
      <c r="D76" s="228" t="s">
        <v>117</v>
      </c>
      <c r="E76" s="229"/>
      <c r="F76" s="229">
        <v>530136</v>
      </c>
      <c r="G76" s="229" t="s">
        <v>44</v>
      </c>
      <c r="H76" s="230">
        <v>2.90</v>
      </c>
      <c r="I76" s="231">
        <v>10</v>
      </c>
      <c r="J76" s="232">
        <v>2.96</v>
      </c>
      <c r="K76" s="233"/>
      <c r="L76" s="231">
        <v>0</v>
      </c>
      <c r="M76" s="231">
        <v>0</v>
      </c>
      <c r="N76" s="234">
        <f>ROUND(((I76*J76)-((I76*J76)*L76/100))+(((I76*J76)-((I76*J76)*L76/100))*M76/100),2)</f>
      </c>
      <c r="O76" s="230" t="s">
        <v>228</v>
      </c>
      <c r="P76" s="235"/>
      <c r="Q76" s="236"/>
      <c r="R76" s="237"/>
      <c r="S76" s="238"/>
      <c r="T76" s="239"/>
    </row>
    <row r="77" spans="1:20" ht="24" customHeight="1">
      <c r="A77" s="226">
        <v>58</v>
      </c>
      <c r="B77" s="226">
        <v>99990008656057</v>
      </c>
      <c r="C77" s="227">
        <v>231123</v>
      </c>
      <c r="D77" s="228" t="s">
        <v>118</v>
      </c>
      <c r="E77" s="229"/>
      <c r="F77" s="229">
        <v>231123</v>
      </c>
      <c r="G77" s="229" t="s">
        <v>68</v>
      </c>
      <c r="H77" s="230">
        <v>2.03</v>
      </c>
      <c r="I77" s="231">
        <v>6</v>
      </c>
      <c r="J77" s="232">
        <v>2.03</v>
      </c>
      <c r="K77" s="233"/>
      <c r="L77" s="231">
        <v>0</v>
      </c>
      <c r="M77" s="231">
        <v>0</v>
      </c>
      <c r="N77" s="234">
        <f>ROUND(((I77*J77)-((I77*J77)*L77/100))+(((I77*J77)-((I77*J77)*L77/100))*M77/100),2)</f>
      </c>
      <c r="O77" s="230" t="s">
        <v>228</v>
      </c>
      <c r="P77" s="235"/>
      <c r="Q77" s="236"/>
      <c r="R77" s="237"/>
      <c r="S77" s="238"/>
      <c r="T77" s="239"/>
    </row>
    <row r="78" spans="1:20" ht="24" customHeight="1">
      <c r="A78" s="226">
        <v>59</v>
      </c>
      <c r="B78" s="226">
        <v>99990009573516</v>
      </c>
      <c r="C78" s="227">
        <v>2136468</v>
      </c>
      <c r="D78" s="228" t="s">
        <v>119</v>
      </c>
      <c r="E78" s="229"/>
      <c r="F78" s="229">
        <v>696803</v>
      </c>
      <c r="G78" s="229" t="s">
        <v>44</v>
      </c>
      <c r="H78" s="230">
        <v>53.94</v>
      </c>
      <c r="I78" s="231">
        <v>20</v>
      </c>
      <c r="J78" s="232">
        <v>1.64</v>
      </c>
      <c r="K78" s="233"/>
      <c r="L78" s="231">
        <v>0</v>
      </c>
      <c r="M78" s="231">
        <v>0</v>
      </c>
      <c r="N78" s="234">
        <f>ROUND(((I78*J78)-((I78*J78)*L78/100))+(((I78*J78)-((I78*J78)*L78/100))*M78/100),2)</f>
      </c>
      <c r="O78" s="230" t="s">
        <v>228</v>
      </c>
      <c r="P78" s="235"/>
      <c r="Q78" s="236"/>
      <c r="R78" s="237" t="s">
        <v>120</v>
      </c>
      <c r="S78" s="238"/>
      <c r="T78" s="239"/>
    </row>
    <row r="79" spans="1:20" ht="24" customHeight="1">
      <c r="A79" s="226">
        <v>60</v>
      </c>
      <c r="B79" s="226">
        <v>99990008196286</v>
      </c>
      <c r="C79" s="227">
        <v>670504</v>
      </c>
      <c r="D79" s="228" t="s">
        <v>121</v>
      </c>
      <c r="E79" s="229"/>
      <c r="F79" s="229">
        <v>670504</v>
      </c>
      <c r="G79" s="229" t="s">
        <v>101</v>
      </c>
      <c r="H79" s="230">
        <v>0</v>
      </c>
      <c r="I79" s="231">
        <v>33</v>
      </c>
      <c r="J79" s="232">
        <v>1.19</v>
      </c>
      <c r="K79" s="233"/>
      <c r="L79" s="231">
        <v>0</v>
      </c>
      <c r="M79" s="231">
        <v>0</v>
      </c>
      <c r="N79" s="234">
        <f>ROUND(((I79*J79)-((I79*J79)*L79/100))+(((I79*J79)-((I79*J79)*L79/100))*M79/100),2)</f>
      </c>
      <c r="O79" s="230" t="s">
        <v>228</v>
      </c>
      <c r="P79" s="235" t="s">
        <v>248</v>
      </c>
      <c r="Q79" s="236"/>
      <c r="R79" s="237" t="s">
        <v>122</v>
      </c>
      <c r="S79" s="238"/>
      <c r="T79" s="239"/>
    </row>
    <row r="80" spans="1:20" ht="24" customHeight="1">
      <c r="A80" s="226">
        <v>61</v>
      </c>
      <c r="B80" s="226">
        <v>99990010270904</v>
      </c>
      <c r="C80" s="227">
        <v>2349810</v>
      </c>
      <c r="D80" s="228" t="s">
        <v>123</v>
      </c>
      <c r="E80" s="229"/>
      <c r="F80" s="229">
        <v>670493</v>
      </c>
      <c r="G80" s="229" t="s">
        <v>101</v>
      </c>
      <c r="H80" s="230">
        <v>0</v>
      </c>
      <c r="I80" s="231">
        <v>33</v>
      </c>
      <c r="J80" s="232">
        <v>0.99</v>
      </c>
      <c r="K80" s="233"/>
      <c r="L80" s="231">
        <v>0</v>
      </c>
      <c r="M80" s="231">
        <v>0</v>
      </c>
      <c r="N80" s="234">
        <f>ROUND(((I80*J80)-((I80*J80)*L80/100))+(((I80*J80)-((I80*J80)*L80/100))*M80/100),2)</f>
      </c>
      <c r="O80" s="230" t="s">
        <v>228</v>
      </c>
      <c r="P80" s="235" t="s">
        <v>248</v>
      </c>
      <c r="Q80" s="236"/>
      <c r="R80" s="237" t="s">
        <v>122</v>
      </c>
      <c r="S80" s="238"/>
      <c r="T80" s="239"/>
    </row>
    <row r="81" spans="1:20" ht="15" customHeight="1">
      <c r="A81" s="32"/>
      <c r="B81" s="295"/>
      <c r="C81" s="296"/>
      <c r="D81" s="296"/>
      <c r="E81" s="296"/>
      <c r="F81" s="296"/>
      <c r="G81" s="296"/>
      <c r="H81" s="297"/>
      <c r="I81" s="297"/>
      <c r="J81" s="297"/>
      <c r="K81" s="297"/>
      <c r="L81" s="297"/>
      <c r="M81" s="297"/>
      <c r="N81" s="297"/>
      <c r="O81" s="297"/>
      <c r="P81" s="297"/>
      <c r="Q81" s="297"/>
      <c r="R81" s="297"/>
      <c r="S81" s="297"/>
      <c r="T81" s="298"/>
    </row>
    <row r="82" spans="1:20" ht="12.75" customHeight="1">
      <c r="A82" s="289" t="s">
        <v>28</v>
      </c>
      <c r="B82" s="289"/>
      <c r="C82" s="290" t="s">
        <v>124</v>
      </c>
      <c r="D82" s="291"/>
      <c r="E82" s="291"/>
      <c r="F82" s="291"/>
      <c r="G82" s="291"/>
      <c r="H82" s="291"/>
      <c r="I82" s="292"/>
      <c r="J82" s="292" t="s">
        <v>125</v>
      </c>
      <c r="K82" s="292"/>
      <c r="L82" s="292" t="s">
        <v>35</v>
      </c>
      <c r="M82" s="292" t="s">
        <v>36</v>
      </c>
      <c r="N82" s="293" t="s">
        <v>126</v>
      </c>
      <c r="O82" s="294" t="s">
        <v>38</v>
      </c>
      <c r="P82" s="294"/>
      <c r="Q82" s="294"/>
      <c r="R82" s="294"/>
      <c r="S82" s="294"/>
      <c r="T82" s="225"/>
    </row>
    <row r="83" spans="1:20" ht="15" customHeight="1">
      <c r="A83" s="269">
        <v>1</v>
      </c>
      <c r="B83" s="270"/>
      <c r="C83" s="271" t="s">
        <v>127</v>
      </c>
      <c r="D83" s="272" t="s">
        <v>127</v>
      </c>
      <c r="E83" s="272" t="s">
        <v>127</v>
      </c>
      <c r="F83" s="272" t="s">
        <v>127</v>
      </c>
      <c r="G83" s="272" t="s">
        <v>127</v>
      </c>
      <c r="H83" s="273" t="s">
        <v>127</v>
      </c>
      <c r="I83" s="274"/>
      <c r="J83" s="275">
        <v>0</v>
      </c>
      <c r="K83" s="276"/>
      <c r="L83" s="277">
        <v>0</v>
      </c>
      <c r="M83" s="277">
        <v>0</v>
      </c>
      <c r="N83" s="285">
        <f>(J83-(J83*L83/100)+((J83-(J83*L83/100))*M83/100))</f>
      </c>
      <c r="O83" s="286"/>
      <c r="P83" s="287"/>
      <c r="Q83" s="287"/>
      <c r="R83" s="287"/>
      <c r="S83" s="288"/>
      <c r="T83" s="283"/>
    </row>
    <row r="84" spans="1:20" ht="15" customHeight="1">
      <c r="A84" s="269">
        <v>2</v>
      </c>
      <c r="B84" s="270"/>
      <c r="C84" s="271" t="s">
        <v>128</v>
      </c>
      <c r="D84" s="272" t="s">
        <v>128</v>
      </c>
      <c r="E84" s="272" t="s">
        <v>128</v>
      </c>
      <c r="F84" s="272" t="s">
        <v>128</v>
      </c>
      <c r="G84" s="272" t="s">
        <v>128</v>
      </c>
      <c r="H84" s="273" t="s">
        <v>128</v>
      </c>
      <c r="I84" s="284"/>
      <c r="J84" s="275">
        <v>0</v>
      </c>
      <c r="K84" s="276"/>
      <c r="L84" s="277">
        <v>0</v>
      </c>
      <c r="M84" s="277">
        <v>0</v>
      </c>
      <c r="N84" s="279">
        <f>(J84-(J84*L84/100)+((J84-(J84*L84/100))*M84/100))</f>
      </c>
      <c r="O84" s="280"/>
      <c r="P84" s="281"/>
      <c r="Q84" s="281"/>
      <c r="R84" s="281"/>
      <c r="S84" s="282"/>
      <c r="T84" s="283"/>
    </row>
    <row r="85" spans="1:20" ht="15" customHeight="1">
      <c r="A85" s="269">
        <v>3</v>
      </c>
      <c r="B85" s="270"/>
      <c r="C85" s="271"/>
      <c r="D85" s="272"/>
      <c r="E85" s="272"/>
      <c r="F85" s="272"/>
      <c r="G85" s="272"/>
      <c r="H85" s="273"/>
      <c r="I85" s="274"/>
      <c r="J85" s="275">
        <v>0</v>
      </c>
      <c r="K85" s="276"/>
      <c r="L85" s="277">
        <v>0</v>
      </c>
      <c r="M85" s="277">
        <v>0</v>
      </c>
      <c r="N85" s="279">
        <f>(J85-(J85*L85/100)+((J85-(J85*L85/100))*M85/100))</f>
      </c>
      <c r="O85" s="280"/>
      <c r="P85" s="281"/>
      <c r="Q85" s="281"/>
      <c r="R85" s="281"/>
      <c r="S85" s="282"/>
      <c r="T85" s="283"/>
    </row>
    <row r="86" spans="1:20" ht="15.75" customHeight="1">
      <c r="A86" s="269">
        <v>4</v>
      </c>
      <c r="B86" s="270"/>
      <c r="C86" s="271"/>
      <c r="D86" s="272"/>
      <c r="E86" s="272"/>
      <c r="F86" s="272"/>
      <c r="G86" s="272"/>
      <c r="H86" s="273"/>
      <c r="I86" s="274"/>
      <c r="J86" s="275">
        <v>0</v>
      </c>
      <c r="K86" s="276"/>
      <c r="L86" s="277">
        <v>0</v>
      </c>
      <c r="M86" s="278">
        <v>0</v>
      </c>
      <c r="N86" s="279">
        <f>(J86-(J86*L86/100)+((J86-(J86*L86/100))*M86/100))</f>
      </c>
      <c r="O86" s="280"/>
      <c r="P86" s="281"/>
      <c r="Q86" s="281"/>
      <c r="R86" s="281"/>
      <c r="S86" s="282"/>
      <c r="T86" s="283"/>
    </row>
    <row r="87" spans="1:16" ht="15.95" customHeight="1">
      <c r="A87" s="247"/>
      <c r="B87" s="247"/>
      <c r="C87" s="248"/>
      <c r="D87" s="248"/>
      <c r="I87" s="163"/>
      <c r="J87" s="58" t="s">
        <v>129</v>
      </c>
      <c r="K87" s="59"/>
      <c r="L87" s="58"/>
      <c r="M87" s="59"/>
      <c r="N87" s="264">
        <f>SUM(ItmPrice)</f>
      </c>
      <c r="O87" s="267"/>
      <c r="P87" s="268"/>
    </row>
    <row r="88" spans="1:16" ht="15" customHeight="1">
      <c r="A88" s="247"/>
      <c r="B88" s="247"/>
      <c r="C88" s="248"/>
      <c r="D88" s="248"/>
      <c r="I88" s="163"/>
      <c r="J88" s="135" t="s">
        <v>130</v>
      </c>
      <c r="K88" s="136"/>
      <c r="L88" s="136"/>
      <c r="M88" s="137"/>
      <c r="N88" s="264">
        <f>SUM(N83:N87)</f>
      </c>
      <c r="O88" s="265"/>
      <c r="P88" s="266"/>
    </row>
    <row r="89" spans="1:19" ht="2.25" customHeight="1" hidden="1">
      <c r="A89" s="258">
        <v>0</v>
      </c>
      <c r="B89" s="258">
        <v>0</v>
      </c>
      <c r="C89" s="259">
        <v>0</v>
      </c>
      <c r="D89" s="248"/>
      <c r="E89" s="248"/>
      <c r="F89" s="260">
        <v>1</v>
      </c>
      <c r="G89" s="248"/>
      <c r="H89" s="248"/>
      <c r="I89" s="248"/>
      <c r="J89" s="248"/>
      <c r="K89" s="261"/>
      <c r="L89" s="262">
        <v>0</v>
      </c>
      <c r="M89" s="263">
        <v>0</v>
      </c>
      <c r="N89" s="162" t="s">
        <v>131</v>
      </c>
      <c r="O89" s="257"/>
      <c r="P89" s="263">
        <v>995</v>
      </c>
      <c r="Q89" s="248" t="s">
        <v>132</v>
      </c>
      <c r="R89" s="248"/>
      <c r="S89" s="248"/>
    </row>
    <row r="90" spans="1:19" ht="18.75" customHeight="1">
      <c r="A90" s="247"/>
      <c r="B90" s="247"/>
      <c r="C90" s="247"/>
      <c r="H90" s="257"/>
      <c r="I90" s="163"/>
      <c r="J90" s="248"/>
      <c r="K90" s="248"/>
      <c r="L90" s="248"/>
      <c r="M90" s="248"/>
      <c r="N90" s="248"/>
      <c r="O90" s="248"/>
      <c r="P90" s="248"/>
      <c r="R90" s="248"/>
      <c r="S90" s="248"/>
    </row>
    <row r="91" spans="1:20" ht="127.5" customHeight="1">
      <c r="A91" s="249" t="s">
        <v>133</v>
      </c>
      <c r="B91" s="249"/>
      <c r="C91" s="249"/>
      <c r="D91" s="250"/>
      <c r="E91" s="254"/>
      <c r="F91" s="255"/>
      <c r="G91" s="255"/>
      <c r="H91" s="255"/>
      <c r="I91" s="255"/>
      <c r="J91" s="255"/>
      <c r="K91" s="255"/>
      <c r="L91" s="255"/>
      <c r="M91" s="255"/>
      <c r="N91" s="255"/>
      <c r="O91" s="255"/>
      <c r="P91" s="255"/>
      <c r="Q91" s="255"/>
      <c r="R91" s="255"/>
      <c r="S91" s="255"/>
      <c r="T91" s="256"/>
    </row>
    <row r="92" spans="1:20" ht="129.75" customHeight="1">
      <c r="A92" s="249" t="s">
        <v>38</v>
      </c>
      <c r="B92" s="249"/>
      <c r="C92" s="249"/>
      <c r="D92" s="250"/>
      <c r="E92" s="251" t="s">
        <v>249</v>
      </c>
      <c r="F92" s="252"/>
      <c r="G92" s="252"/>
      <c r="H92" s="252"/>
      <c r="I92" s="252"/>
      <c r="J92" s="252"/>
      <c r="K92" s="252"/>
      <c r="L92" s="252"/>
      <c r="M92" s="252"/>
      <c r="N92" s="252"/>
      <c r="O92" s="252"/>
      <c r="P92" s="252"/>
      <c r="Q92" s="252"/>
      <c r="R92" s="252"/>
      <c r="S92" s="252"/>
      <c r="T92" s="253"/>
    </row>
    <row r="93" spans="1:19" ht="15.95" customHeight="1">
      <c r="A93" s="247"/>
      <c r="B93" s="247"/>
      <c r="C93" s="247"/>
      <c r="H93" s="248"/>
      <c r="I93" s="248"/>
      <c r="J93" s="248"/>
      <c r="K93" s="248"/>
      <c r="L93" s="248"/>
      <c r="M93" s="248"/>
      <c r="N93" s="248"/>
      <c r="O93" s="248"/>
      <c r="P93" s="248"/>
      <c r="Q93" s="248"/>
      <c r="R93" s="248"/>
      <c r="S93" s="248"/>
    </row>
    <row r="94" spans="1:20" ht="15.95" customHeight="1">
      <c r="A94" s="245" t="s">
        <v>134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5"/>
      <c r="P94" s="245"/>
      <c r="Q94" s="245"/>
      <c r="R94" s="245"/>
      <c r="S94" s="245"/>
      <c r="T94" s="246"/>
    </row>
    <row r="95" spans="1:20" ht="12.75" customHeight="1">
      <c r="A95" s="243"/>
      <c r="B95" s="243"/>
      <c r="C95" s="243"/>
      <c r="D95" s="243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4"/>
    </row>
    <row r="96" spans="1:20" ht="12.75" customHeight="1">
      <c r="A96" s="243"/>
      <c r="B96" s="243"/>
      <c r="C96" s="243"/>
      <c r="D96" s="243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4"/>
    </row>
    <row r="97" spans="1:20" ht="7.5" customHeight="1">
      <c r="A97" s="243"/>
      <c r="B97" s="243"/>
      <c r="C97" s="243"/>
      <c r="D97" s="243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4"/>
    </row>
    <row r="98" spans="1:20" ht="12.75" customHeight="1">
      <c r="A98" s="243"/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4"/>
    </row>
    <row r="99" spans="1:20" ht="12.75" customHeight="1">
      <c r="A99" s="243"/>
      <c r="B99" s="243"/>
      <c r="C99" s="243"/>
      <c r="D99" s="243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4"/>
    </row>
    <row r="100" spans="1:20" ht="12.75" customHeight="1">
      <c r="A100" s="243"/>
      <c r="B100" s="243"/>
      <c r="C100" s="243"/>
      <c r="D100" s="243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3"/>
      <c r="T100" s="244"/>
    </row>
    <row r="101" spans="1:20" ht="7.5" customHeight="1">
      <c r="A101" s="243"/>
      <c r="B101" s="243"/>
      <c r="C101" s="243"/>
      <c r="D101" s="243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3"/>
      <c r="T101" s="244"/>
    </row>
    <row r="102" spans="1:20" ht="12.75" customHeight="1">
      <c r="A102" s="243"/>
      <c r="B102" s="243"/>
      <c r="C102" s="243"/>
      <c r="D102" s="243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3"/>
      <c r="T102" s="244"/>
    </row>
    <row r="103" spans="1:20" ht="12.75" customHeight="1">
      <c r="A103" s="243"/>
      <c r="B103" s="243"/>
      <c r="C103" s="243"/>
      <c r="D103" s="243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3"/>
      <c r="T103" s="244"/>
    </row>
    <row r="104" spans="1:20" ht="12.75" customHeight="1">
      <c r="A104" s="243"/>
      <c r="B104" s="243"/>
      <c r="C104" s="243"/>
      <c r="D104" s="243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43"/>
      <c r="R104" s="243"/>
      <c r="S104" s="243"/>
      <c r="T104" s="244"/>
    </row>
    <row r="105" spans="1:20" ht="12.75" customHeight="1">
      <c r="A105" s="243"/>
      <c r="B105" s="243"/>
      <c r="C105" s="243"/>
      <c r="D105" s="243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4"/>
    </row>
    <row r="106" spans="1:20" ht="12.75" customHeight="1">
      <c r="A106" s="243"/>
      <c r="B106" s="243"/>
      <c r="C106" s="243"/>
      <c r="D106" s="243"/>
      <c r="E106" s="243"/>
      <c r="F106" s="243"/>
      <c r="G106" s="243"/>
      <c r="H106" s="243"/>
      <c r="I106" s="243"/>
      <c r="J106" s="243"/>
      <c r="K106" s="243"/>
      <c r="L106" s="243"/>
      <c r="M106" s="243"/>
      <c r="N106" s="243"/>
      <c r="O106" s="243"/>
      <c r="P106" s="243"/>
      <c r="Q106" s="243"/>
      <c r="R106" s="243"/>
      <c r="S106" s="243"/>
      <c r="T106" s="244"/>
    </row>
    <row r="107" spans="1:20" ht="12.75" customHeight="1">
      <c r="A107" s="243"/>
      <c r="B107" s="243"/>
      <c r="C107" s="243"/>
      <c r="D107" s="243"/>
      <c r="E107" s="243"/>
      <c r="F107" s="243"/>
      <c r="G107" s="243"/>
      <c r="H107" s="243"/>
      <c r="I107" s="243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244"/>
    </row>
    <row r="108" spans="1:20" ht="7.5" customHeight="1">
      <c r="A108" s="243"/>
      <c r="B108" s="243"/>
      <c r="C108" s="243"/>
      <c r="D108" s="243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43"/>
      <c r="P108" s="243"/>
      <c r="Q108" s="243"/>
      <c r="R108" s="243"/>
      <c r="S108" s="243"/>
      <c r="T108" s="244"/>
    </row>
    <row r="109" spans="1:20" ht="12.75" customHeight="1">
      <c r="A109" s="243"/>
      <c r="B109" s="243"/>
      <c r="C109" s="243"/>
      <c r="D109" s="243"/>
      <c r="E109" s="243"/>
      <c r="F109" s="243"/>
      <c r="G109" s="243"/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3"/>
      <c r="T109" s="244"/>
    </row>
    <row r="110" spans="1:20" ht="12.75" customHeight="1">
      <c r="A110" s="243"/>
      <c r="B110" s="243"/>
      <c r="C110" s="243"/>
      <c r="D110" s="243"/>
      <c r="E110" s="243"/>
      <c r="F110" s="243"/>
      <c r="G110" s="243"/>
      <c r="H110" s="243"/>
      <c r="I110" s="243"/>
      <c r="J110" s="243"/>
      <c r="K110" s="243"/>
      <c r="L110" s="243"/>
      <c r="M110" s="243"/>
      <c r="N110" s="243"/>
      <c r="O110" s="243"/>
      <c r="P110" s="243"/>
      <c r="Q110" s="243"/>
      <c r="R110" s="243"/>
      <c r="S110" s="243"/>
      <c r="T110" s="244"/>
    </row>
    <row r="111" spans="1:20" ht="12.75" customHeight="1">
      <c r="A111" s="243"/>
      <c r="B111" s="243"/>
      <c r="C111" s="243"/>
      <c r="D111" s="243"/>
      <c r="E111" s="243"/>
      <c r="F111" s="243"/>
      <c r="G111" s="243"/>
      <c r="H111" s="243"/>
      <c r="I111" s="243"/>
      <c r="J111" s="243"/>
      <c r="K111" s="243"/>
      <c r="L111" s="243"/>
      <c r="M111" s="243"/>
      <c r="N111" s="243"/>
      <c r="O111" s="243"/>
      <c r="P111" s="243"/>
      <c r="Q111" s="243"/>
      <c r="R111" s="243"/>
      <c r="S111" s="243"/>
      <c r="T111" s="244"/>
    </row>
    <row r="112" spans="1:20" ht="12.75" customHeight="1">
      <c r="A112" s="243"/>
      <c r="B112" s="243"/>
      <c r="C112" s="243"/>
      <c r="D112" s="243"/>
      <c r="E112" s="243"/>
      <c r="F112" s="243"/>
      <c r="G112" s="243"/>
      <c r="H112" s="243"/>
      <c r="I112" s="243"/>
      <c r="J112" s="243"/>
      <c r="K112" s="243"/>
      <c r="L112" s="243"/>
      <c r="M112" s="243"/>
      <c r="N112" s="243"/>
      <c r="O112" s="243"/>
      <c r="P112" s="243"/>
      <c r="Q112" s="243"/>
      <c r="R112" s="243"/>
      <c r="S112" s="243"/>
      <c r="T112" s="244"/>
    </row>
    <row r="113" spans="1:20" ht="12.75" customHeight="1">
      <c r="A113" s="243"/>
      <c r="B113" s="243"/>
      <c r="C113" s="243"/>
      <c r="D113" s="243"/>
      <c r="E113" s="243"/>
      <c r="F113" s="243"/>
      <c r="G113" s="243"/>
      <c r="H113" s="243"/>
      <c r="I113" s="243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4"/>
    </row>
    <row r="114" spans="1:20" ht="7.5" customHeight="1">
      <c r="A114" s="243"/>
      <c r="B114" s="243"/>
      <c r="C114" s="243"/>
      <c r="D114" s="243"/>
      <c r="E114" s="243"/>
      <c r="F114" s="243"/>
      <c r="G114" s="243"/>
      <c r="H114" s="243"/>
      <c r="I114" s="243"/>
      <c r="J114" s="243"/>
      <c r="K114" s="243"/>
      <c r="L114" s="243"/>
      <c r="M114" s="243"/>
      <c r="N114" s="243"/>
      <c r="O114" s="243"/>
      <c r="P114" s="243"/>
      <c r="Q114" s="243"/>
      <c r="R114" s="243"/>
      <c r="S114" s="243"/>
      <c r="T114" s="244"/>
    </row>
    <row r="115" spans="1:20" ht="12.75" customHeight="1">
      <c r="A115" s="243"/>
      <c r="B115" s="243"/>
      <c r="C115" s="243"/>
      <c r="D115" s="243"/>
      <c r="E115" s="243"/>
      <c r="F115" s="243"/>
      <c r="G115" s="243"/>
      <c r="H115" s="243"/>
      <c r="I115" s="243"/>
      <c r="J115" s="243"/>
      <c r="K115" s="243"/>
      <c r="L115" s="243"/>
      <c r="M115" s="243"/>
      <c r="N115" s="243"/>
      <c r="O115" s="243"/>
      <c r="P115" s="243"/>
      <c r="Q115" s="243"/>
      <c r="R115" s="243"/>
      <c r="S115" s="243"/>
      <c r="T115" s="244"/>
    </row>
    <row r="116" spans="1:20" ht="12.75" customHeight="1">
      <c r="A116" s="243"/>
      <c r="B116" s="243"/>
      <c r="C116" s="243"/>
      <c r="D116" s="243"/>
      <c r="E116" s="243"/>
      <c r="F116" s="243"/>
      <c r="G116" s="243"/>
      <c r="H116" s="243"/>
      <c r="I116" s="243"/>
      <c r="J116" s="243"/>
      <c r="K116" s="243"/>
      <c r="L116" s="243"/>
      <c r="M116" s="243"/>
      <c r="N116" s="243"/>
      <c r="O116" s="243"/>
      <c r="P116" s="243"/>
      <c r="Q116" s="243"/>
      <c r="R116" s="243"/>
      <c r="S116" s="243"/>
      <c r="T116" s="244"/>
    </row>
    <row r="117" spans="1:20" ht="12.75" customHeight="1">
      <c r="A117" s="241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  <c r="O117" s="241"/>
      <c r="P117" s="241"/>
      <c r="Q117" s="241"/>
      <c r="R117" s="241"/>
      <c r="S117" s="241"/>
      <c r="T117" s="242"/>
    </row>
    <row r="118" spans="1:9" ht="12.75">
      <c r="A118" s="240" t="s">
        <v>135</v>
      </c>
      <c r="B118" s="240"/>
      <c r="C118" s="240"/>
      <c r="D118" s="240"/>
      <c r="E118" s="240"/>
      <c r="F118" s="240"/>
      <c r="G118" s="240"/>
      <c r="I118" s="163"/>
    </row>
  </sheetData>
  <mergeCells count="187">
    <mergeCell ref="K14:L14"/>
    <mergeCell ref="K15:L15"/>
    <mergeCell ref="P19:Q19"/>
    <mergeCell ref="M13:Q13"/>
    <mergeCell ref="K16:L16"/>
    <mergeCell ref="J19:K19"/>
    <mergeCell ref="K13:L13"/>
    <mergeCell ref="A3:E3"/>
    <mergeCell ref="C82:H8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D16:H16"/>
    <mergeCell ref="A13:C13"/>
    <mergeCell ref="D19:E19"/>
    <mergeCell ref="D13:H13"/>
    <mergeCell ref="D14:H14"/>
    <mergeCell ref="D15:H15"/>
    <mergeCell ref="D17:H17"/>
    <mergeCell ref="A14:C14"/>
    <mergeCell ref="O87:P87"/>
    <mergeCell ref="O88:P88"/>
    <mergeCell ref="J88:M88"/>
    <mergeCell ref="O85:S85"/>
    <mergeCell ref="O86:S86"/>
    <mergeCell ref="K1:R1"/>
    <mergeCell ref="R19:S19"/>
    <mergeCell ref="R20:S20"/>
    <mergeCell ref="O83:S83"/>
    <mergeCell ref="O84:S84"/>
    <mergeCell ref="O82:S82"/>
    <mergeCell ref="J82:K82"/>
    <mergeCell ref="K4:L4"/>
    <mergeCell ref="M4:P4"/>
    <mergeCell ref="K5:L5"/>
    <mergeCell ref="M5:P5"/>
    <mergeCell ref="M7:Q7"/>
    <mergeCell ref="P20:Q20"/>
    <mergeCell ref="M12:O12"/>
    <mergeCell ref="K12:L12"/>
    <mergeCell ref="E91:S91"/>
    <mergeCell ref="E92:S92"/>
    <mergeCell ref="E94:S94"/>
    <mergeCell ref="A95:S116"/>
    <mergeCell ref="A117:S117"/>
    <mergeCell ref="A91:D91"/>
    <mergeCell ref="A92:D92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57:E57"/>
    <mergeCell ref="J57:K57"/>
    <mergeCell ref="D58:E58"/>
    <mergeCell ref="J58:K58"/>
    <mergeCell ref="D59:E59"/>
    <mergeCell ref="J59:K59"/>
    <mergeCell ref="D60:E60"/>
    <mergeCell ref="J60:K60"/>
    <mergeCell ref="D61:E61"/>
    <mergeCell ref="J61:K61"/>
    <mergeCell ref="D62:E62"/>
    <mergeCell ref="J62:K62"/>
    <mergeCell ref="D63:E63"/>
    <mergeCell ref="J63:K63"/>
    <mergeCell ref="D64:E64"/>
    <mergeCell ref="J64:K64"/>
    <mergeCell ref="D65:E65"/>
    <mergeCell ref="J65:K65"/>
    <mergeCell ref="D66:E66"/>
    <mergeCell ref="J66:K66"/>
    <mergeCell ref="D67:E67"/>
    <mergeCell ref="J67:K67"/>
    <mergeCell ref="D68:E68"/>
    <mergeCell ref="J68:K68"/>
    <mergeCell ref="D69:E69"/>
    <mergeCell ref="J69:K69"/>
    <mergeCell ref="D70:E70"/>
    <mergeCell ref="J70:K70"/>
    <mergeCell ref="D71:E71"/>
    <mergeCell ref="J71:K71"/>
    <mergeCell ref="D72:E72"/>
    <mergeCell ref="J72:K72"/>
    <mergeCell ref="D73:E73"/>
    <mergeCell ref="J73:K73"/>
    <mergeCell ref="D74:E74"/>
    <mergeCell ref="J74:K74"/>
    <mergeCell ref="D75:E75"/>
    <mergeCell ref="J75:K75"/>
    <mergeCell ref="D76:E76"/>
    <mergeCell ref="J76:K76"/>
    <mergeCell ref="D77:E77"/>
    <mergeCell ref="J77:K77"/>
    <mergeCell ref="D78:E78"/>
    <mergeCell ref="J78:K78"/>
    <mergeCell ref="D79:E79"/>
    <mergeCell ref="J79:K79"/>
    <mergeCell ref="D80:E80"/>
    <mergeCell ref="J80:K80"/>
    <mergeCell ref="C83:H83"/>
    <mergeCell ref="J83:K83"/>
    <mergeCell ref="C84:H84"/>
    <mergeCell ref="J84:K84"/>
    <mergeCell ref="C85:H85"/>
    <mergeCell ref="J85:K85"/>
    <mergeCell ref="C86:H86"/>
    <mergeCell ref="J86:K86"/>
  </mergeCells>
  <dataValidations count="254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decimal" operator="greaterThanOrEqual" allowBlank="1" showInputMessage="1" showErrorMessage="1" sqref="I61">
      <formula1>0</formula1>
    </dataValidation>
    <dataValidation type="decimal" operator="greaterThanOrEqual" allowBlank="1" showInputMessage="1" showErrorMessage="1" sqref="J61">
      <formula1>0</formula1>
    </dataValidation>
    <dataValidation type="decimal" allowBlank="1" showInputMessage="1" showErrorMessage="1" sqref="L61">
      <formula1>0</formula1>
      <formula2>100</formula2>
    </dataValidation>
    <dataValidation type="decimal" allowBlank="1" showInputMessage="1" showErrorMessage="1" sqref="M61">
      <formula1>0</formula1>
      <formula2>100</formula2>
    </dataValidation>
    <dataValidation type="decimal" operator="greaterThanOrEqual" allowBlank="1" showInputMessage="1" showErrorMessage="1" sqref="I62">
      <formula1>0</formula1>
    </dataValidation>
    <dataValidation type="decimal" operator="greaterThanOrEqual" allowBlank="1" showInputMessage="1" showErrorMessage="1" sqref="J62">
      <formula1>0</formula1>
    </dataValidation>
    <dataValidation type="decimal" allowBlank="1" showInputMessage="1" showErrorMessage="1" sqref="L62">
      <formula1>0</formula1>
      <formula2>100</formula2>
    </dataValidation>
    <dataValidation type="decimal" allowBlank="1" showInputMessage="1" showErrorMessage="1" sqref="M62">
      <formula1>0</formula1>
      <formula2>100</formula2>
    </dataValidation>
    <dataValidation type="decimal" operator="greaterThanOrEqual" allowBlank="1" showInputMessage="1" showErrorMessage="1" sqref="I63">
      <formula1>0</formula1>
    </dataValidation>
    <dataValidation type="decimal" operator="greaterThanOrEqual" allowBlank="1" showInputMessage="1" showErrorMessage="1" sqref="J63">
      <formula1>0</formula1>
    </dataValidation>
    <dataValidation type="decimal" allowBlank="1" showInputMessage="1" showErrorMessage="1" sqref="L63">
      <formula1>0</formula1>
      <formula2>100</formula2>
    </dataValidation>
    <dataValidation type="decimal" allowBlank="1" showInputMessage="1" showErrorMessage="1" sqref="M63">
      <formula1>0</formula1>
      <formula2>100</formula2>
    </dataValidation>
    <dataValidation type="decimal" operator="greaterThanOrEqual" allowBlank="1" showInputMessage="1" showErrorMessage="1" sqref="I64">
      <formula1>0</formula1>
    </dataValidation>
    <dataValidation type="decimal" operator="greaterThanOrEqual" allowBlank="1" showInputMessage="1" showErrorMessage="1" sqref="J64">
      <formula1>0</formula1>
    </dataValidation>
    <dataValidation type="decimal" allowBlank="1" showInputMessage="1" showErrorMessage="1" sqref="L64">
      <formula1>0</formula1>
      <formula2>100</formula2>
    </dataValidation>
    <dataValidation type="decimal" allowBlank="1" showInputMessage="1" showErrorMessage="1" sqref="M64">
      <formula1>0</formula1>
      <formula2>100</formula2>
    </dataValidation>
    <dataValidation type="decimal" operator="greaterThanOrEqual" allowBlank="1" showInputMessage="1" showErrorMessage="1" sqref="I65">
      <formula1>0</formula1>
    </dataValidation>
    <dataValidation type="decimal" operator="greaterThanOrEqual" allowBlank="1" showInputMessage="1" showErrorMessage="1" sqref="J65">
      <formula1>0</formula1>
    </dataValidation>
    <dataValidation type="decimal" allowBlank="1" showInputMessage="1" showErrorMessage="1" sqref="L65">
      <formula1>0</formula1>
      <formula2>100</formula2>
    </dataValidation>
    <dataValidation type="decimal" allowBlank="1" showInputMessage="1" showErrorMessage="1" sqref="M65">
      <formula1>0</formula1>
      <formula2>100</formula2>
    </dataValidation>
    <dataValidation type="decimal" operator="greaterThanOrEqual" allowBlank="1" showInputMessage="1" showErrorMessage="1" sqref="I66">
      <formula1>0</formula1>
    </dataValidation>
    <dataValidation type="decimal" operator="greaterThanOrEqual" allowBlank="1" showInputMessage="1" showErrorMessage="1" sqref="J66">
      <formula1>0</formula1>
    </dataValidation>
    <dataValidation type="decimal" allowBlank="1" showInputMessage="1" showErrorMessage="1" sqref="L66">
      <formula1>0</formula1>
      <formula2>100</formula2>
    </dataValidation>
    <dataValidation type="decimal" allowBlank="1" showInputMessage="1" showErrorMessage="1" sqref="M66">
      <formula1>0</formula1>
      <formula2>100</formula2>
    </dataValidation>
    <dataValidation type="decimal" operator="greaterThanOrEqual" allowBlank="1" showInputMessage="1" showErrorMessage="1" sqref="I67">
      <formula1>0</formula1>
    </dataValidation>
    <dataValidation type="decimal" operator="greaterThanOrEqual" allowBlank="1" showInputMessage="1" showErrorMessage="1" sqref="J67">
      <formula1>0</formula1>
    </dataValidation>
    <dataValidation type="decimal" allowBlank="1" showInputMessage="1" showErrorMessage="1" sqref="L67">
      <formula1>0</formula1>
      <formula2>100</formula2>
    </dataValidation>
    <dataValidation type="decimal" allowBlank="1" showInputMessage="1" showErrorMessage="1" sqref="M67">
      <formula1>0</formula1>
      <formula2>100</formula2>
    </dataValidation>
    <dataValidation type="decimal" operator="greaterThanOrEqual" allowBlank="1" showInputMessage="1" showErrorMessage="1" sqref="I68">
      <formula1>0</formula1>
    </dataValidation>
    <dataValidation type="decimal" operator="greaterThanOrEqual" allowBlank="1" showInputMessage="1" showErrorMessage="1" sqref="J68">
      <formula1>0</formula1>
    </dataValidation>
    <dataValidation type="decimal" allowBlank="1" showInputMessage="1" showErrorMessage="1" sqref="L68">
      <formula1>0</formula1>
      <formula2>100</formula2>
    </dataValidation>
    <dataValidation type="decimal" allowBlank="1" showInputMessage="1" showErrorMessage="1" sqref="M68">
      <formula1>0</formula1>
      <formula2>100</formula2>
    </dataValidation>
    <dataValidation type="decimal" operator="greaterThanOrEqual" allowBlank="1" showInputMessage="1" showErrorMessage="1" sqref="I69">
      <formula1>0</formula1>
    </dataValidation>
    <dataValidation type="decimal" operator="greaterThanOrEqual" allowBlank="1" showInputMessage="1" showErrorMessage="1" sqref="J69">
      <formula1>0</formula1>
    </dataValidation>
    <dataValidation type="decimal" allowBlank="1" showInputMessage="1" showErrorMessage="1" sqref="L69">
      <formula1>0</formula1>
      <formula2>100</formula2>
    </dataValidation>
    <dataValidation type="decimal" allowBlank="1" showInputMessage="1" showErrorMessage="1" sqref="M69">
      <formula1>0</formula1>
      <formula2>100</formula2>
    </dataValidation>
    <dataValidation type="decimal" operator="greaterThanOrEqual" allowBlank="1" showInputMessage="1" showErrorMessage="1" sqref="I70">
      <formula1>0</formula1>
    </dataValidation>
    <dataValidation type="decimal" operator="greaterThanOrEqual" allowBlank="1" showInputMessage="1" showErrorMessage="1" sqref="J70">
      <formula1>0</formula1>
    </dataValidation>
    <dataValidation type="decimal" allowBlank="1" showInputMessage="1" showErrorMessage="1" sqref="L70">
      <formula1>0</formula1>
      <formula2>100</formula2>
    </dataValidation>
    <dataValidation type="decimal" allowBlank="1" showInputMessage="1" showErrorMessage="1" sqref="M70">
      <formula1>0</formula1>
      <formula2>100</formula2>
    </dataValidation>
    <dataValidation type="decimal" operator="greaterThanOrEqual" allowBlank="1" showInputMessage="1" showErrorMessage="1" sqref="I71">
      <formula1>0</formula1>
    </dataValidation>
    <dataValidation type="decimal" operator="greaterThanOrEqual" allowBlank="1" showInputMessage="1" showErrorMessage="1" sqref="J71">
      <formula1>0</formula1>
    </dataValidation>
    <dataValidation type="decimal" allowBlank="1" showInputMessage="1" showErrorMessage="1" sqref="L71">
      <formula1>0</formula1>
      <formula2>100</formula2>
    </dataValidation>
    <dataValidation type="decimal" allowBlank="1" showInputMessage="1" showErrorMessage="1" sqref="M71">
      <formula1>0</formula1>
      <formula2>100</formula2>
    </dataValidation>
    <dataValidation type="decimal" operator="greaterThanOrEqual" allowBlank="1" showInputMessage="1" showErrorMessage="1" sqref="I72">
      <formula1>0</formula1>
    </dataValidation>
    <dataValidation type="decimal" operator="greaterThanOrEqual" allowBlank="1" showInputMessage="1" showErrorMessage="1" sqref="J72">
      <formula1>0</formula1>
    </dataValidation>
    <dataValidation type="decimal" allowBlank="1" showInputMessage="1" showErrorMessage="1" sqref="L72">
      <formula1>0</formula1>
      <formula2>100</formula2>
    </dataValidation>
    <dataValidation type="decimal" allowBlank="1" showInputMessage="1" showErrorMessage="1" sqref="M72">
      <formula1>0</formula1>
      <formula2>100</formula2>
    </dataValidation>
    <dataValidation type="decimal" operator="greaterThanOrEqual" allowBlank="1" showInputMessage="1" showErrorMessage="1" sqref="I73">
      <formula1>0</formula1>
    </dataValidation>
    <dataValidation type="decimal" operator="greaterThanOrEqual" allowBlank="1" showInputMessage="1" showErrorMessage="1" sqref="J73">
      <formula1>0</formula1>
    </dataValidation>
    <dataValidation type="decimal" allowBlank="1" showInputMessage="1" showErrorMessage="1" sqref="L73">
      <formula1>0</formula1>
      <formula2>100</formula2>
    </dataValidation>
    <dataValidation type="decimal" allowBlank="1" showInputMessage="1" showErrorMessage="1" sqref="M73">
      <formula1>0</formula1>
      <formula2>100</formula2>
    </dataValidation>
    <dataValidation type="decimal" operator="greaterThanOrEqual" allowBlank="1" showInputMessage="1" showErrorMessage="1" sqref="I74">
      <formula1>0</formula1>
    </dataValidation>
    <dataValidation type="decimal" operator="greaterThanOrEqual" allowBlank="1" showInputMessage="1" showErrorMessage="1" sqref="J74">
      <formula1>0</formula1>
    </dataValidation>
    <dataValidation type="decimal" allowBlank="1" showInputMessage="1" showErrorMessage="1" sqref="L74">
      <formula1>0</formula1>
      <formula2>100</formula2>
    </dataValidation>
    <dataValidation type="decimal" allowBlank="1" showInputMessage="1" showErrorMessage="1" sqref="M74">
      <formula1>0</formula1>
      <formula2>100</formula2>
    </dataValidation>
    <dataValidation type="decimal" operator="greaterThanOrEqual" allowBlank="1" showInputMessage="1" showErrorMessage="1" sqref="I75">
      <formula1>0</formula1>
    </dataValidation>
    <dataValidation type="decimal" operator="greaterThanOrEqual" allowBlank="1" showInputMessage="1" showErrorMessage="1" sqref="J75">
      <formula1>0</formula1>
    </dataValidation>
    <dataValidation type="decimal" allowBlank="1" showInputMessage="1" showErrorMessage="1" sqref="L75">
      <formula1>0</formula1>
      <formula2>100</formula2>
    </dataValidation>
    <dataValidation type="decimal" allowBlank="1" showInputMessage="1" showErrorMessage="1" sqref="M75">
      <formula1>0</formula1>
      <formula2>100</formula2>
    </dataValidation>
    <dataValidation type="decimal" operator="greaterThanOrEqual" allowBlank="1" showInputMessage="1" showErrorMessage="1" sqref="I76">
      <formula1>0</formula1>
    </dataValidation>
    <dataValidation type="decimal" operator="greaterThanOrEqual" allowBlank="1" showInputMessage="1" showErrorMessage="1" sqref="J76">
      <formula1>0</formula1>
    </dataValidation>
    <dataValidation type="decimal" allowBlank="1" showInputMessage="1" showErrorMessage="1" sqref="L76">
      <formula1>0</formula1>
      <formula2>100</formula2>
    </dataValidation>
    <dataValidation type="decimal" allowBlank="1" showInputMessage="1" showErrorMessage="1" sqref="M76">
      <formula1>0</formula1>
      <formula2>100</formula2>
    </dataValidation>
    <dataValidation type="decimal" operator="greaterThanOrEqual" allowBlank="1" showInputMessage="1" showErrorMessage="1" sqref="I77">
      <formula1>0</formula1>
    </dataValidation>
    <dataValidation type="decimal" operator="greaterThanOrEqual" allowBlank="1" showInputMessage="1" showErrorMessage="1" sqref="J77">
      <formula1>0</formula1>
    </dataValidation>
    <dataValidation type="decimal" allowBlank="1" showInputMessage="1" showErrorMessage="1" sqref="L77">
      <formula1>0</formula1>
      <formula2>100</formula2>
    </dataValidation>
    <dataValidation type="decimal" allowBlank="1" showInputMessage="1" showErrorMessage="1" sqref="M77">
      <formula1>0</formula1>
      <formula2>100</formula2>
    </dataValidation>
    <dataValidation type="decimal" operator="greaterThanOrEqual" allowBlank="1" showInputMessage="1" showErrorMessage="1" sqref="I78">
      <formula1>0</formula1>
    </dataValidation>
    <dataValidation type="decimal" operator="greaterThanOrEqual" allowBlank="1" showInputMessage="1" showErrorMessage="1" sqref="J78">
      <formula1>0</formula1>
    </dataValidation>
    <dataValidation type="decimal" allowBlank="1" showInputMessage="1" showErrorMessage="1" sqref="L78">
      <formula1>0</formula1>
      <formula2>100</formula2>
    </dataValidation>
    <dataValidation type="decimal" allowBlank="1" showInputMessage="1" showErrorMessage="1" sqref="M78">
      <formula1>0</formula1>
      <formula2>100</formula2>
    </dataValidation>
    <dataValidation type="decimal" operator="greaterThanOrEqual" allowBlank="1" showInputMessage="1" showErrorMessage="1" sqref="I79">
      <formula1>0</formula1>
    </dataValidation>
    <dataValidation type="decimal" operator="greaterThanOrEqual" allowBlank="1" showInputMessage="1" showErrorMessage="1" sqref="J79">
      <formula1>0</formula1>
    </dataValidation>
    <dataValidation type="decimal" allowBlank="1" showInputMessage="1" showErrorMessage="1" sqref="L79">
      <formula1>0</formula1>
      <formula2>100</formula2>
    </dataValidation>
    <dataValidation type="decimal" allowBlank="1" showInputMessage="1" showErrorMessage="1" sqref="M79">
      <formula1>0</formula1>
      <formula2>100</formula2>
    </dataValidation>
    <dataValidation type="decimal" operator="greaterThanOrEqual" allowBlank="1" showInputMessage="1" showErrorMessage="1" sqref="I80">
      <formula1>0</formula1>
    </dataValidation>
    <dataValidation type="decimal" operator="greaterThanOrEqual" allowBlank="1" showInputMessage="1" showErrorMessage="1" sqref="J80">
      <formula1>0</formula1>
    </dataValidation>
    <dataValidation type="decimal" allowBlank="1" showInputMessage="1" showErrorMessage="1" sqref="L80">
      <formula1>0</formula1>
      <formula2>100</formula2>
    </dataValidation>
    <dataValidation type="decimal" allowBlank="1" showInputMessage="1" showErrorMessage="1" sqref="M80">
      <formula1>0</formula1>
      <formula2>100</formula2>
    </dataValidation>
    <dataValidation type="list" allowBlank="1" showInputMessage="1" showErrorMessage="1" sqref="C83:H83">
      <formula1>'MasterData'!$H$1:$H$14</formula1>
    </dataValidation>
    <dataValidation type="list" allowBlank="1" showInputMessage="1" showErrorMessage="1" sqref="C84:H84">
      <formula1>'MasterData'!$H$1:$H$14</formula1>
    </dataValidation>
    <dataValidation type="list" allowBlank="1" showInputMessage="1" showErrorMessage="1" sqref="C85:H85">
      <formula1>'MasterData'!$H$1:$H$14</formula1>
    </dataValidation>
    <dataValidation type="list" allowBlank="1" showInputMessage="1" showErrorMessage="1" sqref="C86:H8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lrd2="http://schemas.microsoft.com/office/spreadsheetml/2017/richdata2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100-000000000000}" mc:Ignorable="x14ac xr xr2 xr3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127</v>
      </c>
      <c r="M1" s="300" t="s">
        <v>136</v>
      </c>
      <c r="N1" s="301" t="s">
        <v>0</v>
      </c>
      <c r="O1" s="162" t="s">
        <v>137</v>
      </c>
    </row>
    <row r="2" spans="7:15" ht="12.75">
      <c r="G2" s="162">
        <v>1001310</v>
      </c>
      <c r="H2" s="162" t="s">
        <v>128</v>
      </c>
      <c r="M2" s="300" t="s">
        <v>138</v>
      </c>
      <c r="N2" s="301">
        <v>1020793498</v>
      </c>
      <c r="O2" s="162" t="s">
        <v>139</v>
      </c>
    </row>
    <row r="3" spans="7:15" ht="12.75">
      <c r="G3" s="162">
        <v>1012729</v>
      </c>
      <c r="H3" s="162" t="s">
        <v>140</v>
      </c>
      <c r="M3" s="300" t="s">
        <v>141</v>
      </c>
      <c r="N3" s="301">
        <v>99990000452161</v>
      </c>
      <c r="O3" s="162" t="s">
        <v>142</v>
      </c>
    </row>
    <row r="4" spans="7:15" ht="12.75">
      <c r="G4" s="162">
        <v>1012730</v>
      </c>
      <c r="H4" s="162" t="s">
        <v>143</v>
      </c>
      <c r="M4" s="300" t="s">
        <v>144</v>
      </c>
      <c r="N4" s="301">
        <v>1022076833</v>
      </c>
      <c r="O4" s="162" t="s">
        <v>145</v>
      </c>
    </row>
    <row r="5" spans="7:15" ht="12.75">
      <c r="G5" s="162">
        <v>1012731</v>
      </c>
      <c r="H5" s="162" t="s">
        <v>146</v>
      </c>
      <c r="M5" s="300" t="s">
        <v>147</v>
      </c>
      <c r="N5" s="301"/>
      <c r="O5" s="162" t="s">
        <v>148</v>
      </c>
    </row>
    <row r="6" spans="7:15" ht="12.75">
      <c r="G6" s="162">
        <v>1012732</v>
      </c>
      <c r="H6" s="162" t="s">
        <v>149</v>
      </c>
      <c r="M6" s="300" t="s">
        <v>150</v>
      </c>
      <c r="N6" s="301" t="s">
        <v>151</v>
      </c>
      <c r="O6" s="162" t="s">
        <v>152</v>
      </c>
    </row>
    <row r="7" spans="7:15" ht="12.75">
      <c r="G7" s="162">
        <v>1012733</v>
      </c>
      <c r="H7" s="162" t="s">
        <v>153</v>
      </c>
      <c r="M7" s="300" t="s">
        <v>154</v>
      </c>
      <c r="N7" s="301">
        <v>0</v>
      </c>
      <c r="O7" s="162" t="s">
        <v>155</v>
      </c>
    </row>
    <row r="8" spans="7:15" ht="12.75">
      <c r="G8" s="162">
        <v>1012735</v>
      </c>
      <c r="H8" s="162" t="s">
        <v>156</v>
      </c>
      <c r="O8" s="162" t="s">
        <v>157</v>
      </c>
    </row>
    <row r="9" spans="7:15" ht="12.75">
      <c r="G9" s="162">
        <v>1012736</v>
      </c>
      <c r="H9" s="162" t="s">
        <v>158</v>
      </c>
      <c r="O9" s="162" t="s">
        <v>159</v>
      </c>
    </row>
    <row r="10" spans="7:15" ht="12.75">
      <c r="G10" s="162">
        <v>1012737</v>
      </c>
      <c r="H10" s="162" t="s">
        <v>160</v>
      </c>
      <c r="O10" s="162" t="s">
        <v>161</v>
      </c>
    </row>
    <row r="11" spans="7:15" ht="12.75">
      <c r="G11" s="162">
        <v>1012741</v>
      </c>
      <c r="H11" s="162" t="s">
        <v>162</v>
      </c>
      <c r="O11" s="162" t="s">
        <v>163</v>
      </c>
    </row>
    <row r="12" spans="7:15" ht="12.75">
      <c r="G12" s="162">
        <v>1012742</v>
      </c>
      <c r="H12" s="162" t="s">
        <v>164</v>
      </c>
      <c r="O12" s="162" t="s">
        <v>165</v>
      </c>
    </row>
    <row r="13" spans="7:15" ht="12.75">
      <c r="G13" s="162">
        <v>1012743</v>
      </c>
      <c r="H13" s="162" t="s">
        <v>166</v>
      </c>
      <c r="O13" s="162" t="s">
        <v>167</v>
      </c>
    </row>
    <row r="14" spans="7:15" ht="12.75">
      <c r="G14" s="162">
        <v>1012744</v>
      </c>
      <c r="H14" s="162" t="s">
        <v>168</v>
      </c>
      <c r="O14" s="162" t="s">
        <v>169</v>
      </c>
    </row>
    <row r="15" ht="12.75">
      <c r="O15" s="162" t="s">
        <v>170</v>
      </c>
    </row>
    <row r="16" ht="12.75">
      <c r="O16" s="162" t="s">
        <v>171</v>
      </c>
    </row>
    <row r="17" ht="12.75">
      <c r="O17" s="162" t="s">
        <v>172</v>
      </c>
    </row>
    <row r="18" ht="12.75">
      <c r="O18" s="162" t="s">
        <v>173</v>
      </c>
    </row>
    <row r="19" ht="12.75">
      <c r="O19" s="162" t="s">
        <v>174</v>
      </c>
    </row>
    <row r="20" ht="12.75">
      <c r="O20" s="162" t="s">
        <v>175</v>
      </c>
    </row>
    <row r="21" ht="12.75">
      <c r="O21" s="162" t="s">
        <v>176</v>
      </c>
    </row>
    <row r="22" ht="12.75">
      <c r="O22" s="162" t="s">
        <v>177</v>
      </c>
    </row>
    <row r="23" ht="12.75">
      <c r="O23" s="162" t="s">
        <v>178</v>
      </c>
    </row>
    <row r="24" ht="12.75">
      <c r="O24" s="162" t="s">
        <v>179</v>
      </c>
    </row>
    <row r="25" ht="12.75">
      <c r="O25" s="162" t="s">
        <v>180</v>
      </c>
    </row>
    <row r="26" ht="12.75">
      <c r="O26" s="162" t="s">
        <v>181</v>
      </c>
    </row>
    <row r="27" ht="12.75">
      <c r="O27" s="162" t="s">
        <v>182</v>
      </c>
    </row>
    <row r="28" ht="12.75">
      <c r="O28" s="162" t="s">
        <v>183</v>
      </c>
    </row>
    <row r="29" ht="12.75">
      <c r="O29" s="162" t="s">
        <v>184</v>
      </c>
    </row>
    <row r="30" ht="12.75">
      <c r="O30" s="162" t="s">
        <v>185</v>
      </c>
    </row>
    <row r="31" ht="12.75">
      <c r="O31" s="162" t="s">
        <v>186</v>
      </c>
    </row>
    <row r="32" ht="12.75">
      <c r="O32" s="162" t="s">
        <v>187</v>
      </c>
    </row>
    <row r="33" ht="12.75">
      <c r="O33" s="162" t="s">
        <v>188</v>
      </c>
    </row>
    <row r="34" ht="12.75">
      <c r="O34" s="162" t="s">
        <v>189</v>
      </c>
    </row>
    <row r="35" ht="12.75">
      <c r="O35" s="162" t="s">
        <v>190</v>
      </c>
    </row>
    <row r="36" ht="12.75">
      <c r="O36" s="162" t="s">
        <v>191</v>
      </c>
    </row>
    <row r="37" ht="12.75">
      <c r="O37" s="162" t="s">
        <v>192</v>
      </c>
    </row>
    <row r="38" ht="12.75">
      <c r="O38" s="162" t="s">
        <v>193</v>
      </c>
    </row>
    <row r="39" ht="12.75">
      <c r="O39" s="162" t="s">
        <v>194</v>
      </c>
    </row>
    <row r="40" ht="12.75">
      <c r="O40" s="162" t="s">
        <v>195</v>
      </c>
    </row>
    <row r="41" ht="12.75">
      <c r="O41" s="162" t="s">
        <v>196</v>
      </c>
    </row>
    <row r="42" ht="12.75">
      <c r="O42" s="162" t="s">
        <v>197</v>
      </c>
    </row>
    <row r="43" ht="12.75">
      <c r="O43" s="162" t="s">
        <v>198</v>
      </c>
    </row>
    <row r="44" ht="12.75">
      <c r="O44" s="162" t="s">
        <v>199</v>
      </c>
    </row>
    <row r="45" ht="12.75">
      <c r="O45" s="162" t="s">
        <v>200</v>
      </c>
    </row>
    <row r="46" ht="12.75">
      <c r="O46" s="162" t="s">
        <v>201</v>
      </c>
    </row>
    <row r="47" ht="12.75">
      <c r="O47" s="162" t="s">
        <v>202</v>
      </c>
    </row>
    <row r="48" ht="12.75">
      <c r="O48" s="162" t="s">
        <v>203</v>
      </c>
    </row>
    <row r="49" ht="12.75">
      <c r="O49" s="162" t="s">
        <v>204</v>
      </c>
    </row>
    <row r="50" ht="12.75">
      <c r="O50" s="162" t="s">
        <v>205</v>
      </c>
    </row>
    <row r="51" ht="12.75">
      <c r="O51" s="162" t="s">
        <v>206</v>
      </c>
    </row>
    <row r="52" ht="12.75">
      <c r="O52" s="162" t="s">
        <v>207</v>
      </c>
    </row>
    <row r="53" ht="12.75">
      <c r="O53" s="162" t="s">
        <v>208</v>
      </c>
    </row>
    <row r="54" ht="12.75">
      <c r="O54" s="162" t="s">
        <v>209</v>
      </c>
    </row>
    <row r="55" ht="12.75">
      <c r="O55" s="162" t="s">
        <v>210</v>
      </c>
    </row>
    <row r="56" ht="12.75">
      <c r="O56" s="162" t="s">
        <v>211</v>
      </c>
    </row>
    <row r="57" ht="12.75">
      <c r="O57" s="162" t="s">
        <v>212</v>
      </c>
    </row>
    <row r="58" ht="12.75">
      <c r="O58" s="162" t="s">
        <v>213</v>
      </c>
    </row>
    <row r="59" ht="12.75">
      <c r="O59" s="162" t="s">
        <v>214</v>
      </c>
    </row>
    <row r="60" ht="12.75">
      <c r="O60" s="162" t="s">
        <v>215</v>
      </c>
    </row>
    <row r="61" ht="12.75">
      <c r="O61" s="162" t="s">
        <v>216</v>
      </c>
    </row>
    <row r="62" ht="12.75">
      <c r="O62" s="162" t="s">
        <v>217</v>
      </c>
    </row>
    <row r="63" ht="12.75">
      <c r="O63" s="162" t="s">
        <v>218</v>
      </c>
    </row>
    <row r="64" ht="12.75">
      <c r="O64" s="162" t="s">
        <v>219</v>
      </c>
    </row>
    <row r="65" ht="12.75">
      <c r="O65" s="162" t="s">
        <v>220</v>
      </c>
    </row>
    <row r="66" ht="12.75">
      <c r="O66" s="162" t="s">
        <v>221</v>
      </c>
    </row>
    <row r="67" ht="12.75">
      <c r="O67" s="162" t="s">
        <v>222</v>
      </c>
    </row>
    <row r="68" ht="12.75">
      <c r="O68" s="162" t="s">
        <v>223</v>
      </c>
    </row>
    <row r="69" ht="12.75">
      <c r="O69" s="162" t="s">
        <v>224</v>
      </c>
    </row>
    <row r="70" ht="12.75">
      <c r="O70" s="162" t="s">
        <v>225</v>
      </c>
    </row>
  </sheetData>
  <pageMargins left="0.7" right="0.7" top="0.75" bottom="0.75" header="0.3" footer="0.3"/>
  <pageSetup orientation="portrait" paperSize="9" r:id="rId1"/>
</worksheet>
</file>

<file path=xl/worksheets/sheet3.xml><?xml version="1.0" encoding="utf-8"?>
<worksheet xmlns="http://schemas.openxmlformats.org/spreadsheetml/2006/main" xmlns:r="http://schemas.openxmlformats.org/officeDocument/2006/relationships" xmlns:x="http://schemas.openxmlformats.org/spreadsheetml/2006/main">
  <dimension ref="A1:A1"/>
  <sheetViews>
    <sheetView workbookViewId="0" topLeftCell="A1"/>
  </sheetViews>
  <sheetFormatPr defaultColWidth="9.14285714285714" defaultRowHeight="15"/>
  <sheetData/>
  <pageMargins left="0.75" right="0.75" top="0.75" bottom="0.5" header="0.5" footer="0.75"/>
  <pageSetup orientation="portrait" paperSize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Nithin Jaison (MA-IN)</cp:lastModifiedBy>
  <cp:category/>
  <cp:contentType/>
  <cp:contentStatus/>
</cp:coreProperties>
</file>