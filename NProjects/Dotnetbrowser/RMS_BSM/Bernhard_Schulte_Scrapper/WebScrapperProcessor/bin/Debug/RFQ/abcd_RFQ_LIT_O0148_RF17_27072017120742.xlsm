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'Quote'!$A$1:$R$65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'Quote'!$A$46</x:definedName>
    <x:definedName name="Enquiry_To_Vendor_ID" comment="Enquiry to Vendor ID">'Quote'!$C$46</x:definedName>
    <x:definedName name="GrandTotal">'Quote'!$N$45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'Quote'!$A$38</x:definedName>
    <x:definedName name="ItemListStartupRow" comment="Item List Start Up Row">Quote!$A$19</x:definedName>
    <x:definedName name="ItemSubTotal">'Quote'!$N$44</x:definedName>
    <x:definedName name="ItemSubTotalTitle">'Quote'!$J$44</x:definedName>
    <x:definedName name="LeadDay">Quote!$M$11</x:definedName>
    <x:definedName name="Lock">'Quote'!$M$46</x:definedName>
    <x:definedName name="LoggedInEmailID">'Quote'!$N$46</x:definedName>
    <x:definedName name="LoggedInPwd">'Quote'!$O$46</x:definedName>
    <x:definedName name="OtherCharges">'Quote'!$C$40</x:definedName>
    <x:definedName name="OtherChargesLastRow">'Quote'!$A$44</x:definedName>
    <x:definedName name="OtherChargesStartRow">'Quote'!$A$39</x:definedName>
    <x:definedName name="Port">'Quote'!$P$46</x:definedName>
    <x:definedName name="PortOfDelivery" comment="Port of Delivery">Quote!$M$9</x:definedName>
    <x:definedName name="PurchaserName">'Quote'!$J$46</x:definedName>
    <x:definedName name="QuoteBefore">Quote!$M$8</x:definedName>
    <x:definedName name="QuoteID">MasterData!$N$7</x:definedName>
    <x:definedName name="QuoteSubject">'Quote'!$E$46</x:definedName>
    <x:definedName name="Remarks">'Quote'!$E$48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'Quote'!$K$46</x:definedName>
    <x:definedName name="SentIndex">'Quote'!$L$46</x:definedName>
    <x:definedName name="Server">'Quote'!$Q$46</x:definedName>
    <x:definedName name="Terms">'Quote'!$A$52:$T$73</x:definedName>
    <x:definedName name="ToEmailID">'Quote'!$I$46</x:definedName>
    <x:definedName name="ToEmailPwd">'Quote'!$H$46</x:definedName>
    <x:definedName name="VAL">'Quote'!$F$46</x:definedName>
    <x:definedName name="VAT_All">Quote!$M$16</x:definedName>
    <x:definedName name="Vendor_ID" comment="Vendor ID">'Quote'!$B$46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'Quote'!$D$46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'Quote'!$E$49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,'Quote'!$N$36:$N$36,'Quote'!$N$37:$N$37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6" i="1"/>
  <x:c r="N37" i="1"/>
  <x:c r="N40" i="1"/>
  <x:c r="N41" i="1"/>
  <x:c r="N42" i="1"/>
  <x:c r="N43" i="1"/>
  <x:c r="N44" i="1"/>
  <x:c r="N45" i="1"/>
</x:calcChain>
</file>

<file path=xl/sharedStrings.xml><?xml version="1.0" encoding="utf-8"?>
<x:sst xmlns:x="http://schemas.openxmlformats.org/spreadsheetml/2006/main" count="171" uniqueCount="171">
  <x:si>
    <x:t>RFQ</x:t>
  </x:si>
  <x:si>
    <x:t>Request for Quote</x:t>
  </x:si>
  <x:si>
    <x:t>Invoice To</x:t>
  </x:si>
  <x:si>
    <x:t xml:space="preserve">Bernhard Schulte Shipmanagement (Hellas) SPLLC
MASTER/OWNERS OF MARLIN AMMOLITE
C/O Bernhard Schulte Ship management (Cyprus) Ltd
AS AGENTS ONLY
111,  Spyrou Araouzou Str.
CY 3036, Limassol,
CYPRUS
PO Box 50127,
CY-3601.
</x:t>
  </x:si>
  <x:si>
    <x:t>Vessel</x:t>
  </x:si>
  <x:si>
    <x:t>Marlin Ammolite</x:t>
  </x:si>
  <x:si>
    <x:t>RFQ No.</x:t>
  </x:si>
  <x:si>
    <x:t>LIT/O0148/RF17</x:t>
  </x:si>
  <x:si>
    <x:t>RFQ Date</x:t>
  </x:si>
  <x:si>
    <x:t>Req No(s)</x:t>
  </x:si>
  <x:si>
    <x:t>Submit Quote Before:</x:t>
  </x:si>
  <x:si>
    <x:t>Port of Delivery</x:t>
  </x:si>
  <x:si>
    <x:t>Amsterdam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</x:si>
  <x:si>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</x:si>
  <x:si>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</x:si>
  <x:si>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</x:si>
  <x:si>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</x:si>
  <x:si>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</x:si>
  <x:si>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</x:si>
  <x:si>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</x:si>
  <x:si>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</x:si>
  <x:si>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</x:si>
  <x:si>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</x:si>
  <x:si>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</x:si>
  <x:si>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</x:si>
  <x:si>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</x:si>
  <x:si>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</x:si>
  <x:si>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</x:si>
  <x:si>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</x:si>
  <x:si>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</x:si>
  <x:si>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</x:si>
  <x:si>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</x:si>
  <x:si>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</x:si>
  <x:si>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</x:si>
  <x:si>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</x:si>
  <x:si>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</x:si>
  <x:si>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</x:si>
  <x:si>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</x:si>
  <x:si>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</x:si>
  <x:si>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</x:si>
  <x:si>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</x:si>
  <x:si>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HARNESS S'GL D-RING WORKMAN, MSA PREMIER QWIK-FIT L 10115543</x:t>
  </x:si>
  <x:si>
    <x:t>PCS</x:t>
  </x:si>
  <x:si>
    <x:t>RAIN SUIT WITH HOOD VINYL, YELLOW XXL (3L)</x:t>
  </x:si>
  <x:si>
    <x:t>SET</x:t>
  </x:si>
  <x:si>
    <x:t>GLOVES WORKING CALF HIDE SOFT</x:t>
  </x:si>
  <x:si>
    <x:t>PRS</x:t>
  </x:si>
  <x:si>
    <x:t>GLOVES WORKING COTTON, NON SLIP DOTS</x:t>
  </x:si>
  <x:si>
    <x:t>WORKWEAR PE LAMINATE FABRIC, M.GARD 2000 STANDARD WHITE XL</x:t>
  </x:si>
  <x:si>
    <x:t>WORKWEAR PE LAMINATE FABRIC, M.GARD 2000 STANDARD WHITE L</x:t>
  </x:si>
  <x:si>
    <x:t>GOGGLE ACETATE  CHEMICALRESIST, MSA FLEXI-CHEM IV 10106281</x:t>
  </x:si>
  <x:si>
    <x:t>FIREHOSE RUBBERLINED SYNTHETIC, UK DOT  50MMX25MTR 17KGF/CM2</x:t>
  </x:si>
  <x:si>
    <x:t>C/L</x:t>
  </x:si>
  <x:si>
    <x:t>SEIZING WIRE GALVANIZED, 3MM DIA</x:t>
  </x:si>
  <x:si>
    <x:t>KGS</x:t>
  </x:si>
  <x:si>
    <x:t>SLING BELT POLYESTER, WIDTH 35MM X L 1MTR</x:t>
  </x:si>
  <x:si>
    <x:t>SLING BELT POLYESTER, WIDTH 50MM X L 1MTR</x:t>
  </x:si>
  <x:si>
    <x:t>SLING BELT POLYESTER, WIDTH 50MM X L 6MTR</x:t>
  </x:si>
  <x:si>
    <x:t>SLING BELT POLYESTER, WIDTH 75MM X L 4MTR</x:t>
  </x:si>
  <x:si>
    <x:t>GOGGLE SOFT FRAME SIGHTGARD NV, ANTI SCRATCH/FOG MSA 10106268</x:t>
  </x:si>
  <x:si>
    <x:t>EAR PLUG FOR HI-LOW PITCH, NOISE</x:t>
  </x:si>
  <x:si>
    <x:t>FACESHIELD FOR CHIPPING, PROTECTION</x:t>
  </x:si>
  <x:si>
    <x:t>EAR MUFF LEFT/RIGHT HIGH APPL, SNR 33-H/M/L 33/31/21 YELLOW</x:t>
  </x:si>
  <x:si>
    <x:t>PILOT LADDER STEP RUBBER, 525X115X28MM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</x:si>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</x:sst>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42920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42920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99990008177149</x:v>
      </x:c>
      <x:c r="C20" s="227" t="n">
        <x:v>311516</x:v>
      </x:c>
      <x:c r="D20" s="228" t="s">
        <x:v>41</x:v>
      </x:c>
      <x:c r="E20" s="229" t="s"/>
      <x:c r="F20" s="229" t="n">
        <x:v>311516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99990008172052</x:v>
      </x:c>
      <x:c r="C21" s="227" t="n">
        <x:v>190439</x:v>
      </x:c>
      <x:c r="D21" s="228" t="s">
        <x:v>43</x:v>
      </x:c>
      <x:c r="E21" s="229" t="s"/>
      <x:c r="F21" s="229" t="n">
        <x:v>190439</x:v>
      </x:c>
      <x:c r="G21" s="229" t="s">
        <x:v>44</x:v>
      </x:c>
      <x:c r="H21" s="230" t="n">
        <x:v>0</x:v>
      </x:c>
      <x:c r="I21" s="231" t="n">
        <x:v>12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99990008171871</x:v>
      </x:c>
      <x:c r="C22" s="227" t="n">
        <x:v>190112</x:v>
      </x:c>
      <x:c r="D22" s="228" t="s">
        <x:v>45</x:v>
      </x:c>
      <x:c r="E22" s="229" t="s"/>
      <x:c r="F22" s="229" t="n">
        <x:v>190112</x:v>
      </x:c>
      <x:c r="G22" s="229" t="s">
        <x:v>46</x:v>
      </x:c>
      <x:c r="H22" s="230" t="n">
        <x:v>0</x:v>
      </x:c>
      <x:c r="I22" s="231" t="n">
        <x:v>15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99990008171865</x:v>
      </x:c>
      <x:c r="C23" s="227" t="n">
        <x:v>190103</x:v>
      </x:c>
      <x:c r="D23" s="228" t="s">
        <x:v>47</x:v>
      </x:c>
      <x:c r="E23" s="229" t="s"/>
      <x:c r="F23" s="229" t="n">
        <x:v>190103</x:v>
      </x:c>
      <x:c r="G23" s="229" t="s">
        <x:v>46</x:v>
      </x:c>
      <x:c r="H23" s="230" t="n">
        <x:v>0</x:v>
      </x:c>
      <x:c r="I23" s="231" t="n">
        <x:v>150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99990008177198</x:v>
      </x:c>
      <x:c r="C24" s="227" t="n">
        <x:v>312054</x:v>
      </x:c>
      <x:c r="D24" s="228" t="s">
        <x:v>48</x:v>
      </x:c>
      <x:c r="E24" s="229" t="s"/>
      <x:c r="F24" s="229" t="n">
        <x:v>312054</x:v>
      </x:c>
      <x:c r="G24" s="229" t="s">
        <x:v>42</x:v>
      </x:c>
      <x:c r="H24" s="230" t="n">
        <x:v>0</x:v>
      </x:c>
      <x:c r="I24" s="231" t="n">
        <x:v>4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99990008177197</x:v>
      </x:c>
      <x:c r="C25" s="227" t="n">
        <x:v>312053</x:v>
      </x:c>
      <x:c r="D25" s="228" t="s">
        <x:v>49</x:v>
      </x:c>
      <x:c r="E25" s="229" t="s"/>
      <x:c r="F25" s="229" t="n">
        <x:v>312053</x:v>
      </x:c>
      <x:c r="G25" s="229" t="s">
        <x:v>42</x:v>
      </x:c>
      <x:c r="H25" s="230" t="n">
        <x:v>0</x:v>
      </x:c>
      <x:c r="I25" s="231" t="n">
        <x:v>2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99990008177135</x:v>
      </x:c>
      <x:c r="C26" s="227" t="n">
        <x:v>311015</x:v>
      </x:c>
      <x:c r="D26" s="228" t="s">
        <x:v>50</x:v>
      </x:c>
      <x:c r="E26" s="229" t="s"/>
      <x:c r="F26" s="229" t="n">
        <x:v>311015</x:v>
      </x:c>
      <x:c r="G26" s="229" t="s">
        <x:v>46</x:v>
      </x:c>
      <x:c r="H26" s="230" t="n">
        <x:v>0</x:v>
      </x:c>
      <x:c r="I26" s="231" t="n">
        <x:v>8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99990008178946</x:v>
      </x:c>
      <x:c r="C27" s="227" t="n">
        <x:v>330728</x:v>
      </x:c>
      <x:c r="D27" s="228" t="s">
        <x:v>51</x:v>
      </x:c>
      <x:c r="E27" s="229" t="s"/>
      <x:c r="F27" s="229" t="n">
        <x:v>330728</x:v>
      </x:c>
      <x:c r="G27" s="229" t="s">
        <x:v>52</x:v>
      </x:c>
      <x:c r="H27" s="230" t="n">
        <x:v>0</x:v>
      </x:c>
      <x:c r="I27" s="231" t="n">
        <x:v>2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99990008173268</x:v>
      </x:c>
      <x:c r="C28" s="227" t="n">
        <x:v>211452</x:v>
      </x:c>
      <x:c r="D28" s="228" t="s">
        <x:v>53</x:v>
      </x:c>
      <x:c r="E28" s="229" t="s"/>
      <x:c r="F28" s="229" t="n">
        <x:v>211452</x:v>
      </x:c>
      <x:c r="G28" s="229" t="s">
        <x:v>54</x:v>
      </x:c>
      <x:c r="H28" s="230" t="n">
        <x:v>0</x:v>
      </x:c>
      <x:c r="I28" s="231" t="n">
        <x:v>3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/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99990008175998</x:v>
      </x:c>
      <x:c r="C29" s="227" t="n">
        <x:v>232137</x:v>
      </x:c>
      <x:c r="D29" s="228" t="s">
        <x:v>55</x:v>
      </x:c>
      <x:c r="E29" s="229" t="s"/>
      <x:c r="F29" s="229" t="n">
        <x:v>232137</x:v>
      </x:c>
      <x:c r="G29" s="229" t="s">
        <x:v>42</x:v>
      </x:c>
      <x:c r="H29" s="230" t="n">
        <x:v>0</x:v>
      </x:c>
      <x:c r="I29" s="231" t="n">
        <x:v>1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99990008176004</x:v>
      </x:c>
      <x:c r="C30" s="227" t="n">
        <x:v>232143</x:v>
      </x:c>
      <x:c r="D30" s="228" t="s">
        <x:v>56</x:v>
      </x:c>
      <x:c r="E30" s="229" t="s"/>
      <x:c r="F30" s="229" t="n">
        <x:v>232143</x:v>
      </x:c>
      <x:c r="G30" s="229" t="s">
        <x:v>42</x:v>
      </x:c>
      <x:c r="H30" s="230" t="n">
        <x:v>0</x:v>
      </x:c>
      <x:c r="I30" s="231" t="n">
        <x:v>1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/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99990008176009</x:v>
      </x:c>
      <x:c r="C31" s="227" t="n">
        <x:v>232148</x:v>
      </x:c>
      <x:c r="D31" s="228" t="s">
        <x:v>57</x:v>
      </x:c>
      <x:c r="E31" s="229" t="s"/>
      <x:c r="F31" s="229" t="n">
        <x:v>232148</x:v>
      </x:c>
      <x:c r="G31" s="229" t="s">
        <x:v>42</x:v>
      </x:c>
      <x:c r="H31" s="230" t="n">
        <x:v>0</x:v>
      </x:c>
      <x:c r="I31" s="231" t="n">
        <x:v>1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/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99990008176013</x:v>
      </x:c>
      <x:c r="C32" s="227" t="n">
        <x:v>232174</x:v>
      </x:c>
      <x:c r="D32" s="228" t="s">
        <x:v>58</x:v>
      </x:c>
      <x:c r="E32" s="229" t="s"/>
      <x:c r="F32" s="229" t="n">
        <x:v>232174</x:v>
      </x:c>
      <x:c r="G32" s="229" t="s">
        <x:v>42</x:v>
      </x:c>
      <x:c r="H32" s="230" t="n">
        <x:v>0</x:v>
      </x:c>
      <x:c r="I32" s="231" t="n">
        <x:v>1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99990008177132</x:v>
      </x:c>
      <x:c r="C33" s="227" t="n">
        <x:v>311011</x:v>
      </x:c>
      <x:c r="D33" s="228" t="s">
        <x:v>59</x:v>
      </x:c>
      <x:c r="E33" s="229" t="s"/>
      <x:c r="F33" s="229" t="n">
        <x:v>311011</x:v>
      </x:c>
      <x:c r="G33" s="229" t="s">
        <x:v>46</x:v>
      </x:c>
      <x:c r="H33" s="230" t="n">
        <x:v>0</x:v>
      </x:c>
      <x:c r="I33" s="231" t="n">
        <x:v>10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/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99990008179676</x:v>
      </x:c>
      <x:c r="C34" s="227" t="n">
        <x:v>331156</x:v>
      </x:c>
      <x:c r="D34" s="228" t="s">
        <x:v>60</x:v>
      </x:c>
      <x:c r="E34" s="229" t="s"/>
      <x:c r="F34" s="229" t="n">
        <x:v>331156</x:v>
      </x:c>
      <x:c r="G34" s="229" t="s">
        <x:v>42</x:v>
      </x:c>
      <x:c r="H34" s="230" t="n">
        <x:v>0</x:v>
      </x:c>
      <x:c r="I34" s="231" t="n">
        <x:v>40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/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99990008179662</x:v>
      </x:c>
      <x:c r="C35" s="227" t="n">
        <x:v>331143</x:v>
      </x:c>
      <x:c r="D35" s="228" t="s">
        <x:v>61</x:v>
      </x:c>
      <x:c r="E35" s="229" t="s"/>
      <x:c r="F35" s="229" t="n">
        <x:v>331143</x:v>
      </x:c>
      <x:c r="G35" s="229" t="s">
        <x:v>42</x:v>
      </x:c>
      <x:c r="H35" s="230" t="n">
        <x:v>0</x:v>
      </x:c>
      <x:c r="I35" s="231" t="n">
        <x:v>4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24" customHeight="1" x14ac:dyDescent="0.2">
      <x:c r="A36" s="226" t="n">
        <x:v>17</x:v>
      </x:c>
      <x:c r="B36" s="226" t="n">
        <x:v>99990008179672</x:v>
      </x:c>
      <x:c r="C36" s="227" t="n">
        <x:v>331258</x:v>
      </x:c>
      <x:c r="D36" s="228" t="s">
        <x:v>62</x:v>
      </x:c>
      <x:c r="E36" s="229" t="s"/>
      <x:c r="F36" s="229" t="n">
        <x:v>331258</x:v>
      </x:c>
      <x:c r="G36" s="229" t="s">
        <x:v>46</x:v>
      </x:c>
      <x:c r="H36" s="230" t="n">
        <x:v>0</x:v>
      </x:c>
      <x:c r="I36" s="231" t="n">
        <x:v>8</x:v>
      </x:c>
      <x:c r="J36" s="232" t="n">
        <x:v>0</x:v>
      </x:c>
      <x:c r="K36" s="233" t="s"/>
      <x:c r="L36" s="231" t="n">
        <x:v>0</x:v>
      </x:c>
      <x:c r="M36" s="231" t="n">
        <x:v>0</x:v>
      </x:c>
      <x:c r="N36" s="234">
        <x:f>ROUND(((I36*J36)-((I36*J36)*L36/100))+(((I36*J36)-((I36*J36)*L36/100))*M36/100), 2)</x:f>
      </x:c>
      <x:c r="O36" s="230">
        <x:f>M11</x:f>
      </x:c>
      <x:c r="P36" s="235" t="s"/>
      <x:c r="Q36" s="236" t="s"/>
      <x:c r="R36" s="237" t="s"/>
      <x:c r="S36" s="238" t="s"/>
      <x:c r="T36" s="239" t="s"/>
    </x:row>
    <x:row r="37" spans="1:24" customFormat="1" ht="24" customHeight="1" x14ac:dyDescent="0.2">
      <x:c r="A37" s="226" t="n">
        <x:v>18</x:v>
      </x:c>
      <x:c r="B37" s="226" t="n">
        <x:v>99990008175926</x:v>
      </x:c>
      <x:c r="C37" s="227" t="n">
        <x:v>232016</x:v>
      </x:c>
      <x:c r="D37" s="228" t="s">
        <x:v>63</x:v>
      </x:c>
      <x:c r="E37" s="229" t="s"/>
      <x:c r="F37" s="229" t="n">
        <x:v>232016</x:v>
      </x:c>
      <x:c r="G37" s="229" t="s">
        <x:v>42</x:v>
      </x:c>
      <x:c r="H37" s="230" t="n">
        <x:v>0</x:v>
      </x:c>
      <x:c r="I37" s="231" t="n">
        <x:v>1</x:v>
      </x:c>
      <x:c r="J37" s="232" t="n">
        <x:v>0</x:v>
      </x:c>
      <x:c r="K37" s="233" t="s"/>
      <x:c r="L37" s="231" t="n">
        <x:v>0</x:v>
      </x:c>
      <x:c r="M37" s="231" t="n">
        <x:v>0</x:v>
      </x:c>
      <x:c r="N37" s="234">
        <x:f>ROUND(((I37*J37)-((I37*J37)*L37/100))+(((I37*J37)-((I37*J37)*L37/100))*M37/100), 2)</x:f>
      </x:c>
      <x:c r="O37" s="230">
        <x:f>M11</x:f>
      </x:c>
      <x:c r="P37" s="235" t="s"/>
      <x:c r="Q37" s="236" t="s"/>
      <x:c r="R37" s="237" t="s"/>
      <x:c r="S37" s="238" t="s"/>
      <x:c r="T37" s="239" t="s"/>
    </x:row>
    <x:row r="38" spans="1:24" customFormat="1" ht="15" customHeight="1" x14ac:dyDescent="0.2">
      <x:c r="A38" s="32" t="s"/>
      <x:c r="B38" s="295" t="s"/>
      <x:c r="C38" s="296" t="s"/>
      <x:c r="D38" s="296" t="s"/>
      <x:c r="E38" s="296" t="s"/>
      <x:c r="F38" s="296" t="s"/>
      <x:c r="G38" s="296" t="s"/>
      <x:c r="H38" s="297" t="s"/>
      <x:c r="I38" s="297" t="s"/>
      <x:c r="J38" s="297" t="s"/>
      <x:c r="K38" s="297" t="s"/>
      <x:c r="L38" s="297" t="s"/>
      <x:c r="M38" s="297" t="s"/>
      <x:c r="N38" s="297" t="s"/>
      <x:c r="O38" s="297" t="s"/>
      <x:c r="P38" s="297" t="s"/>
      <x:c r="Q38" s="297" t="s"/>
      <x:c r="R38" s="297" t="s"/>
      <x:c r="S38" s="297" t="s"/>
      <x:c r="T38" s="298" t="s"/>
    </x:row>
    <x:row r="39" spans="1:24" customFormat="1" ht="12.75" customHeight="1" x14ac:dyDescent="0.2">
      <x:c r="A39" s="289" t="s">
        <x:v>29</x:v>
      </x:c>
      <x:c r="B39" s="289" t="s"/>
      <x:c r="C39" s="290" t="s">
        <x:v>64</x:v>
      </x:c>
      <x:c r="D39" s="291" t="s"/>
      <x:c r="E39" s="291" t="s"/>
      <x:c r="F39" s="291" t="s"/>
      <x:c r="G39" s="291" t="s"/>
      <x:c r="H39" s="291" t="s"/>
      <x:c r="I39" s="292" t="s"/>
      <x:c r="J39" s="292" t="s">
        <x:v>65</x:v>
      </x:c>
      <x:c r="K39" s="292" t="s"/>
      <x:c r="L39" s="292" t="s">
        <x:v>36</x:v>
      </x:c>
      <x:c r="M39" s="292" t="s">
        <x:v>37</x:v>
      </x:c>
      <x:c r="N39" s="293" t="s">
        <x:v>66</x:v>
      </x:c>
      <x:c r="O39" s="294" t="s">
        <x:v>39</x:v>
      </x:c>
      <x:c r="P39" s="294" t="s"/>
      <x:c r="Q39" s="294" t="s"/>
      <x:c r="R39" s="294" t="s"/>
      <x:c r="S39" s="294" t="s"/>
      <x:c r="T39" s="225" t="s"/>
    </x:row>
    <x:row r="40" spans="1:24" customFormat="1" ht="15" customHeight="1" x14ac:dyDescent="0.2">
      <x:c r="A40" s="269" t="n">
        <x:v>1</x:v>
      </x:c>
      <x:c r="B40" s="270" t="s"/>
      <x:c r="C40" s="271" t="s">
        <x:v>67</x:v>
      </x:c>
      <x:c r="D40" s="272" t="s">
        <x:v>67</x:v>
      </x:c>
      <x:c r="E40" s="272" t="s">
        <x:v>67</x:v>
      </x:c>
      <x:c r="F40" s="272" t="s">
        <x:v>67</x:v>
      </x:c>
      <x:c r="G40" s="272" t="s">
        <x:v>67</x:v>
      </x:c>
      <x:c r="H40" s="273" t="s">
        <x:v>67</x:v>
      </x:c>
      <x:c r="I40" s="274" t="s"/>
      <x:c r="J40" s="275" t="n">
        <x:v>0</x:v>
      </x:c>
      <x:c r="K40" s="276" t="s"/>
      <x:c r="L40" s="277" t="n">
        <x:v>0</x:v>
      </x:c>
      <x:c r="M40" s="277" t="n">
        <x:v>0</x:v>
      </x:c>
      <x:c r="N40" s="285">
        <x:f>(J40 -(J40 *L40 /100)+((J40 -(J40 *L40 /100))*M40 /100))</x:f>
      </x:c>
      <x:c r="O40" s="286" t="s"/>
      <x:c r="P40" s="287" t="s"/>
      <x:c r="Q40" s="287" t="s"/>
      <x:c r="R40" s="287" t="s"/>
      <x:c r="S40" s="288" t="s"/>
      <x:c r="T40" s="283" t="s"/>
    </x:row>
    <x:row r="41" spans="1:24" customFormat="1" ht="15" customHeight="1" x14ac:dyDescent="0.2">
      <x:c r="A41" s="269" t="n">
        <x:v>2</x:v>
      </x:c>
      <x:c r="B41" s="270" t="s"/>
      <x:c r="C41" s="271" t="s">
        <x:v>68</x:v>
      </x:c>
      <x:c r="D41" s="272" t="s">
        <x:v>68</x:v>
      </x:c>
      <x:c r="E41" s="272" t="s">
        <x:v>68</x:v>
      </x:c>
      <x:c r="F41" s="272" t="s">
        <x:v>68</x:v>
      </x:c>
      <x:c r="G41" s="272" t="s">
        <x:v>68</x:v>
      </x:c>
      <x:c r="H41" s="273" t="s">
        <x:v>68</x:v>
      </x:c>
      <x:c r="I41" s="284" t="s"/>
      <x:c r="J41" s="275" t="n">
        <x:v>0</x:v>
      </x:c>
      <x:c r="K41" s="276" t="s"/>
      <x:c r="L41" s="277" t="n">
        <x:v>0</x:v>
      </x:c>
      <x:c r="M41" s="277" t="n">
        <x:v>0</x:v>
      </x:c>
      <x:c r="N41" s="279">
        <x:f>(J41 -(J41 *L41 /100)+((J41 -(J41 *L41 /100))*M41 /100))</x:f>
      </x:c>
      <x:c r="O41" s="280" t="s"/>
      <x:c r="P41" s="281" t="s"/>
      <x:c r="Q41" s="281" t="s"/>
      <x:c r="R41" s="281" t="s"/>
      <x:c r="S41" s="282" t="s"/>
      <x:c r="T41" s="283" t="s"/>
    </x:row>
    <x:row r="42" spans="1:24" customFormat="1" ht="15" customHeight="1" x14ac:dyDescent="0.2">
      <x:c r="A42" s="269" t="n">
        <x:v>3</x:v>
      </x:c>
      <x:c r="B42" s="270" t="s"/>
      <x:c r="C42" s="271" t="s"/>
      <x:c r="D42" s="272" t="s"/>
      <x:c r="E42" s="272" t="s"/>
      <x:c r="F42" s="272" t="s"/>
      <x:c r="G42" s="272" t="s"/>
      <x:c r="H42" s="273" t="s"/>
      <x:c r="I42" s="274" t="s"/>
      <x:c r="J42" s="275" t="n">
        <x:v>0</x:v>
      </x:c>
      <x:c r="K42" s="276" t="s"/>
      <x:c r="L42" s="277" t="n">
        <x:v>0</x:v>
      </x:c>
      <x:c r="M42" s="277" t="n">
        <x:v>0</x:v>
      </x:c>
      <x:c r="N42" s="279">
        <x:f>(J42 -(J42 *L42 /100)+((J42 -(J42 *L42 /100))*M42 /100))</x:f>
      </x:c>
      <x:c r="O42" s="280" t="s"/>
      <x:c r="P42" s="281" t="s"/>
      <x:c r="Q42" s="281" t="s"/>
      <x:c r="R42" s="281" t="s"/>
      <x:c r="S42" s="282" t="s"/>
      <x:c r="T42" s="283" t="s"/>
    </x:row>
    <x:row r="43" spans="1:24" customFormat="1" ht="15.75" customHeight="1" x14ac:dyDescent="0.2">
      <x:c r="A43" s="269" t="n">
        <x:v>4</x:v>
      </x:c>
      <x:c r="B43" s="270" t="s"/>
      <x:c r="C43" s="271" t="s"/>
      <x:c r="D43" s="272" t="s"/>
      <x:c r="E43" s="272" t="s"/>
      <x:c r="F43" s="272" t="s"/>
      <x:c r="G43" s="272" t="s"/>
      <x:c r="H43" s="273" t="s"/>
      <x:c r="I43" s="274" t="s"/>
      <x:c r="J43" s="275" t="n">
        <x:v>0</x:v>
      </x:c>
      <x:c r="K43" s="276" t="s"/>
      <x:c r="L43" s="277" t="n">
        <x:v>0</x:v>
      </x:c>
      <x:c r="M43" s="278" t="n">
        <x:v>0</x:v>
      </x:c>
      <x:c r="N43" s="279">
        <x:f>(J43 -(J43 *L43 /100)+((J43 -(J43 *L43 /100))*M43 /100))</x:f>
      </x:c>
      <x:c r="O43" s="280" t="s"/>
      <x:c r="P43" s="281" t="s"/>
      <x:c r="Q43" s="281" t="s"/>
      <x:c r="R43" s="281" t="s"/>
      <x:c r="S43" s="282" t="s"/>
      <x:c r="T43" s="283" t="s"/>
    </x:row>
    <x:row r="44" spans="1:24" customFormat="1" ht="15.95" customHeight="1" x14ac:dyDescent="0.2">
      <x:c r="A44" s="247" t="s"/>
      <x:c r="B44" s="247" t="s"/>
      <x:c r="C44" s="248" t="s"/>
      <x:c r="D44" s="248" t="s"/>
      <x:c r="J44" s="58" t="s">
        <x:v>69</x:v>
      </x:c>
      <x:c r="K44" s="59" t="s"/>
      <x:c r="L44" s="58" t="s"/>
      <x:c r="M44" s="59" t="s"/>
      <x:c r="N44" s="264">
        <x:f>SUM(ItmPrice)</x:f>
      </x:c>
      <x:c r="O44" s="267" t="s"/>
      <x:c r="P44" s="268" t="s"/>
    </x:row>
    <x:row r="45" spans="1:24" customFormat="1" ht="15" customHeight="1" x14ac:dyDescent="0.2">
      <x:c r="A45" s="247" t="s"/>
      <x:c r="B45" s="247" t="s"/>
      <x:c r="C45" s="248" t="s"/>
      <x:c r="D45" s="248" t="s"/>
      <x:c r="J45" s="123" t="s">
        <x:v>70</x:v>
      </x:c>
      <x:c r="K45" s="124" t="s"/>
      <x:c r="L45" s="124" t="s"/>
      <x:c r="M45" s="125" t="s"/>
      <x:c r="N45" s="264">
        <x:f>SUM(N40:N44)</x:f>
      </x:c>
      <x:c r="O45" s="265" t="s"/>
      <x:c r="P45" s="266" t="s"/>
    </x:row>
    <x:row r="46" spans="1:24" customFormat="1" ht="2.25" hidden="1" customHeight="1" x14ac:dyDescent="0.2">
      <x:c r="A46" s="258" t="n">
        <x:v>0</x:v>
      </x:c>
      <x:c r="B46" s="258" t="n">
        <x:v>0</x:v>
      </x:c>
      <x:c r="C46" s="259" t="n">
        <x:v>0</x:v>
      </x:c>
      <x:c r="D46" s="248" t="s"/>
      <x:c r="E46" s="248" t="s"/>
      <x:c r="F46" s="260" t="n">
        <x:v>1</x:v>
      </x:c>
      <x:c r="G46" s="248" t="s"/>
      <x:c r="H46" s="248" t="s"/>
      <x:c r="I46" s="248" t="s"/>
      <x:c r="J46" s="248" t="s"/>
      <x:c r="K46" s="261" t="s"/>
      <x:c r="L46" s="262" t="n">
        <x:v>0</x:v>
      </x:c>
      <x:c r="M46" s="263" t="n">
        <x:v>0</x:v>
      </x:c>
      <x:c r="N46" s="162" t="s">
        <x:v>71</x:v>
      </x:c>
      <x:c r="O46" s="257" t="s"/>
      <x:c r="P46" s="263" t="n">
        <x:v>995</x:v>
      </x:c>
      <x:c r="Q46" s="248" t="s">
        <x:v>72</x:v>
      </x:c>
      <x:c r="R46" s="248" t="s"/>
      <x:c r="S46" s="248" t="s"/>
    </x:row>
    <x:row r="47" spans="1:24" customFormat="1" ht="18.75" customHeight="1" x14ac:dyDescent="0.2">
      <x:c r="A47" s="247" t="s"/>
      <x:c r="B47" s="247" t="s"/>
      <x:c r="C47" s="247" t="s"/>
      <x:c r="H47" s="257" t="s"/>
      <x:c r="J47" s="248" t="s"/>
      <x:c r="K47" s="248" t="s"/>
      <x:c r="L47" s="248" t="s"/>
      <x:c r="M47" s="248" t="s"/>
      <x:c r="N47" s="248" t="s"/>
      <x:c r="O47" s="248" t="s"/>
      <x:c r="P47" s="248" t="s"/>
      <x:c r="R47" s="248" t="s"/>
      <x:c r="S47" s="248" t="s"/>
    </x:row>
    <x:row r="48" spans="1:24" customFormat="1" ht="127.5" customHeight="1" x14ac:dyDescent="0.2">
      <x:c r="A48" s="249" t="s">
        <x:v>73</x:v>
      </x:c>
      <x:c r="B48" s="249" t="s"/>
      <x:c r="C48" s="249" t="s"/>
      <x:c r="D48" s="250" t="s"/>
      <x:c r="E48" s="254" t="s"/>
      <x:c r="F48" s="255" t="s"/>
      <x:c r="G48" s="255" t="s"/>
      <x:c r="H48" s="255" t="s"/>
      <x:c r="I48" s="255" t="s"/>
      <x:c r="J48" s="255" t="s"/>
      <x:c r="K48" s="255" t="s"/>
      <x:c r="L48" s="255" t="s"/>
      <x:c r="M48" s="255" t="s"/>
      <x:c r="N48" s="255" t="s"/>
      <x:c r="O48" s="255" t="s"/>
      <x:c r="P48" s="255" t="s"/>
      <x:c r="Q48" s="255" t="s"/>
      <x:c r="R48" s="255" t="s"/>
      <x:c r="S48" s="255" t="s"/>
      <x:c r="T48" s="256" t="s"/>
    </x:row>
    <x:row r="49" spans="1:24" customFormat="1" ht="129.75" customHeight="1" x14ac:dyDescent="0.2">
      <x:c r="A49" s="249" t="s">
        <x:v>39</x:v>
      </x:c>
      <x:c r="B49" s="249" t="s"/>
      <x:c r="C49" s="249" t="s"/>
      <x:c r="D49" s="250" t="s"/>
      <x:c r="E49" s="251" t="s"/>
      <x:c r="F49" s="252" t="s"/>
      <x:c r="G49" s="252" t="s"/>
      <x:c r="H49" s="252" t="s"/>
      <x:c r="I49" s="252" t="s"/>
      <x:c r="J49" s="252" t="s"/>
      <x:c r="K49" s="252" t="s"/>
      <x:c r="L49" s="252" t="s"/>
      <x:c r="M49" s="252" t="s"/>
      <x:c r="N49" s="252" t="s"/>
      <x:c r="O49" s="252" t="s"/>
      <x:c r="P49" s="252" t="s"/>
      <x:c r="Q49" s="252" t="s"/>
      <x:c r="R49" s="252" t="s"/>
      <x:c r="S49" s="252" t="s"/>
      <x:c r="T49" s="253" t="s"/>
    </x:row>
    <x:row r="50" spans="1:24" customFormat="1" ht="15.95" customHeight="1" x14ac:dyDescent="0.2">
      <x:c r="A50" s="247" t="s"/>
      <x:c r="B50" s="247" t="s"/>
      <x:c r="C50" s="247" t="s"/>
      <x:c r="H50" s="248" t="s"/>
      <x:c r="I50" s="248" t="s"/>
      <x:c r="J50" s="248" t="s"/>
      <x:c r="K50" s="248" t="s"/>
      <x:c r="L50" s="248" t="s"/>
      <x:c r="M50" s="248" t="s"/>
      <x:c r="N50" s="248" t="s"/>
      <x:c r="O50" s="248" t="s"/>
      <x:c r="P50" s="248" t="s"/>
      <x:c r="Q50" s="248" t="s"/>
      <x:c r="R50" s="248" t="s"/>
      <x:c r="S50" s="248" t="s"/>
    </x:row>
    <x:row r="51" spans="1:24" customFormat="1" ht="15.95" customHeight="1" x14ac:dyDescent="0.2">
      <x:c r="A51" s="245" t="s">
        <x:v>74</x:v>
      </x:c>
      <x:c r="B51" s="245" t="s"/>
      <x:c r="C51" s="245" t="s"/>
      <x:c r="D51" s="245" t="s"/>
      <x:c r="E51" s="245" t="s"/>
      <x:c r="F51" s="245" t="s"/>
      <x:c r="G51" s="245" t="s"/>
      <x:c r="H51" s="245" t="s"/>
      <x:c r="I51" s="245" t="s"/>
      <x:c r="J51" s="245" t="s"/>
      <x:c r="K51" s="245" t="s"/>
      <x:c r="L51" s="245" t="s"/>
      <x:c r="M51" s="245" t="s"/>
      <x:c r="N51" s="245" t="s"/>
      <x:c r="O51" s="245" t="s"/>
      <x:c r="P51" s="245" t="s"/>
      <x:c r="Q51" s="245" t="s"/>
      <x:c r="R51" s="245" t="s"/>
      <x:c r="S51" s="245" t="s"/>
      <x:c r="T51" s="246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7.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7.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7.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12.7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12.7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7.5" customHeight="1">
      <x:c r="A71" s="243" t="s"/>
      <x:c r="B71" s="243" t="s"/>
      <x:c r="C71" s="243" t="s"/>
      <x:c r="D71" s="243" t="s"/>
      <x:c r="E71" s="243" t="s"/>
      <x:c r="F71" s="243" t="s"/>
      <x:c r="G71" s="243" t="s"/>
      <x:c r="H71" s="243" t="s"/>
      <x:c r="I71" s="243" t="s"/>
      <x:c r="J71" s="243" t="s"/>
      <x:c r="K71" s="243" t="s"/>
      <x:c r="L71" s="243" t="s"/>
      <x:c r="M71" s="243" t="s"/>
      <x:c r="N71" s="243" t="s"/>
      <x:c r="O71" s="243" t="s"/>
      <x:c r="P71" s="243" t="s"/>
      <x:c r="Q71" s="243" t="s"/>
      <x:c r="R71" s="243" t="s"/>
      <x:c r="S71" s="243" t="s"/>
      <x:c r="T71" s="244" t="s"/>
    </x:row>
    <x:row r="72" spans="1:24" customFormat="1" ht="12.75" customHeight="1">
      <x:c r="A72" s="243" t="s"/>
      <x:c r="B72" s="243" t="s"/>
      <x:c r="C72" s="243" t="s"/>
      <x:c r="D72" s="243" t="s"/>
      <x:c r="E72" s="243" t="s"/>
      <x:c r="F72" s="243" t="s"/>
      <x:c r="G72" s="243" t="s"/>
      <x:c r="H72" s="243" t="s"/>
      <x:c r="I72" s="243" t="s"/>
      <x:c r="J72" s="243" t="s"/>
      <x:c r="K72" s="243" t="s"/>
      <x:c r="L72" s="243" t="s"/>
      <x:c r="M72" s="243" t="s"/>
      <x:c r="N72" s="243" t="s"/>
      <x:c r="O72" s="243" t="s"/>
      <x:c r="P72" s="243" t="s"/>
      <x:c r="Q72" s="243" t="s"/>
      <x:c r="R72" s="243" t="s"/>
      <x:c r="S72" s="243" t="s"/>
      <x:c r="T72" s="244" t="s"/>
    </x:row>
    <x:row r="73" spans="1:24" customFormat="1" ht="12.75" customHeight="1">
      <x:c r="A73" s="243" t="s"/>
      <x:c r="B73" s="243" t="s"/>
      <x:c r="C73" s="243" t="s"/>
      <x:c r="D73" s="243" t="s"/>
      <x:c r="E73" s="243" t="s"/>
      <x:c r="F73" s="243" t="s"/>
      <x:c r="G73" s="243" t="s"/>
      <x:c r="H73" s="243" t="s"/>
      <x:c r="I73" s="243" t="s"/>
      <x:c r="J73" s="243" t="s"/>
      <x:c r="K73" s="243" t="s"/>
      <x:c r="L73" s="243" t="s"/>
      <x:c r="M73" s="243" t="s"/>
      <x:c r="N73" s="243" t="s"/>
      <x:c r="O73" s="243" t="s"/>
      <x:c r="P73" s="243" t="s"/>
      <x:c r="Q73" s="243" t="s"/>
      <x:c r="R73" s="243" t="s"/>
      <x:c r="S73" s="243" t="s"/>
      <x:c r="T73" s="244" t="s"/>
    </x:row>
    <x:row r="74" spans="1:24" customFormat="1" ht="12.75" customHeight="1">
      <x:c r="A74" s="241" t="s"/>
      <x:c r="B74" s="241" t="s"/>
      <x:c r="C74" s="241" t="s"/>
      <x:c r="D74" s="241" t="s"/>
      <x:c r="E74" s="241" t="s"/>
      <x:c r="F74" s="241" t="s"/>
      <x:c r="G74" s="241" t="s"/>
      <x:c r="H74" s="241" t="s"/>
      <x:c r="I74" s="241" t="s"/>
      <x:c r="J74" s="241" t="s"/>
      <x:c r="K74" s="241" t="s"/>
      <x:c r="L74" s="241" t="s"/>
      <x:c r="M74" s="241" t="s"/>
      <x:c r="N74" s="241" t="s"/>
      <x:c r="O74" s="241" t="s"/>
      <x:c r="P74" s="241" t="s"/>
      <x:c r="Q74" s="241" t="s"/>
      <x:c r="R74" s="241" t="s"/>
      <x:c r="S74" s="241" t="s"/>
      <x:c r="T74" s="242" t="s"/>
    </x:row>
    <x:row r="75" spans="1:24">
      <x:c r="A75" s="240" t="s">
        <x:v>75</x:v>
      </x:c>
      <x:c r="B75" s="240" t="s"/>
      <x:c r="C75" s="240" t="s"/>
      <x:c r="D75" s="240" t="s"/>
      <x:c r="E75" s="240" t="s"/>
      <x:c r="F75" s="240" t="s"/>
      <x:c r="G75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101">
    <x:mergeCell ref="E48:S48"/>
    <x:mergeCell ref="E49:S49"/>
    <x:mergeCell ref="E51:S51"/>
    <x:mergeCell ref="A52:S73"/>
    <x:mergeCell ref="A74:S74"/>
    <x:mergeCell ref="A48:D48"/>
    <x:mergeCell ref="A49:D49"/>
    <x:mergeCell ref="K1:R1"/>
    <x:mergeCell ref="R19:S19"/>
    <x:mergeCell ref="R20:S20"/>
    <x:mergeCell ref="O40:S40"/>
    <x:mergeCell ref="O41:S41"/>
    <x:mergeCell ref="O39:S39"/>
    <x:mergeCell ref="J39:K39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44:P44"/>
    <x:mergeCell ref="O45:P45"/>
    <x:mergeCell ref="J45:M45"/>
    <x:mergeCell ref="O42:S42"/>
    <x:mergeCell ref="O43:S43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9:H39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D36:E36"/>
    <x:mergeCell ref="J36:K36"/>
    <x:mergeCell ref="D37:E37"/>
    <x:mergeCell ref="J37:K37"/>
    <x:mergeCell ref="C40:H40"/>
    <x:mergeCell ref="J40:K40"/>
    <x:mergeCell ref="C41:H41"/>
    <x:mergeCell ref="J41:K41"/>
    <x:mergeCell ref="C42:H42"/>
    <x:mergeCell ref="J42:K42"/>
    <x:mergeCell ref="C43:H43"/>
    <x:mergeCell ref="J43:K43"/>
  </x:mergeCells>
  <x:phoneticPr fontId="3" type="noConversion"/>
  <x:dataValidations count="81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6:I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6:J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6:L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6:M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7:I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7:J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7:L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7:M37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40:H4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1:H4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2:H4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3:H43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67</x:v>
      </x:c>
      <x:c r="M1" s="300" t="s">
        <x:v>76</x:v>
      </x:c>
      <x:c r="N1" s="301" t="s">
        <x:v>0</x:v>
      </x:c>
      <x:c r="O1" s="162" t="s">
        <x:v>77</x:v>
      </x:c>
    </x:row>
    <x:row r="2" spans="1:15" x14ac:dyDescent="0.2">
      <x:c r="G2" s="162" t="n">
        <x:v>1001310</x:v>
      </x:c>
      <x:c r="H2" s="162" t="s">
        <x:v>68</x:v>
      </x:c>
      <x:c r="M2" s="300" t="s">
        <x:v>78</x:v>
      </x:c>
      <x:c r="N2" s="301" t="n">
        <x:v>1020117409</x:v>
      </x:c>
      <x:c r="O2" s="162" t="s">
        <x:v>79</x:v>
      </x:c>
    </x:row>
    <x:row r="3" spans="1:15" x14ac:dyDescent="0.2">
      <x:c r="G3" s="162" t="n">
        <x:v>1001352</x:v>
      </x:c>
      <x:c r="H3" s="162" t="s">
        <x:v>64</x:v>
      </x:c>
      <x:c r="M3" s="300" t="s">
        <x:v>80</x:v>
      </x:c>
      <x:c r="N3" s="301" t="n">
        <x:v>99990000267315</x:v>
      </x:c>
      <x:c r="O3" s="162" t="s">
        <x:v>81</x:v>
      </x:c>
    </x:row>
    <x:row r="4" spans="1:15" x14ac:dyDescent="0.2">
      <x:c r="G4" s="162" t="n">
        <x:v>1012729</x:v>
      </x:c>
      <x:c r="H4" s="162" t="s">
        <x:v>82</x:v>
      </x:c>
      <x:c r="M4" s="300" t="s">
        <x:v>83</x:v>
      </x:c>
      <x:c r="N4" s="301" t="n">
        <x:v>1020272491</x:v>
      </x:c>
      <x:c r="O4" s="162" t="s">
        <x:v>84</x:v>
      </x:c>
    </x:row>
    <x:row r="5" spans="1:15" x14ac:dyDescent="0.2">
      <x:c r="G5" s="162" t="n">
        <x:v>1012730</x:v>
      </x:c>
      <x:c r="H5" s="162" t="s">
        <x:v>85</x:v>
      </x:c>
      <x:c r="M5" s="300" t="s">
        <x:v>86</x:v>
      </x:c>
      <x:c r="N5" s="301" t="s"/>
      <x:c r="O5" s="162" t="s">
        <x:v>87</x:v>
      </x:c>
    </x:row>
    <x:row r="6" spans="1:15" x14ac:dyDescent="0.2">
      <x:c r="G6" s="162" t="n">
        <x:v>1012731</x:v>
      </x:c>
      <x:c r="H6" s="162" t="s">
        <x:v>88</x:v>
      </x:c>
      <x:c r="M6" s="300" t="s">
        <x:v>89</x:v>
      </x:c>
      <x:c r="N6" s="301" t="s">
        <x:v>90</x:v>
      </x:c>
      <x:c r="O6" s="162" t="s">
        <x:v>91</x:v>
      </x:c>
    </x:row>
    <x:row r="7" spans="1:15" x14ac:dyDescent="0.2">
      <x:c r="G7" s="162" t="n">
        <x:v>1012732</x:v>
      </x:c>
      <x:c r="H7" s="162" t="s">
        <x:v>92</x:v>
      </x:c>
      <x:c r="M7" s="300" t="s">
        <x:v>93</x:v>
      </x:c>
      <x:c r="N7" s="301" t="n">
        <x:v>0</x:v>
      </x:c>
      <x:c r="O7" s="162" t="s">
        <x:v>94</x:v>
      </x:c>
    </x:row>
    <x:row r="8" spans="1:15" x14ac:dyDescent="0.2">
      <x:c r="G8" s="162" t="n">
        <x:v>1012733</x:v>
      </x:c>
      <x:c r="H8" s="162" t="s">
        <x:v>95</x:v>
      </x:c>
      <x:c r="O8" s="162" t="s">
        <x:v>96</x:v>
      </x:c>
    </x:row>
    <x:row r="9" spans="1:15" x14ac:dyDescent="0.2">
      <x:c r="G9" s="162" t="n">
        <x:v>1012734</x:v>
      </x:c>
      <x:c r="H9" s="162" t="s">
        <x:v>97</x:v>
      </x:c>
      <x:c r="O9" s="162" t="s">
        <x:v>98</x:v>
      </x:c>
    </x:row>
    <x:row r="10" spans="1:15" x14ac:dyDescent="0.2">
      <x:c r="G10" s="162" t="n">
        <x:v>1012735</x:v>
      </x:c>
      <x:c r="H10" s="162" t="s">
        <x:v>99</x:v>
      </x:c>
      <x:c r="O10" s="162" t="s">
        <x:v>100</x:v>
      </x:c>
    </x:row>
    <x:row r="11" spans="1:15" x14ac:dyDescent="0.2">
      <x:c r="G11" s="162" t="n">
        <x:v>1012736</x:v>
      </x:c>
      <x:c r="H11" s="162" t="s">
        <x:v>101</x:v>
      </x:c>
      <x:c r="O11" s="162" t="s">
        <x:v>102</x:v>
      </x:c>
    </x:row>
    <x:row r="12" spans="1:15" x14ac:dyDescent="0.2">
      <x:c r="G12" s="162" t="n">
        <x:v>1012737</x:v>
      </x:c>
      <x:c r="H12" s="162" t="s">
        <x:v>103</x:v>
      </x:c>
      <x:c r="O12" s="162" t="s">
        <x:v>104</x:v>
      </x:c>
    </x:row>
    <x:row r="13" spans="1:15" x14ac:dyDescent="0.2">
      <x:c r="G13" s="162" t="n">
        <x:v>1012738</x:v>
      </x:c>
      <x:c r="H13" s="162" t="s">
        <x:v>105</x:v>
      </x:c>
      <x:c r="O13" s="162" t="s">
        <x:v>106</x:v>
      </x:c>
    </x:row>
    <x:row r="14" spans="1:15" x14ac:dyDescent="0.2">
      <x:c r="G14" s="162" t="n">
        <x:v>1012739</x:v>
      </x:c>
      <x:c r="H14" s="162" t="s">
        <x:v>107</x:v>
      </x:c>
      <x:c r="O14" s="162" t="s">
        <x:v>108</x:v>
      </x:c>
    </x:row>
    <x:row r="15" spans="1:15" x14ac:dyDescent="0.2">
      <x:c r="G15" s="162" t="n">
        <x:v>1012740</x:v>
      </x:c>
      <x:c r="H15" s="162" t="s">
        <x:v>109</x:v>
      </x:c>
      <x:c r="O15" s="162" t="s">
        <x:v>110</x:v>
      </x:c>
    </x:row>
    <x:row r="16" spans="1:15" x14ac:dyDescent="0.2">
      <x:c r="G16" s="162" t="n">
        <x:v>1012741</x:v>
      </x:c>
      <x:c r="H16" s="162" t="s">
        <x:v>111</x:v>
      </x:c>
      <x:c r="O16" s="162" t="s">
        <x:v>112</x:v>
      </x:c>
    </x:row>
    <x:row r="17" spans="1:15" x14ac:dyDescent="0.2">
      <x:c r="G17" s="162" t="n">
        <x:v>1012742</x:v>
      </x:c>
      <x:c r="H17" s="162" t="s">
        <x:v>113</x:v>
      </x:c>
      <x:c r="O17" s="162" t="s">
        <x:v>114</x:v>
      </x:c>
    </x:row>
    <x:row r="18" spans="1:15" x14ac:dyDescent="0.2">
      <x:c r="G18" s="162" t="n">
        <x:v>1012743</x:v>
      </x:c>
      <x:c r="H18" s="162" t="s">
        <x:v>115</x:v>
      </x:c>
      <x:c r="O18" s="162" t="s">
        <x:v>116</x:v>
      </x:c>
    </x:row>
    <x:row r="19" spans="1:15" x14ac:dyDescent="0.2">
      <x:c r="G19" s="162" t="n">
        <x:v>1012744</x:v>
      </x:c>
      <x:c r="H19" s="162" t="s">
        <x:v>117</x:v>
      </x:c>
      <x:c r="O19" s="162" t="s">
        <x:v>118</x:v>
      </x:c>
    </x:row>
    <x:row r="20" spans="1:15" x14ac:dyDescent="0.2">
      <x:c r="G20" s="162" t="n">
        <x:v>1012745</x:v>
      </x:c>
      <x:c r="H20" s="162" t="s">
        <x:v>119</x:v>
      </x:c>
      <x:c r="O20" s="162" t="s">
        <x:v>120</x:v>
      </x:c>
    </x:row>
    <x:row r="21" spans="1:15" x14ac:dyDescent="0.2">
      <x:c r="O21" s="162" t="s">
        <x:v>121</x:v>
      </x:c>
    </x:row>
    <x:row r="22" spans="1:15" x14ac:dyDescent="0.2">
      <x:c r="O22" s="162" t="s">
        <x:v>122</x:v>
      </x:c>
    </x:row>
    <x:row r="23" spans="1:15" x14ac:dyDescent="0.2">
      <x:c r="O23" s="162" t="s">
        <x:v>123</x:v>
      </x:c>
    </x:row>
    <x:row r="24" spans="1:15" x14ac:dyDescent="0.2">
      <x:c r="O24" s="162" t="s">
        <x:v>124</x:v>
      </x:c>
    </x:row>
    <x:row r="25" spans="1:15" x14ac:dyDescent="0.2">
      <x:c r="O25" s="162" t="s">
        <x:v>125</x:v>
      </x:c>
    </x:row>
    <x:row r="26" spans="1:15" x14ac:dyDescent="0.2">
      <x:c r="O26" s="162" t="s">
        <x:v>126</x:v>
      </x:c>
    </x:row>
    <x:row r="27" spans="1:15" x14ac:dyDescent="0.2">
      <x:c r="O27" s="162" t="s">
        <x:v>127</x:v>
      </x:c>
    </x:row>
    <x:row r="28" spans="1:15" x14ac:dyDescent="0.2">
      <x:c r="O28" s="162" t="s">
        <x:v>128</x:v>
      </x:c>
    </x:row>
    <x:row r="29" spans="1:15" x14ac:dyDescent="0.2">
      <x:c r="O29" s="162" t="s">
        <x:v>129</x:v>
      </x:c>
    </x:row>
    <x:row r="30" spans="1:15" x14ac:dyDescent="0.2">
      <x:c r="O30" s="162" t="s">
        <x:v>130</x:v>
      </x:c>
    </x:row>
    <x:row r="31" spans="1:15" x14ac:dyDescent="0.2">
      <x:c r="O31" s="162" t="s">
        <x:v>131</x:v>
      </x:c>
    </x:row>
    <x:row r="32" spans="1:15" x14ac:dyDescent="0.2">
      <x:c r="O32" s="162" t="s">
        <x:v>132</x:v>
      </x:c>
    </x:row>
    <x:row r="33" spans="1:15" x14ac:dyDescent="0.2">
      <x:c r="O33" s="162" t="s">
        <x:v>133</x:v>
      </x:c>
    </x:row>
    <x:row r="34" spans="1:15" x14ac:dyDescent="0.2">
      <x:c r="O34" s="162" t="s">
        <x:v>134</x:v>
      </x:c>
    </x:row>
    <x:row r="35" spans="1:15" x14ac:dyDescent="0.2">
      <x:c r="O35" s="162" t="s">
        <x:v>135</x:v>
      </x:c>
    </x:row>
    <x:row r="36" spans="1:15" x14ac:dyDescent="0.2">
      <x:c r="O36" s="162" t="s">
        <x:v>136</x:v>
      </x:c>
    </x:row>
    <x:row r="37" spans="1:15" x14ac:dyDescent="0.2">
      <x:c r="O37" s="162" t="s">
        <x:v>137</x:v>
      </x:c>
    </x:row>
    <x:row r="38" spans="1:15" x14ac:dyDescent="0.2">
      <x:c r="O38" s="162" t="s">
        <x:v>138</x:v>
      </x:c>
    </x:row>
    <x:row r="39" spans="1:15" x14ac:dyDescent="0.2">
      <x:c r="O39" s="162" t="s">
        <x:v>139</x:v>
      </x:c>
    </x:row>
    <x:row r="40" spans="1:15" x14ac:dyDescent="0.2">
      <x:c r="O40" s="162" t="s">
        <x:v>140</x:v>
      </x:c>
    </x:row>
    <x:row r="41" spans="1:15" x14ac:dyDescent="0.2">
      <x:c r="O41" s="162" t="s">
        <x:v>141</x:v>
      </x:c>
    </x:row>
    <x:row r="42" spans="1:15" x14ac:dyDescent="0.2">
      <x:c r="O42" s="162" t="s">
        <x:v>142</x:v>
      </x:c>
    </x:row>
    <x:row r="43" spans="1:15" x14ac:dyDescent="0.2">
      <x:c r="O43" s="162" t="s">
        <x:v>143</x:v>
      </x:c>
    </x:row>
    <x:row r="44" spans="1:15" x14ac:dyDescent="0.2">
      <x:c r="O44" s="162" t="s">
        <x:v>144</x:v>
      </x:c>
    </x:row>
    <x:row r="45" spans="1:15" x14ac:dyDescent="0.2">
      <x:c r="O45" s="162" t="s">
        <x:v>145</x:v>
      </x:c>
    </x:row>
    <x:row r="46" spans="1:15" x14ac:dyDescent="0.2">
      <x:c r="O46" s="162" t="s">
        <x:v>146</x:v>
      </x:c>
    </x:row>
    <x:row r="47" spans="1:15" x14ac:dyDescent="0.2">
      <x:c r="O47" s="162" t="s">
        <x:v>147</x:v>
      </x:c>
    </x:row>
    <x:row r="48" spans="1:15" x14ac:dyDescent="0.2">
      <x:c r="O48" s="162" t="s">
        <x:v>148</x:v>
      </x:c>
    </x:row>
    <x:row r="49" spans="1:15" x14ac:dyDescent="0.2">
      <x:c r="O49" s="162" t="s">
        <x:v>149</x:v>
      </x:c>
    </x:row>
    <x:row r="50" spans="1:15" x14ac:dyDescent="0.2">
      <x:c r="O50" s="162" t="s">
        <x:v>150</x:v>
      </x:c>
    </x:row>
    <x:row r="51" spans="1:15" x14ac:dyDescent="0.2">
      <x:c r="O51" s="162" t="s">
        <x:v>151</x:v>
      </x:c>
    </x:row>
    <x:row r="52" spans="1:15" x14ac:dyDescent="0.2">
      <x:c r="O52" s="162" t="s">
        <x:v>152</x:v>
      </x:c>
    </x:row>
    <x:row r="53" spans="1:15" x14ac:dyDescent="0.2">
      <x:c r="O53" s="162" t="s">
        <x:v>153</x:v>
      </x:c>
    </x:row>
    <x:row r="54" spans="1:15" x14ac:dyDescent="0.2">
      <x:c r="O54" s="162" t="s">
        <x:v>154</x:v>
      </x:c>
    </x:row>
    <x:row r="55" spans="1:15" x14ac:dyDescent="0.2">
      <x:c r="O55" s="162" t="s">
        <x:v>155</x:v>
      </x:c>
    </x:row>
    <x:row r="56" spans="1:15" x14ac:dyDescent="0.2">
      <x:c r="O56" s="162" t="s">
        <x:v>156</x:v>
      </x:c>
    </x:row>
    <x:row r="57" spans="1:15" x14ac:dyDescent="0.2">
      <x:c r="O57" s="162" t="s">
        <x:v>157</x:v>
      </x:c>
    </x:row>
    <x:row r="58" spans="1:15" x14ac:dyDescent="0.2">
      <x:c r="O58" s="162" t="s">
        <x:v>158</x:v>
      </x:c>
    </x:row>
    <x:row r="59" spans="1:15" x14ac:dyDescent="0.2">
      <x:c r="O59" s="162" t="s">
        <x:v>159</x:v>
      </x:c>
    </x:row>
    <x:row r="60" spans="1:15" x14ac:dyDescent="0.2">
      <x:c r="O60" s="162" t="s">
        <x:v>160</x:v>
      </x:c>
    </x:row>
    <x:row r="61" spans="1:15" x14ac:dyDescent="0.2">
      <x:c r="O61" s="162" t="s">
        <x:v>161</x:v>
      </x:c>
    </x:row>
    <x:row r="62" spans="1:15" x14ac:dyDescent="0.2">
      <x:c r="O62" s="162" t="s">
        <x:v>162</x:v>
      </x:c>
    </x:row>
    <x:row r="63" spans="1:15" x14ac:dyDescent="0.2">
      <x:c r="O63" s="162" t="s">
        <x:v>163</x:v>
      </x:c>
    </x:row>
    <x:row r="64" spans="1:15" x14ac:dyDescent="0.2">
      <x:c r="O64" s="162" t="s">
        <x:v>164</x:v>
      </x:c>
    </x:row>
    <x:row r="65" spans="1:15" x14ac:dyDescent="0.2">
      <x:c r="O65" s="162" t="s">
        <x:v>165</x:v>
      </x:c>
    </x:row>
    <x:row r="66" spans="1:15" x14ac:dyDescent="0.2">
      <x:c r="O66" s="162" t="s">
        <x:v>166</x:v>
      </x:c>
    </x:row>
    <x:row r="67" spans="1:15" x14ac:dyDescent="0.2">
      <x:c r="O67" s="162" t="s">
        <x:v>167</x:v>
      </x:c>
    </x:row>
    <x:row r="68" spans="1:15" x14ac:dyDescent="0.2">
      <x:c r="O68" s="162" t="s">
        <x:v>168</x:v>
      </x:c>
    </x:row>
    <x:row r="69" spans="1:15" x14ac:dyDescent="0.2">
      <x:c r="O69" s="162" t="s">
        <x:v>169</x:v>
      </x:c>
    </x:row>
    <x:row r="70" spans="1:15" x14ac:dyDescent="0.2">
      <x:c r="O70" s="162" t="s">
        <x:v>170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2017-07-27T06:37:42.5343513Z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