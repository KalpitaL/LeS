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'Quote'!$A$1:$R$86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'Quote'!$A$67</x:definedName>
    <x:definedName name="Enquiry_To_Vendor_ID" comment="Enquiry to Vendor ID">'Quote'!$C$67</x:definedName>
    <x:definedName name="GrandTotal">'Quote'!$N$66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'Quote'!$A$59</x:definedName>
    <x:definedName name="ItemListStartupRow" comment="Item List Start Up Row">Quote!$A$19</x:definedName>
    <x:definedName name="ItemSubTotal">'Quote'!$N$65</x:definedName>
    <x:definedName name="ItemSubTotalTitle">'Quote'!$J$65</x:definedName>
    <x:definedName name="LeadDay">Quote!$M$11</x:definedName>
    <x:definedName name="Lock">'Quote'!$M$67</x:definedName>
    <x:definedName name="LoggedInEmailID">'Quote'!$N$67</x:definedName>
    <x:definedName name="LoggedInPwd">'Quote'!$O$67</x:definedName>
    <x:definedName name="OtherCharges">'Quote'!$C$61</x:definedName>
    <x:definedName name="OtherChargesLastRow">'Quote'!$A$65</x:definedName>
    <x:definedName name="OtherChargesStartRow">'Quote'!$A$60</x:definedName>
    <x:definedName name="Port">'Quote'!$P$67</x:definedName>
    <x:definedName name="PortOfDelivery" comment="Port of Delivery">Quote!$M$9</x:definedName>
    <x:definedName name="PurchaserName">'Quote'!$J$67</x:definedName>
    <x:definedName name="QuoteBefore">Quote!$M$8</x:definedName>
    <x:definedName name="QuoteID">MasterData!$N$7</x:definedName>
    <x:definedName name="QuoteSubject">'Quote'!$E$67</x:definedName>
    <x:definedName name="Remarks">'Quote'!$E$69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'Quote'!$K$67</x:definedName>
    <x:definedName name="SentIndex">'Quote'!$L$67</x:definedName>
    <x:definedName name="Server">'Quote'!$Q$67</x:definedName>
    <x:definedName name="Terms">'Quote'!$A$73:$T$94</x:definedName>
    <x:definedName name="ToEmailID">'Quote'!$I$67</x:definedName>
    <x:definedName name="ToEmailPwd">'Quote'!$H$67</x:definedName>
    <x:definedName name="VAL">'Quote'!$F$67</x:definedName>
    <x:definedName name="VAT_All">Quote!$M$16</x:definedName>
    <x:definedName name="Vendor_ID" comment="Vendor ID">'Quote'!$B$67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'Quote'!$D$67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'Quote'!$E$70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'Quote'!$N$20:$N$20,'Quote'!$N$23:$N$23,'Quote'!$N$26:$N$26,'Quote'!$N$29:$N$29,'Quote'!$N$32:$N$32,'Quote'!$N$35:$N$35,'Quote'!$N$38:$N$38,'Quote'!$N$41:$N$41,'Quote'!$N$44:$N$44,'Quote'!$N$47:$N$47,'Quote'!$N$50:$N$50,'Quote'!$N$53:$N$53,'Quote'!$N$56:$N$56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5" i="1"/>
  <x:c r="N38" i="1"/>
  <x:c r="N41" i="1"/>
  <x:c r="N44" i="1"/>
  <x:c r="N47" i="1"/>
  <x:c r="N50" i="1"/>
  <x:c r="N53" i="1"/>
  <x:c r="N56" i="1"/>
  <x:c r="N61" i="1"/>
  <x:c r="N62" i="1"/>
  <x:c r="N63" i="1"/>
  <x:c r="N64" i="1"/>
  <x:c r="N65" i="1"/>
  <x:c r="N66" i="1"/>
</x:calcChain>
</file>

<file path=xl/sharedStrings.xml><?xml version="1.0" encoding="utf-8"?>
<x:sst xmlns:x="http://schemas.openxmlformats.org/spreadsheetml/2006/main" count="179" uniqueCount="179">
  <x:si>
    <x:t>RFQ</x:t>
  </x:si>
  <x:si>
    <x:t>Request for Quote</x:t>
  </x:si>
  <x:si>
    <x:t>Invoice To</x:t>
  </x:si>
  <x:si>
    <x:t>Bernhard Schulte Shipmanagement (Singapore) Pte. Ltd.
Invoice To:  MASTER  &amp; OWNER OF ROSTELLA,
              REGD. OWNER: ROSTELLA SHIPPING PTE LTD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</x:si>
  <x:si>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</x:si>
  <x:si>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Rostella</x:t>
  </x:si>
  <x:si>
    <x:t>RFQ No.</x:t>
  </x:si>
  <x:si>
    <x:t>RTL/O0031/RF17</x:t>
  </x:si>
  <x:si>
    <x:t>RFQ Date</x:t>
  </x:si>
  <x:si>
    <x:t>Req No(s)</x:t>
  </x:si>
  <x:si>
    <x:t>Submit Quote Before:</x:t>
  </x:si>
  <x:si>
    <x:t>Port of Delivery</x:t>
  </x:si>
  <x:si>
    <x:t>Zhenjiang Pt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</x:si>
  <x:si>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</x:si>
  <x:si>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</x:si>
  <x:si>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</x:si>
  <x:si>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</x:si>
  <x:si>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</x:si>
  <x:si>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</x:si>
  <x:si>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</x:si>
  <x:si>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</x:si>
  <x:si>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</x:si>
  <x:si>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</x:si>
  <x:si>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</x:si>
  <x:si>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</x:si>
  <x:si>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</x:si>
  <x:si>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</x:si>
  <x:si>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</x:si>
  <x:si>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</x:si>
  <x:si>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</x:si>
  <x:si>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</x:si>
  <x:si>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</x:si>
  <x:si>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</x:si>
  <x:si>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</x:si>
  <x:si>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</x:si>
  <x:si>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</x:si>
  <x:si>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</x:si>
  <x:si>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</x:si>
  <x:si>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</x:si>
  <x:si>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</x:si>
  <x:si>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</x:si>
  <x:si>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V_00000484</x:t>
  </x:si>
  <x:si>
    <x:t>SEAL</x:t>
  </x:si>
  <x:si>
    <x:t>PCS</x:t>
  </x:si>
  <x:si>
    <x:t>Equipment Name:</x:t>
  </x:si>
  <x:si>
    <x:t>808.01.01.04-WASTE OIL PUMP</x:t>
  </x:si>
  <x:si>
    <x:t>Serial No:</x:t>
  </x:si>
  <x:si>
    <x:t>Maker:</x:t>
  </x:si>
  <x:si>
    <x:t>OG 120C</x:t>
  </x:si>
  <x:si>
    <x:t>Drawing No:</x:t>
  </x:si>
  <x:si>
    <x:t>V_00000485</x:t>
  </x:si>
  <x:si>
    <x:t>O-RING</x:t>
  </x:si>
  <x:si>
    <x:t>V_00000486</x:t>
  </x:si>
  <x:si>
    <x:t>V_00000487</x:t>
  </x:si>
  <x:si>
    <x:t>V_00000488</x:t>
  </x:si>
  <x:si>
    <x:t>V_00000489</x:t>
  </x:si>
  <x:si>
    <x:t>V_00000490</x:t>
  </x:si>
  <x:si>
    <x:t>SPRING</x:t>
  </x:si>
  <x:si>
    <x:t>V_00000483</x:t>
  </x:si>
  <x:si>
    <x:t>STUB SHAFT</x:t>
  </x:si>
  <x:si>
    <x:t>V_00000482</x:t>
  </x:si>
  <x:si>
    <x:t>ROTOR</x:t>
  </x:si>
  <x:si>
    <x:t>V_00000481</x:t>
  </x:si>
  <x:si>
    <x:t>BONDED STATOR</x:t>
  </x:si>
  <x:si>
    <x:t>V_00000480</x:t>
  </x:si>
  <x:si>
    <x:t>MECHANICAL SEAL</x:t>
  </x:si>
  <x:si>
    <x:t>V_00000499</x:t>
  </x:si>
  <x:si>
    <x:t>NOZZLE 2.5 GPH 30°</x:t>
  </x:si>
  <x:si>
    <x:t>SET</x:t>
  </x:si>
  <x:si>
    <x:t>V_00000500</x:t>
  </x:si>
  <x:si>
    <x:t>ITEM NO. 8 GLASS FIBER ROPE 15X20 (2600MM)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</x:si>
  <x:si>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</x:si>
  <x:si>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</x:si>
  <x:si>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</x:si>
  <x:si>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</x:si>
  <x:si>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</x:si>
  <x:si>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</x:si>
  <x:si>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</x:si>
  <x:si>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</x:si>
  <x:si>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</x:si>
  <x:si>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</x:si>
  <x:si>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INCINERATOR MAKER: CSSC. NANJING LUZHOU MACHINE, TYPE: OG120C, SERIAL NO.: 16080 
PUMP MAKER: TEAMTEC MARINE PRODUCT TYPE: PROGRESSIVE CAVITY PUMP, MODEL: RDCZ412J5CF1S, SERIAL NO.: NH141023, DWG. NO.: APPENDIX H
SLUDGE VALVE REPAIR KIT ARTICLE NO.: 6406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</x:si>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</x:sst>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2306010212164</x:v>
      </x:c>
      <x:c r="C20" s="227" t="s">
        <x:v>41</x:v>
      </x:c>
      <x:c r="D20" s="228" t="s">
        <x:v>42</x:v>
      </x:c>
      <x:c r="E20" s="229" t="s"/>
      <x:c r="F20" s="229" t="n">
        <x:v>7</x:v>
      </x:c>
      <x:c r="G20" s="229" t="s">
        <x:v>43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2306010212165</x:v>
      </x:c>
      <x:c r="C23" s="227" t="s">
        <x:v>50</x:v>
      </x:c>
      <x:c r="D23" s="228" t="s">
        <x:v>51</x:v>
      </x:c>
      <x:c r="E23" s="229" t="s"/>
      <x:c r="F23" s="229" t="n">
        <x:v>6</x:v>
      </x:c>
      <x:c r="G23" s="229" t="s">
        <x:v>43</x:v>
      </x:c>
      <x:c r="H23" s="230" t="n">
        <x:v>0</x:v>
      </x:c>
      <x:c r="I23" s="231" t="n">
        <x:v>4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28" t="s">
        <x:v>45</x:v>
      </x:c>
      <x:c r="E24" s="229" t="s"/>
      <x:c r="F24" s="229" t="s">
        <x:v>46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28" t="s">
        <x:v>48</x:v>
      </x:c>
      <x:c r="E25" s="229" t="s"/>
      <x:c r="F25" s="229" t="s">
        <x:v>49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2306010212166</x:v>
      </x:c>
      <x:c r="C26" s="227" t="s">
        <x:v>52</x:v>
      </x:c>
      <x:c r="D26" s="228" t="s">
        <x:v>51</x:v>
      </x:c>
      <x:c r="E26" s="229" t="s"/>
      <x:c r="F26" s="229" t="n">
        <x:v>5</x:v>
      </x:c>
      <x:c r="G26" s="229" t="s">
        <x:v>43</x:v>
      </x:c>
      <x:c r="H26" s="230" t="n">
        <x:v>0</x:v>
      </x:c>
      <x:c r="I26" s="231" t="n">
        <x:v>4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44</x:v>
      </x:c>
      <x:c r="D27" s="228" t="s">
        <x:v>45</x:v>
      </x:c>
      <x:c r="E27" s="229" t="s"/>
      <x:c r="F27" s="229" t="s">
        <x:v>46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47</x:v>
      </x:c>
      <x:c r="D28" s="228" t="s">
        <x:v>48</x:v>
      </x:c>
      <x:c r="E28" s="229" t="s"/>
      <x:c r="F28" s="229" t="s">
        <x:v>49</x:v>
      </x:c>
      <x:c r="G28" s="229" t="s"/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2306010212167</x:v>
      </x:c>
      <x:c r="C29" s="227" t="s">
        <x:v>53</x:v>
      </x:c>
      <x:c r="D29" s="228" t="s">
        <x:v>51</x:v>
      </x:c>
      <x:c r="E29" s="229" t="s"/>
      <x:c r="F29" s="229" t="n">
        <x:v>4</x:v>
      </x:c>
      <x:c r="G29" s="229" t="s">
        <x:v>43</x:v>
      </x:c>
      <x:c r="H29" s="230" t="n">
        <x:v>0</x:v>
      </x:c>
      <x:c r="I29" s="231" t="n">
        <x:v>4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44</x:v>
      </x:c>
      <x:c r="D30" s="228" t="s">
        <x:v>45</x:v>
      </x:c>
      <x:c r="E30" s="229" t="s"/>
      <x:c r="F30" s="229" t="s">
        <x:v>46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47</x:v>
      </x:c>
      <x:c r="D31" s="228" t="s">
        <x:v>48</x:v>
      </x:c>
      <x:c r="E31" s="229" t="s"/>
      <x:c r="F31" s="229" t="s">
        <x:v>49</x:v>
      </x:c>
      <x:c r="G31" s="229" t="s"/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2306010212168</x:v>
      </x:c>
      <x:c r="C32" s="227" t="s">
        <x:v>54</x:v>
      </x:c>
      <x:c r="D32" s="228" t="s">
        <x:v>51</x:v>
      </x:c>
      <x:c r="E32" s="229" t="s"/>
      <x:c r="F32" s="229" t="n">
        <x:v>3</x:v>
      </x:c>
      <x:c r="G32" s="229" t="s">
        <x:v>43</x:v>
      </x:c>
      <x:c r="H32" s="230" t="n">
        <x:v>0</x:v>
      </x:c>
      <x:c r="I32" s="231" t="n">
        <x:v>4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44</x:v>
      </x:c>
      <x:c r="D33" s="228" t="s">
        <x:v>45</x:v>
      </x:c>
      <x:c r="E33" s="229" t="s"/>
      <x:c r="F33" s="229" t="s">
        <x:v>46</x:v>
      </x:c>
      <x:c r="G33" s="229" t="s"/>
      <x:c r="H33" s="230" t="s"/>
      <x:c r="I33" s="299" t="s"/>
      <x:c r="J33" s="300" t="s"/>
      <x:c r="K33" s="301" t="s"/>
      <x:c r="L33" s="299" t="s"/>
      <x:c r="M33" s="299" t="s"/>
      <x:c r="N33" s="234" t="s"/>
      <x:c r="O33" s="230" t="s"/>
      <x:c r="P33" s="302" t="s"/>
      <x:c r="Q33" s="303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47</x:v>
      </x:c>
      <x:c r="D34" s="228" t="s">
        <x:v>48</x:v>
      </x:c>
      <x:c r="E34" s="229" t="s"/>
      <x:c r="F34" s="229" t="s">
        <x:v>49</x:v>
      </x:c>
      <x:c r="G34" s="229" t="s"/>
      <x:c r="H34" s="230" t="s"/>
      <x:c r="I34" s="299" t="s"/>
      <x:c r="J34" s="300" t="s"/>
      <x:c r="K34" s="301" t="s"/>
      <x:c r="L34" s="299" t="s"/>
      <x:c r="M34" s="299" t="s"/>
      <x:c r="N34" s="234" t="s"/>
      <x:c r="O34" s="230" t="s"/>
      <x:c r="P34" s="302" t="s"/>
      <x:c r="Q34" s="303" t="s"/>
      <x:c r="R34" s="237" t="s"/>
      <x:c r="S34" s="238" t="s"/>
      <x:c r="T34" s="239" t="s"/>
    </x:row>
    <x:row r="35" spans="1:24" customFormat="1" ht="24" customHeight="1" x14ac:dyDescent="0.2">
      <x:c r="A35" s="226" t="n">
        <x:v>6</x:v>
      </x:c>
      <x:c r="B35" s="226" t="n">
        <x:v>2306010212169</x:v>
      </x:c>
      <x:c r="C35" s="227" t="s">
        <x:v>55</x:v>
      </x:c>
      <x:c r="D35" s="228" t="s">
        <x:v>51</x:v>
      </x:c>
      <x:c r="E35" s="229" t="s"/>
      <x:c r="F35" s="229" t="n">
        <x:v>2</x:v>
      </x:c>
      <x:c r="G35" s="229" t="s">
        <x:v>43</x:v>
      </x:c>
      <x:c r="H35" s="230" t="n">
        <x:v>0</x:v>
      </x:c>
      <x:c r="I35" s="231" t="n">
        <x:v>4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17" customHeight="1" x14ac:dyDescent="0.2">
      <x:c r="A36" s="226" t="s"/>
      <x:c r="B36" s="226" t="s"/>
      <x:c r="C36" s="227" t="s">
        <x:v>44</x:v>
      </x:c>
      <x:c r="D36" s="228" t="s">
        <x:v>45</x:v>
      </x:c>
      <x:c r="E36" s="229" t="s"/>
      <x:c r="F36" s="229" t="s">
        <x:v>46</x:v>
      </x:c>
      <x:c r="G36" s="229" t="s"/>
      <x:c r="H36" s="230" t="s"/>
      <x:c r="I36" s="299" t="s"/>
      <x:c r="J36" s="300" t="s"/>
      <x:c r="K36" s="301" t="s"/>
      <x:c r="L36" s="299" t="s"/>
      <x:c r="M36" s="299" t="s"/>
      <x:c r="N36" s="234" t="s"/>
      <x:c r="O36" s="230" t="s"/>
      <x:c r="P36" s="302" t="s"/>
      <x:c r="Q36" s="303" t="s"/>
      <x:c r="R36" s="237" t="s"/>
      <x:c r="S36" s="238" t="s"/>
      <x:c r="T36" s="239" t="s"/>
    </x:row>
    <x:row r="37" spans="1:24" customFormat="1" ht="17" customHeight="1" x14ac:dyDescent="0.2">
      <x:c r="A37" s="226" t="s"/>
      <x:c r="B37" s="226" t="s"/>
      <x:c r="C37" s="227" t="s">
        <x:v>47</x:v>
      </x:c>
      <x:c r="D37" s="228" t="s">
        <x:v>48</x:v>
      </x:c>
      <x:c r="E37" s="229" t="s"/>
      <x:c r="F37" s="229" t="s">
        <x:v>49</x:v>
      </x:c>
      <x:c r="G37" s="229" t="s"/>
      <x:c r="H37" s="230" t="s"/>
      <x:c r="I37" s="299" t="s"/>
      <x:c r="J37" s="300" t="s"/>
      <x:c r="K37" s="301" t="s"/>
      <x:c r="L37" s="299" t="s"/>
      <x:c r="M37" s="299" t="s"/>
      <x:c r="N37" s="234" t="s"/>
      <x:c r="O37" s="230" t="s"/>
      <x:c r="P37" s="302" t="s"/>
      <x:c r="Q37" s="303" t="s"/>
      <x:c r="R37" s="237" t="s"/>
      <x:c r="S37" s="238" t="s"/>
      <x:c r="T37" s="239" t="s"/>
    </x:row>
    <x:row r="38" spans="1:24" customFormat="1" ht="24" customHeight="1" x14ac:dyDescent="0.2">
      <x:c r="A38" s="226" t="n">
        <x:v>7</x:v>
      </x:c>
      <x:c r="B38" s="226" t="n">
        <x:v>2306010212170</x:v>
      </x:c>
      <x:c r="C38" s="227" t="s">
        <x:v>56</x:v>
      </x:c>
      <x:c r="D38" s="228" t="s">
        <x:v>57</x:v>
      </x:c>
      <x:c r="E38" s="229" t="s"/>
      <x:c r="F38" s="229" t="n">
        <x:v>1</x:v>
      </x:c>
      <x:c r="G38" s="229" t="s">
        <x:v>43</x:v>
      </x:c>
      <x:c r="H38" s="230" t="n">
        <x:v>0</x:v>
      </x:c>
      <x:c r="I38" s="231" t="n">
        <x:v>1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17" customHeight="1" x14ac:dyDescent="0.2">
      <x:c r="A39" s="226" t="s"/>
      <x:c r="B39" s="226" t="s"/>
      <x:c r="C39" s="227" t="s">
        <x:v>44</x:v>
      </x:c>
      <x:c r="D39" s="228" t="s">
        <x:v>45</x:v>
      </x:c>
      <x:c r="E39" s="229" t="s"/>
      <x:c r="F39" s="229" t="s">
        <x:v>46</x:v>
      </x:c>
      <x:c r="G39" s="229" t="s"/>
      <x:c r="H39" s="230" t="s"/>
      <x:c r="I39" s="299" t="s"/>
      <x:c r="J39" s="300" t="s"/>
      <x:c r="K39" s="301" t="s"/>
      <x:c r="L39" s="299" t="s"/>
      <x:c r="M39" s="299" t="s"/>
      <x:c r="N39" s="234" t="s"/>
      <x:c r="O39" s="230" t="s"/>
      <x:c r="P39" s="302" t="s"/>
      <x:c r="Q39" s="303" t="s"/>
      <x:c r="R39" s="237" t="s"/>
      <x:c r="S39" s="238" t="s"/>
      <x:c r="T39" s="239" t="s"/>
    </x:row>
    <x:row r="40" spans="1:24" customFormat="1" ht="17" customHeight="1" x14ac:dyDescent="0.2">
      <x:c r="A40" s="226" t="s"/>
      <x:c r="B40" s="226" t="s"/>
      <x:c r="C40" s="227" t="s">
        <x:v>47</x:v>
      </x:c>
      <x:c r="D40" s="228" t="s">
        <x:v>48</x:v>
      </x:c>
      <x:c r="E40" s="229" t="s"/>
      <x:c r="F40" s="229" t="s">
        <x:v>49</x:v>
      </x:c>
      <x:c r="G40" s="229" t="s"/>
      <x:c r="H40" s="230" t="s"/>
      <x:c r="I40" s="299" t="s"/>
      <x:c r="J40" s="300" t="s"/>
      <x:c r="K40" s="301" t="s"/>
      <x:c r="L40" s="299" t="s"/>
      <x:c r="M40" s="299" t="s"/>
      <x:c r="N40" s="234" t="s"/>
      <x:c r="O40" s="230" t="s"/>
      <x:c r="P40" s="302" t="s"/>
      <x:c r="Q40" s="303" t="s"/>
      <x:c r="R40" s="237" t="s"/>
      <x:c r="S40" s="238" t="s"/>
      <x:c r="T40" s="239" t="s"/>
    </x:row>
    <x:row r="41" spans="1:24" customFormat="1" ht="24" customHeight="1" x14ac:dyDescent="0.2">
      <x:c r="A41" s="226" t="n">
        <x:v>8</x:v>
      </x:c>
      <x:c r="B41" s="226" t="n">
        <x:v>2306010212163</x:v>
      </x:c>
      <x:c r="C41" s="227" t="s">
        <x:v>58</x:v>
      </x:c>
      <x:c r="D41" s="228" t="s">
        <x:v>59</x:v>
      </x:c>
      <x:c r="E41" s="229" t="s"/>
      <x:c r="F41" s="229" t="n">
        <x:v>15685</x:v>
      </x:c>
      <x:c r="G41" s="229" t="s">
        <x:v>43</x:v>
      </x:c>
      <x:c r="H41" s="230" t="n">
        <x:v>0</x:v>
      </x:c>
      <x:c r="I41" s="231" t="n">
        <x:v>1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17" customHeight="1" x14ac:dyDescent="0.2">
      <x:c r="A42" s="226" t="s"/>
      <x:c r="B42" s="226" t="s"/>
      <x:c r="C42" s="227" t="s">
        <x:v>44</x:v>
      </x:c>
      <x:c r="D42" s="228" t="s">
        <x:v>45</x:v>
      </x:c>
      <x:c r="E42" s="229" t="s"/>
      <x:c r="F42" s="229" t="s">
        <x:v>46</x:v>
      </x:c>
      <x:c r="G42" s="229" t="s"/>
      <x:c r="H42" s="230" t="s"/>
      <x:c r="I42" s="299" t="s"/>
      <x:c r="J42" s="300" t="s"/>
      <x:c r="K42" s="301" t="s"/>
      <x:c r="L42" s="299" t="s"/>
      <x:c r="M42" s="299" t="s"/>
      <x:c r="N42" s="234" t="s"/>
      <x:c r="O42" s="230" t="s"/>
      <x:c r="P42" s="302" t="s"/>
      <x:c r="Q42" s="303" t="s"/>
      <x:c r="R42" s="237" t="s"/>
      <x:c r="S42" s="238" t="s"/>
      <x:c r="T42" s="239" t="s"/>
    </x:row>
    <x:row r="43" spans="1:24" customFormat="1" ht="17" customHeight="1" x14ac:dyDescent="0.2">
      <x:c r="A43" s="226" t="s"/>
      <x:c r="B43" s="226" t="s"/>
      <x:c r="C43" s="227" t="s">
        <x:v>47</x:v>
      </x:c>
      <x:c r="D43" s="228" t="s">
        <x:v>48</x:v>
      </x:c>
      <x:c r="E43" s="229" t="s"/>
      <x:c r="F43" s="229" t="s">
        <x:v>49</x:v>
      </x:c>
      <x:c r="G43" s="229" t="s"/>
      <x:c r="H43" s="230" t="s"/>
      <x:c r="I43" s="299" t="s"/>
      <x:c r="J43" s="300" t="s"/>
      <x:c r="K43" s="301" t="s"/>
      <x:c r="L43" s="299" t="s"/>
      <x:c r="M43" s="299" t="s"/>
      <x:c r="N43" s="234" t="s"/>
      <x:c r="O43" s="230" t="s"/>
      <x:c r="P43" s="302" t="s"/>
      <x:c r="Q43" s="303" t="s"/>
      <x:c r="R43" s="237" t="s"/>
      <x:c r="S43" s="238" t="s"/>
      <x:c r="T43" s="239" t="s"/>
    </x:row>
    <x:row r="44" spans="1:24" customFormat="1" ht="24" customHeight="1" x14ac:dyDescent="0.2">
      <x:c r="A44" s="226" t="n">
        <x:v>9</x:v>
      </x:c>
      <x:c r="B44" s="226" t="n">
        <x:v>2306010212162</x:v>
      </x:c>
      <x:c r="C44" s="227" t="s">
        <x:v>60</x:v>
      </x:c>
      <x:c r="D44" s="228" t="s">
        <x:v>61</x:v>
      </x:c>
      <x:c r="E44" s="229" t="s"/>
      <x:c r="F44" s="229" t="n">
        <x:v>15912</x:v>
      </x:c>
      <x:c r="G44" s="229" t="s">
        <x:v>43</x:v>
      </x:c>
      <x:c r="H44" s="230" t="n">
        <x:v>0</x:v>
      </x:c>
      <x:c r="I44" s="231" t="n">
        <x:v>1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17" customHeight="1" x14ac:dyDescent="0.2">
      <x:c r="A45" s="226" t="s"/>
      <x:c r="B45" s="226" t="s"/>
      <x:c r="C45" s="227" t="s">
        <x:v>44</x:v>
      </x:c>
      <x:c r="D45" s="228" t="s">
        <x:v>45</x:v>
      </x:c>
      <x:c r="E45" s="229" t="s"/>
      <x:c r="F45" s="229" t="s">
        <x:v>46</x:v>
      </x:c>
      <x:c r="G45" s="229" t="s"/>
      <x:c r="H45" s="230" t="s"/>
      <x:c r="I45" s="299" t="s"/>
      <x:c r="J45" s="300" t="s"/>
      <x:c r="K45" s="301" t="s"/>
      <x:c r="L45" s="299" t="s"/>
      <x:c r="M45" s="299" t="s"/>
      <x:c r="N45" s="234" t="s"/>
      <x:c r="O45" s="230" t="s"/>
      <x:c r="P45" s="302" t="s"/>
      <x:c r="Q45" s="303" t="s"/>
      <x:c r="R45" s="237" t="s"/>
      <x:c r="S45" s="238" t="s"/>
      <x:c r="T45" s="239" t="s"/>
    </x:row>
    <x:row r="46" spans="1:24" customFormat="1" ht="17" customHeight="1" x14ac:dyDescent="0.2">
      <x:c r="A46" s="226" t="s"/>
      <x:c r="B46" s="226" t="s"/>
      <x:c r="C46" s="227" t="s">
        <x:v>47</x:v>
      </x:c>
      <x:c r="D46" s="228" t="s">
        <x:v>48</x:v>
      </x:c>
      <x:c r="E46" s="229" t="s"/>
      <x:c r="F46" s="229" t="s">
        <x:v>49</x:v>
      </x:c>
      <x:c r="G46" s="229" t="s"/>
      <x:c r="H46" s="230" t="s"/>
      <x:c r="I46" s="299" t="s"/>
      <x:c r="J46" s="300" t="s"/>
      <x:c r="K46" s="301" t="s"/>
      <x:c r="L46" s="299" t="s"/>
      <x:c r="M46" s="299" t="s"/>
      <x:c r="N46" s="234" t="s"/>
      <x:c r="O46" s="230" t="s"/>
      <x:c r="P46" s="302" t="s"/>
      <x:c r="Q46" s="303" t="s"/>
      <x:c r="R46" s="237" t="s"/>
      <x:c r="S46" s="238" t="s"/>
      <x:c r="T46" s="239" t="s"/>
    </x:row>
    <x:row r="47" spans="1:24" customFormat="1" ht="24" customHeight="1" x14ac:dyDescent="0.2">
      <x:c r="A47" s="226" t="n">
        <x:v>10</x:v>
      </x:c>
      <x:c r="B47" s="226" t="n">
        <x:v>2306010212161</x:v>
      </x:c>
      <x:c r="C47" s="227" t="s">
        <x:v>62</x:v>
      </x:c>
      <x:c r="D47" s="228" t="s">
        <x:v>63</x:v>
      </x:c>
      <x:c r="E47" s="229" t="s"/>
      <x:c r="F47" s="229" t="n">
        <x:v>15686</x:v>
      </x:c>
      <x:c r="G47" s="229" t="s">
        <x:v>43</x:v>
      </x:c>
      <x:c r="H47" s="230" t="n">
        <x:v>0</x:v>
      </x:c>
      <x:c r="I47" s="231" t="n">
        <x:v>2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17" customHeight="1" x14ac:dyDescent="0.2">
      <x:c r="A48" s="226" t="s"/>
      <x:c r="B48" s="226" t="s"/>
      <x:c r="C48" s="227" t="s">
        <x:v>44</x:v>
      </x:c>
      <x:c r="D48" s="228" t="s">
        <x:v>45</x:v>
      </x:c>
      <x:c r="E48" s="229" t="s"/>
      <x:c r="F48" s="229" t="s">
        <x:v>46</x:v>
      </x:c>
      <x:c r="G48" s="229" t="s"/>
      <x:c r="H48" s="230" t="s"/>
      <x:c r="I48" s="299" t="s"/>
      <x:c r="J48" s="300" t="s"/>
      <x:c r="K48" s="301" t="s"/>
      <x:c r="L48" s="299" t="s"/>
      <x:c r="M48" s="299" t="s"/>
      <x:c r="N48" s="234" t="s"/>
      <x:c r="O48" s="230" t="s"/>
      <x:c r="P48" s="302" t="s"/>
      <x:c r="Q48" s="303" t="s"/>
      <x:c r="R48" s="237" t="s"/>
      <x:c r="S48" s="238" t="s"/>
      <x:c r="T48" s="239" t="s"/>
    </x:row>
    <x:row r="49" spans="1:24" customFormat="1" ht="17" customHeight="1" x14ac:dyDescent="0.2">
      <x:c r="A49" s="226" t="s"/>
      <x:c r="B49" s="226" t="s"/>
      <x:c r="C49" s="227" t="s">
        <x:v>47</x:v>
      </x:c>
      <x:c r="D49" s="228" t="s">
        <x:v>48</x:v>
      </x:c>
      <x:c r="E49" s="229" t="s"/>
      <x:c r="F49" s="229" t="s">
        <x:v>49</x:v>
      </x:c>
      <x:c r="G49" s="229" t="s"/>
      <x:c r="H49" s="230" t="s"/>
      <x:c r="I49" s="299" t="s"/>
      <x:c r="J49" s="300" t="s"/>
      <x:c r="K49" s="301" t="s"/>
      <x:c r="L49" s="299" t="s"/>
      <x:c r="M49" s="299" t="s"/>
      <x:c r="N49" s="234" t="s"/>
      <x:c r="O49" s="230" t="s"/>
      <x:c r="P49" s="302" t="s"/>
      <x:c r="Q49" s="303" t="s"/>
      <x:c r="R49" s="237" t="s"/>
      <x:c r="S49" s="238" t="s"/>
      <x:c r="T49" s="239" t="s"/>
    </x:row>
    <x:row r="50" spans="1:24" customFormat="1" ht="24" customHeight="1" x14ac:dyDescent="0.2">
      <x:c r="A50" s="226" t="n">
        <x:v>11</x:v>
      </x:c>
      <x:c r="B50" s="226" t="n">
        <x:v>2306010212160</x:v>
      </x:c>
      <x:c r="C50" s="227" t="s">
        <x:v>64</x:v>
      </x:c>
      <x:c r="D50" s="228" t="s">
        <x:v>65</x:v>
      </x:c>
      <x:c r="E50" s="229" t="s"/>
      <x:c r="F50" s="229" t="n">
        <x:v>15741</x:v>
      </x:c>
      <x:c r="G50" s="229" t="s">
        <x:v>43</x:v>
      </x:c>
      <x:c r="H50" s="230" t="n">
        <x:v>0</x:v>
      </x:c>
      <x:c r="I50" s="231" t="n">
        <x:v>1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17" customHeight="1" x14ac:dyDescent="0.2">
      <x:c r="A51" s="226" t="s"/>
      <x:c r="B51" s="226" t="s"/>
      <x:c r="C51" s="227" t="s">
        <x:v>44</x:v>
      </x:c>
      <x:c r="D51" s="228" t="s">
        <x:v>45</x:v>
      </x:c>
      <x:c r="E51" s="229" t="s"/>
      <x:c r="F51" s="229" t="s">
        <x:v>46</x:v>
      </x:c>
      <x:c r="G51" s="229" t="s"/>
      <x:c r="H51" s="230" t="s"/>
      <x:c r="I51" s="299" t="s"/>
      <x:c r="J51" s="300" t="s"/>
      <x:c r="K51" s="301" t="s"/>
      <x:c r="L51" s="299" t="s"/>
      <x:c r="M51" s="299" t="s"/>
      <x:c r="N51" s="234" t="s"/>
      <x:c r="O51" s="230" t="s"/>
      <x:c r="P51" s="302" t="s"/>
      <x:c r="Q51" s="303" t="s"/>
      <x:c r="R51" s="237" t="s"/>
      <x:c r="S51" s="238" t="s"/>
      <x:c r="T51" s="239" t="s"/>
    </x:row>
    <x:row r="52" spans="1:24" customFormat="1" ht="17" customHeight="1" x14ac:dyDescent="0.2">
      <x:c r="A52" s="226" t="s"/>
      <x:c r="B52" s="226" t="s"/>
      <x:c r="C52" s="227" t="s">
        <x:v>47</x:v>
      </x:c>
      <x:c r="D52" s="228" t="s">
        <x:v>48</x:v>
      </x:c>
      <x:c r="E52" s="229" t="s"/>
      <x:c r="F52" s="229" t="s">
        <x:v>49</x:v>
      </x:c>
      <x:c r="G52" s="229" t="s"/>
      <x:c r="H52" s="230" t="s"/>
      <x:c r="I52" s="299" t="s"/>
      <x:c r="J52" s="300" t="s"/>
      <x:c r="K52" s="301" t="s"/>
      <x:c r="L52" s="299" t="s"/>
      <x:c r="M52" s="299" t="s"/>
      <x:c r="N52" s="234" t="s"/>
      <x:c r="O52" s="230" t="s"/>
      <x:c r="P52" s="302" t="s"/>
      <x:c r="Q52" s="303" t="s"/>
      <x:c r="R52" s="237" t="s"/>
      <x:c r="S52" s="238" t="s"/>
      <x:c r="T52" s="239" t="s"/>
    </x:row>
    <x:row r="53" spans="1:24" customFormat="1" ht="24" customHeight="1" x14ac:dyDescent="0.2">
      <x:c r="A53" s="226" t="n">
        <x:v>12</x:v>
      </x:c>
      <x:c r="B53" s="226" t="n">
        <x:v>2306010212179</x:v>
      </x:c>
      <x:c r="C53" s="227" t="s">
        <x:v>66</x:v>
      </x:c>
      <x:c r="D53" s="228" t="s">
        <x:v>67</x:v>
      </x:c>
      <x:c r="E53" s="229" t="s"/>
      <x:c r="F53" s="229" t="s">
        <x:v>66</x:v>
      </x:c>
      <x:c r="G53" s="229" t="s">
        <x:v>68</x:v>
      </x:c>
      <x:c r="H53" s="230" t="n">
        <x:v>0</x:v>
      </x:c>
      <x:c r="I53" s="231" t="n">
        <x:v>2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17" customHeight="1" x14ac:dyDescent="0.2">
      <x:c r="A54" s="226" t="s"/>
      <x:c r="B54" s="226" t="s"/>
      <x:c r="C54" s="227" t="s">
        <x:v>44</x:v>
      </x:c>
      <x:c r="D54" s="228" t="s">
        <x:v>45</x:v>
      </x:c>
      <x:c r="E54" s="229" t="s"/>
      <x:c r="F54" s="229" t="s">
        <x:v>46</x:v>
      </x:c>
      <x:c r="G54" s="229" t="s"/>
      <x:c r="H54" s="230" t="s"/>
      <x:c r="I54" s="299" t="s"/>
      <x:c r="J54" s="300" t="s"/>
      <x:c r="K54" s="301" t="s"/>
      <x:c r="L54" s="299" t="s"/>
      <x:c r="M54" s="299" t="s"/>
      <x:c r="N54" s="234" t="s"/>
      <x:c r="O54" s="230" t="s"/>
      <x:c r="P54" s="302" t="s"/>
      <x:c r="Q54" s="303" t="s"/>
      <x:c r="R54" s="237" t="s"/>
      <x:c r="S54" s="238" t="s"/>
      <x:c r="T54" s="239" t="s"/>
    </x:row>
    <x:row r="55" spans="1:24" customFormat="1" ht="17" customHeight="1" x14ac:dyDescent="0.2">
      <x:c r="A55" s="226" t="s"/>
      <x:c r="B55" s="226" t="s"/>
      <x:c r="C55" s="227" t="s">
        <x:v>47</x:v>
      </x:c>
      <x:c r="D55" s="228" t="s">
        <x:v>48</x:v>
      </x:c>
      <x:c r="E55" s="229" t="s"/>
      <x:c r="F55" s="229" t="s">
        <x:v>49</x:v>
      </x:c>
      <x:c r="G55" s="229" t="n">
        <x:v>1006969</x:v>
      </x:c>
      <x:c r="H55" s="230" t="s"/>
      <x:c r="I55" s="299" t="s"/>
      <x:c r="J55" s="300" t="s"/>
      <x:c r="K55" s="301" t="s"/>
      <x:c r="L55" s="299" t="s"/>
      <x:c r="M55" s="299" t="s"/>
      <x:c r="N55" s="234" t="s"/>
      <x:c r="O55" s="230" t="s"/>
      <x:c r="P55" s="302" t="s"/>
      <x:c r="Q55" s="303" t="s"/>
      <x:c r="R55" s="237" t="s"/>
      <x:c r="S55" s="238" t="s"/>
      <x:c r="T55" s="239" t="s"/>
    </x:row>
    <x:row r="56" spans="1:24" customFormat="1" ht="24" customHeight="1" x14ac:dyDescent="0.2">
      <x:c r="A56" s="226" t="n">
        <x:v>13</x:v>
      </x:c>
      <x:c r="B56" s="226" t="n">
        <x:v>2306010212180</x:v>
      </x:c>
      <x:c r="C56" s="227" t="s">
        <x:v>69</x:v>
      </x:c>
      <x:c r="D56" s="228" t="s">
        <x:v>70</x:v>
      </x:c>
      <x:c r="E56" s="229" t="s"/>
      <x:c r="F56" s="229" t="n">
        <x:v>13530</x:v>
      </x:c>
      <x:c r="G56" s="229" t="s">
        <x:v>68</x:v>
      </x:c>
      <x:c r="H56" s="230" t="n">
        <x:v>0</x:v>
      </x:c>
      <x:c r="I56" s="231" t="n">
        <x:v>2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17" customHeight="1" x14ac:dyDescent="0.2">
      <x:c r="A57" s="226" t="s"/>
      <x:c r="B57" s="226" t="s"/>
      <x:c r="C57" s="227" t="s">
        <x:v>44</x:v>
      </x:c>
      <x:c r="D57" s="228" t="s">
        <x:v>45</x:v>
      </x:c>
      <x:c r="E57" s="229" t="s"/>
      <x:c r="F57" s="229" t="s">
        <x:v>46</x:v>
      </x:c>
      <x:c r="G57" s="229" t="s"/>
      <x:c r="H57" s="230" t="s"/>
      <x:c r="I57" s="299" t="s"/>
      <x:c r="J57" s="300" t="s"/>
      <x:c r="K57" s="301" t="s"/>
      <x:c r="L57" s="299" t="s"/>
      <x:c r="M57" s="299" t="s"/>
      <x:c r="N57" s="234" t="s"/>
      <x:c r="O57" s="230" t="s"/>
      <x:c r="P57" s="302" t="s"/>
      <x:c r="Q57" s="303" t="s"/>
      <x:c r="R57" s="237" t="s"/>
      <x:c r="S57" s="238" t="s"/>
      <x:c r="T57" s="239" t="s"/>
    </x:row>
    <x:row r="58" spans="1:24" customFormat="1" ht="17" customHeight="1" x14ac:dyDescent="0.2">
      <x:c r="A58" s="226" t="s"/>
      <x:c r="B58" s="226" t="s"/>
      <x:c r="C58" s="227" t="s">
        <x:v>47</x:v>
      </x:c>
      <x:c r="D58" s="228" t="s">
        <x:v>48</x:v>
      </x:c>
      <x:c r="E58" s="229" t="s"/>
      <x:c r="F58" s="229" t="s">
        <x:v>49</x:v>
      </x:c>
      <x:c r="G58" s="229" t="s"/>
      <x:c r="H58" s="230" t="s"/>
      <x:c r="I58" s="299" t="s"/>
      <x:c r="J58" s="300" t="s"/>
      <x:c r="K58" s="301" t="s"/>
      <x:c r="L58" s="299" t="s"/>
      <x:c r="M58" s="299" t="s"/>
      <x:c r="N58" s="234" t="s"/>
      <x:c r="O58" s="230" t="s"/>
      <x:c r="P58" s="302" t="s"/>
      <x:c r="Q58" s="303" t="s"/>
      <x:c r="R58" s="237" t="s"/>
      <x:c r="S58" s="238" t="s"/>
      <x:c r="T58" s="239" t="s"/>
    </x:row>
    <x:row r="59" spans="1:24" customFormat="1" ht="15" customHeight="1">
      <x:c r="A59" s="32" t="s"/>
      <x:c r="B59" s="295" t="s"/>
      <x:c r="C59" s="296" t="s"/>
      <x:c r="D59" s="296" t="s"/>
      <x:c r="E59" s="296" t="s"/>
      <x:c r="F59" s="296" t="s"/>
      <x:c r="G59" s="296" t="s"/>
      <x:c r="H59" s="297" t="s"/>
      <x:c r="I59" s="297" t="s"/>
      <x:c r="J59" s="297" t="s"/>
      <x:c r="K59" s="297" t="s"/>
      <x:c r="L59" s="297" t="s"/>
      <x:c r="M59" s="297" t="s"/>
      <x:c r="N59" s="297" t="s"/>
      <x:c r="O59" s="297" t="s"/>
      <x:c r="P59" s="297" t="s"/>
      <x:c r="Q59" s="297" t="s"/>
      <x:c r="R59" s="297" t="s"/>
      <x:c r="S59" s="297" t="s"/>
      <x:c r="T59" s="298" t="s"/>
    </x:row>
    <x:row r="60" spans="1:24" customFormat="1" ht="12.75" customHeight="1">
      <x:c r="A60" s="289" t="s">
        <x:v>29</x:v>
      </x:c>
      <x:c r="B60" s="289" t="s"/>
      <x:c r="C60" s="290" t="s">
        <x:v>71</x:v>
      </x:c>
      <x:c r="D60" s="291" t="s"/>
      <x:c r="E60" s="291" t="s"/>
      <x:c r="F60" s="291" t="s"/>
      <x:c r="G60" s="291" t="s"/>
      <x:c r="H60" s="291" t="s"/>
      <x:c r="I60" s="292" t="s"/>
      <x:c r="J60" s="292" t="s">
        <x:v>72</x:v>
      </x:c>
      <x:c r="K60" s="292" t="s"/>
      <x:c r="L60" s="292" t="s">
        <x:v>36</x:v>
      </x:c>
      <x:c r="M60" s="292" t="s">
        <x:v>37</x:v>
      </x:c>
      <x:c r="N60" s="293" t="s">
        <x:v>73</x:v>
      </x:c>
      <x:c r="O60" s="294" t="s">
        <x:v>39</x:v>
      </x:c>
      <x:c r="P60" s="294" t="s"/>
      <x:c r="Q60" s="294" t="s"/>
      <x:c r="R60" s="294" t="s"/>
      <x:c r="S60" s="294" t="s"/>
      <x:c r="T60" s="225" t="s"/>
    </x:row>
    <x:row r="61" spans="1:24" customFormat="1" ht="15" customHeight="1">
      <x:c r="A61" s="269" t="n">
        <x:v>1</x:v>
      </x:c>
      <x:c r="B61" s="270" t="s"/>
      <x:c r="C61" s="271" t="s">
        <x:v>74</x:v>
      </x:c>
      <x:c r="D61" s="272" t="s">
        <x:v>74</x:v>
      </x:c>
      <x:c r="E61" s="272" t="s">
        <x:v>74</x:v>
      </x:c>
      <x:c r="F61" s="272" t="s">
        <x:v>74</x:v>
      </x:c>
      <x:c r="G61" s="272" t="s">
        <x:v>74</x:v>
      </x:c>
      <x:c r="H61" s="273" t="s">
        <x:v>74</x:v>
      </x:c>
      <x:c r="I61" s="274" t="s"/>
      <x:c r="J61" s="275" t="n">
        <x:v>0</x:v>
      </x:c>
      <x:c r="K61" s="276" t="s"/>
      <x:c r="L61" s="277" t="n">
        <x:v>0</x:v>
      </x:c>
      <x:c r="M61" s="277" t="n">
        <x:v>0</x:v>
      </x:c>
      <x:c r="N61" s="285">
        <x:f>(J61 -(J61 *L61 /100)+((J61 -(J61 *L61 /100))*M61 /100))</x:f>
      </x:c>
      <x:c r="O61" s="286" t="s"/>
      <x:c r="P61" s="287" t="s"/>
      <x:c r="Q61" s="287" t="s"/>
      <x:c r="R61" s="287" t="s"/>
      <x:c r="S61" s="288" t="s"/>
      <x:c r="T61" s="283" t="s"/>
    </x:row>
    <x:row r="62" spans="1:24" customFormat="1" ht="15" customHeight="1">
      <x:c r="A62" s="269" t="n">
        <x:v>2</x:v>
      </x:c>
      <x:c r="B62" s="270" t="s"/>
      <x:c r="C62" s="271" t="s">
        <x:v>75</x:v>
      </x:c>
      <x:c r="D62" s="272" t="s">
        <x:v>75</x:v>
      </x:c>
      <x:c r="E62" s="272" t="s">
        <x:v>75</x:v>
      </x:c>
      <x:c r="F62" s="272" t="s">
        <x:v>75</x:v>
      </x:c>
      <x:c r="G62" s="272" t="s">
        <x:v>75</x:v>
      </x:c>
      <x:c r="H62" s="273" t="s">
        <x:v>75</x:v>
      </x:c>
      <x:c r="I62" s="284" t="s"/>
      <x:c r="J62" s="275" t="n">
        <x:v>0</x:v>
      </x:c>
      <x:c r="K62" s="276" t="s"/>
      <x:c r="L62" s="277" t="n">
        <x:v>0</x:v>
      </x:c>
      <x:c r="M62" s="277" t="n">
        <x:v>0</x:v>
      </x:c>
      <x:c r="N62" s="279">
        <x:f>(J62 -(J62 *L62 /100)+((J62 -(J62 *L62 /100))*M62 /100))</x:f>
      </x:c>
      <x:c r="O62" s="280" t="s"/>
      <x:c r="P62" s="281" t="s"/>
      <x:c r="Q62" s="281" t="s"/>
      <x:c r="R62" s="281" t="s"/>
      <x:c r="S62" s="282" t="s"/>
      <x:c r="T62" s="283" t="s"/>
    </x:row>
    <x:row r="63" spans="1:24" customFormat="1" ht="15" customHeight="1">
      <x:c r="A63" s="269" t="n">
        <x:v>3</x:v>
      </x:c>
      <x:c r="B63" s="270" t="s"/>
      <x:c r="C63" s="271" t="s"/>
      <x:c r="D63" s="272" t="s"/>
      <x:c r="E63" s="272" t="s"/>
      <x:c r="F63" s="272" t="s"/>
      <x:c r="G63" s="272" t="s"/>
      <x:c r="H63" s="273" t="s"/>
      <x:c r="I63" s="274" t="s"/>
      <x:c r="J63" s="275" t="n">
        <x:v>0</x:v>
      </x:c>
      <x:c r="K63" s="276" t="s"/>
      <x:c r="L63" s="277" t="n">
        <x:v>0</x:v>
      </x:c>
      <x:c r="M63" s="277" t="n">
        <x:v>0</x:v>
      </x:c>
      <x:c r="N63" s="279">
        <x:f>(J63 -(J63 *L63 /100)+((J63 -(J63 *L63 /100))*M63 /100))</x:f>
      </x:c>
      <x:c r="O63" s="280" t="s"/>
      <x:c r="P63" s="281" t="s"/>
      <x:c r="Q63" s="281" t="s"/>
      <x:c r="R63" s="281" t="s"/>
      <x:c r="S63" s="282" t="s"/>
      <x:c r="T63" s="283" t="s"/>
    </x:row>
    <x:row r="64" spans="1:24" customFormat="1" ht="15.75" customHeight="1">
      <x:c r="A64" s="269" t="n">
        <x:v>4</x:v>
      </x:c>
      <x:c r="B64" s="270" t="s"/>
      <x:c r="C64" s="271" t="s"/>
      <x:c r="D64" s="272" t="s"/>
      <x:c r="E64" s="272" t="s"/>
      <x:c r="F64" s="272" t="s"/>
      <x:c r="G64" s="272" t="s"/>
      <x:c r="H64" s="273" t="s"/>
      <x:c r="I64" s="274" t="s"/>
      <x:c r="J64" s="275" t="n">
        <x:v>0</x:v>
      </x:c>
      <x:c r="K64" s="276" t="s"/>
      <x:c r="L64" s="277" t="n">
        <x:v>0</x:v>
      </x:c>
      <x:c r="M64" s="278" t="n">
        <x:v>0</x:v>
      </x:c>
      <x:c r="N64" s="279">
        <x:f>(J64 -(J64 *L64 /100)+((J64 -(J64 *L64 /100))*M64 /100))</x:f>
      </x:c>
      <x:c r="O64" s="280" t="s"/>
      <x:c r="P64" s="281" t="s"/>
      <x:c r="Q64" s="281" t="s"/>
      <x:c r="R64" s="281" t="s"/>
      <x:c r="S64" s="282" t="s"/>
      <x:c r="T64" s="283" t="s"/>
    </x:row>
    <x:row r="65" spans="1:24" customFormat="1" ht="15.95" customHeight="1">
      <x:c r="A65" s="247" t="s"/>
      <x:c r="B65" s="247" t="s"/>
      <x:c r="C65" s="248" t="s"/>
      <x:c r="D65" s="248" t="s"/>
      <x:c r="J65" s="58" t="s">
        <x:v>76</x:v>
      </x:c>
      <x:c r="K65" s="59" t="s"/>
      <x:c r="L65" s="58" t="s"/>
      <x:c r="M65" s="59" t="s"/>
      <x:c r="N65" s="264">
        <x:f>SUM(ItmPrice)</x:f>
      </x:c>
      <x:c r="O65" s="267" t="s"/>
      <x:c r="P65" s="268" t="s"/>
    </x:row>
    <x:row r="66" spans="1:24" customFormat="1" ht="15" customHeight="1">
      <x:c r="A66" s="247" t="s"/>
      <x:c r="B66" s="247" t="s"/>
      <x:c r="C66" s="248" t="s"/>
      <x:c r="D66" s="248" t="s"/>
      <x:c r="J66" s="123" t="s">
        <x:v>77</x:v>
      </x:c>
      <x:c r="K66" s="124" t="s"/>
      <x:c r="L66" s="124" t="s"/>
      <x:c r="M66" s="125" t="s"/>
      <x:c r="N66" s="264">
        <x:f>SUM(N61:N65)</x:f>
      </x:c>
      <x:c r="O66" s="265" t="s"/>
      <x:c r="P66" s="266" t="s"/>
    </x:row>
    <x:row r="67" spans="1:24" customFormat="1" ht="2.25" hidden="1" customHeight="1">
      <x:c r="A67" s="258" t="n">
        <x:v>0</x:v>
      </x:c>
      <x:c r="B67" s="258" t="n">
        <x:v>0</x:v>
      </x:c>
      <x:c r="C67" s="259" t="n">
        <x:v>0</x:v>
      </x:c>
      <x:c r="D67" s="248" t="s"/>
      <x:c r="E67" s="248" t="s"/>
      <x:c r="F67" s="260" t="n">
        <x:v>1</x:v>
      </x:c>
      <x:c r="G67" s="248" t="s"/>
      <x:c r="H67" s="248" t="s"/>
      <x:c r="I67" s="248" t="s"/>
      <x:c r="J67" s="248" t="s"/>
      <x:c r="K67" s="261" t="s"/>
      <x:c r="L67" s="262" t="n">
        <x:v>0</x:v>
      </x:c>
      <x:c r="M67" s="263" t="n">
        <x:v>0</x:v>
      </x:c>
      <x:c r="N67" s="162" t="s">
        <x:v>78</x:v>
      </x:c>
      <x:c r="O67" s="257" t="s"/>
      <x:c r="P67" s="263" t="n">
        <x:v>995</x:v>
      </x:c>
      <x:c r="Q67" s="248" t="s">
        <x:v>79</x:v>
      </x:c>
      <x:c r="R67" s="248" t="s"/>
      <x:c r="S67" s="248" t="s"/>
    </x:row>
    <x:row r="68" spans="1:24" customFormat="1" ht="18.75" customHeight="1">
      <x:c r="A68" s="247" t="s"/>
      <x:c r="B68" s="247" t="s"/>
      <x:c r="C68" s="247" t="s"/>
      <x:c r="H68" s="257" t="s"/>
      <x:c r="J68" s="248" t="s"/>
      <x:c r="K68" s="248" t="s"/>
      <x:c r="L68" s="248" t="s"/>
      <x:c r="M68" s="248" t="s"/>
      <x:c r="N68" s="248" t="s"/>
      <x:c r="O68" s="248" t="s"/>
      <x:c r="P68" s="248" t="s"/>
      <x:c r="R68" s="248" t="s"/>
      <x:c r="S68" s="248" t="s"/>
    </x:row>
    <x:row r="69" spans="1:24" customFormat="1" ht="127.5" customHeight="1">
      <x:c r="A69" s="249" t="s">
        <x:v>80</x:v>
      </x:c>
      <x:c r="B69" s="249" t="s"/>
      <x:c r="C69" s="249" t="s"/>
      <x:c r="D69" s="250" t="s"/>
      <x:c r="E69" s="254" t="s">
        <x:v>81</x:v>
      </x:c>
      <x:c r="F69" s="255" t="s"/>
      <x:c r="G69" s="255" t="s"/>
      <x:c r="H69" s="255" t="s"/>
      <x:c r="I69" s="255" t="s"/>
      <x:c r="J69" s="255" t="s"/>
      <x:c r="K69" s="255" t="s"/>
      <x:c r="L69" s="255" t="s"/>
      <x:c r="M69" s="255" t="s"/>
      <x:c r="N69" s="255" t="s"/>
      <x:c r="O69" s="255" t="s"/>
      <x:c r="P69" s="255" t="s"/>
      <x:c r="Q69" s="255" t="s"/>
      <x:c r="R69" s="255" t="s"/>
      <x:c r="S69" s="255" t="s"/>
      <x:c r="T69" s="256" t="s"/>
    </x:row>
    <x:row r="70" spans="1:24" customFormat="1" ht="129.75" customHeight="1">
      <x:c r="A70" s="249" t="s">
        <x:v>39</x:v>
      </x:c>
      <x:c r="B70" s="249" t="s"/>
      <x:c r="C70" s="249" t="s"/>
      <x:c r="D70" s="250" t="s"/>
      <x:c r="E70" s="251" t="s"/>
      <x:c r="F70" s="252" t="s"/>
      <x:c r="G70" s="252" t="s"/>
      <x:c r="H70" s="252" t="s"/>
      <x:c r="I70" s="252" t="s"/>
      <x:c r="J70" s="252" t="s"/>
      <x:c r="K70" s="252" t="s"/>
      <x:c r="L70" s="252" t="s"/>
      <x:c r="M70" s="252" t="s"/>
      <x:c r="N70" s="252" t="s"/>
      <x:c r="O70" s="252" t="s"/>
      <x:c r="P70" s="252" t="s"/>
      <x:c r="Q70" s="252" t="s"/>
      <x:c r="R70" s="252" t="s"/>
      <x:c r="S70" s="252" t="s"/>
      <x:c r="T70" s="253" t="s"/>
    </x:row>
    <x:row r="71" spans="1:24" customFormat="1" ht="15.95" customHeight="1">
      <x:c r="A71" s="247" t="s"/>
      <x:c r="B71" s="247" t="s"/>
      <x:c r="C71" s="247" t="s"/>
      <x:c r="H71" s="248" t="s"/>
      <x:c r="I71" s="248" t="s"/>
      <x:c r="J71" s="248" t="s"/>
      <x:c r="K71" s="248" t="s"/>
      <x:c r="L71" s="248" t="s"/>
      <x:c r="M71" s="248" t="s"/>
      <x:c r="N71" s="248" t="s"/>
      <x:c r="O71" s="248" t="s"/>
      <x:c r="P71" s="248" t="s"/>
      <x:c r="Q71" s="248" t="s"/>
      <x:c r="R71" s="248" t="s"/>
      <x:c r="S71" s="248" t="s"/>
    </x:row>
    <x:row r="72" spans="1:24" customFormat="1" ht="15.95" customHeight="1">
      <x:c r="A72" s="245" t="s">
        <x:v>82</x:v>
      </x:c>
      <x:c r="B72" s="245" t="s"/>
      <x:c r="C72" s="245" t="s"/>
      <x:c r="D72" s="245" t="s"/>
      <x:c r="E72" s="245" t="s"/>
      <x:c r="F72" s="245" t="s"/>
      <x:c r="G72" s="245" t="s"/>
      <x:c r="H72" s="245" t="s"/>
      <x:c r="I72" s="245" t="s"/>
      <x:c r="J72" s="245" t="s"/>
      <x:c r="K72" s="245" t="s"/>
      <x:c r="L72" s="245" t="s"/>
      <x:c r="M72" s="245" t="s"/>
      <x:c r="N72" s="245" t="s"/>
      <x:c r="O72" s="245" t="s"/>
      <x:c r="P72" s="245" t="s"/>
      <x:c r="Q72" s="245" t="s"/>
      <x:c r="R72" s="245" t="s"/>
      <x:c r="S72" s="245" t="s"/>
      <x:c r="T72" s="246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12.75" customHeight="1">
      <x:c r="A74" s="243" t="s"/>
      <x:c r="B74" s="243" t="s"/>
      <x:c r="C74" s="243" t="s"/>
      <x:c r="D74" s="243" t="s"/>
      <x:c r="E74" s="243" t="s"/>
      <x:c r="F74" s="243" t="s"/>
      <x:c r="G74" s="243" t="s"/>
      <x:c r="H74" s="243" t="s"/>
      <x:c r="I74" s="243" t="s"/>
      <x:c r="J74" s="243" t="s"/>
      <x:c r="K74" s="243" t="s"/>
      <x:c r="L74" s="243" t="s"/>
      <x:c r="M74" s="243" t="s"/>
      <x:c r="N74" s="243" t="s"/>
      <x:c r="O74" s="243" t="s"/>
      <x:c r="P74" s="243" t="s"/>
      <x:c r="Q74" s="243" t="s"/>
      <x:c r="R74" s="243" t="s"/>
      <x:c r="S74" s="243" t="s"/>
      <x:c r="T74" s="244" t="s"/>
    </x:row>
    <x:row r="75" spans="1:24" customFormat="1" ht="7.5" customHeight="1">
      <x:c r="A75" s="243" t="s"/>
      <x:c r="B75" s="243" t="s"/>
      <x:c r="C75" s="243" t="s"/>
      <x:c r="D75" s="243" t="s"/>
      <x:c r="E75" s="243" t="s"/>
      <x:c r="F75" s="243" t="s"/>
      <x:c r="G75" s="243" t="s"/>
      <x:c r="H75" s="243" t="s"/>
      <x:c r="I75" s="243" t="s"/>
      <x:c r="J75" s="243" t="s"/>
      <x:c r="K75" s="243" t="s"/>
      <x:c r="L75" s="243" t="s"/>
      <x:c r="M75" s="243" t="s"/>
      <x:c r="N75" s="243" t="s"/>
      <x:c r="O75" s="243" t="s"/>
      <x:c r="P75" s="243" t="s"/>
      <x:c r="Q75" s="243" t="s"/>
      <x:c r="R75" s="243" t="s"/>
      <x:c r="S75" s="243" t="s"/>
      <x:c r="T75" s="244" t="s"/>
    </x:row>
    <x:row r="76" spans="1:24" customFormat="1" ht="12.75" customHeight="1">
      <x:c r="A76" s="243" t="s"/>
      <x:c r="B76" s="243" t="s"/>
      <x:c r="C76" s="243" t="s"/>
      <x:c r="D76" s="243" t="s"/>
      <x:c r="E76" s="243" t="s"/>
      <x:c r="F76" s="243" t="s"/>
      <x:c r="G76" s="243" t="s"/>
      <x:c r="H76" s="243" t="s"/>
      <x:c r="I76" s="243" t="s"/>
      <x:c r="J76" s="243" t="s"/>
      <x:c r="K76" s="243" t="s"/>
      <x:c r="L76" s="243" t="s"/>
      <x:c r="M76" s="243" t="s"/>
      <x:c r="N76" s="243" t="s"/>
      <x:c r="O76" s="243" t="s"/>
      <x:c r="P76" s="243" t="s"/>
      <x:c r="Q76" s="243" t="s"/>
      <x:c r="R76" s="243" t="s"/>
      <x:c r="S76" s="243" t="s"/>
      <x:c r="T76" s="244" t="s"/>
    </x:row>
    <x:row r="77" spans="1:24" customFormat="1" ht="12.75" customHeight="1">
      <x:c r="A77" s="243" t="s"/>
      <x:c r="B77" s="243" t="s"/>
      <x:c r="C77" s="243" t="s"/>
      <x:c r="D77" s="243" t="s"/>
      <x:c r="E77" s="243" t="s"/>
      <x:c r="F77" s="243" t="s"/>
      <x:c r="G77" s="243" t="s"/>
      <x:c r="H77" s="243" t="s"/>
      <x:c r="I77" s="243" t="s"/>
      <x:c r="J77" s="243" t="s"/>
      <x:c r="K77" s="243" t="s"/>
      <x:c r="L77" s="243" t="s"/>
      <x:c r="M77" s="243" t="s"/>
      <x:c r="N77" s="243" t="s"/>
      <x:c r="O77" s="243" t="s"/>
      <x:c r="P77" s="243" t="s"/>
      <x:c r="Q77" s="243" t="s"/>
      <x:c r="R77" s="243" t="s"/>
      <x:c r="S77" s="243" t="s"/>
      <x:c r="T77" s="244" t="s"/>
    </x:row>
    <x:row r="78" spans="1:24" customFormat="1" ht="12.75" customHeight="1">
      <x:c r="A78" s="243" t="s"/>
      <x:c r="B78" s="243" t="s"/>
      <x:c r="C78" s="243" t="s"/>
      <x:c r="D78" s="243" t="s"/>
      <x:c r="E78" s="243" t="s"/>
      <x:c r="F78" s="243" t="s"/>
      <x:c r="G78" s="243" t="s"/>
      <x:c r="H78" s="243" t="s"/>
      <x:c r="I78" s="243" t="s"/>
      <x:c r="J78" s="243" t="s"/>
      <x:c r="K78" s="243" t="s"/>
      <x:c r="L78" s="243" t="s"/>
      <x:c r="M78" s="243" t="s"/>
      <x:c r="N78" s="243" t="s"/>
      <x:c r="O78" s="243" t="s"/>
      <x:c r="P78" s="243" t="s"/>
      <x:c r="Q78" s="243" t="s"/>
      <x:c r="R78" s="243" t="s"/>
      <x:c r="S78" s="243" t="s"/>
      <x:c r="T78" s="244" t="s"/>
    </x:row>
    <x:row r="79" spans="1:24" customFormat="1" ht="7.5" customHeight="1">
      <x:c r="A79" s="243" t="s"/>
      <x:c r="B79" s="243" t="s"/>
      <x:c r="C79" s="243" t="s"/>
      <x:c r="D79" s="243" t="s"/>
      <x:c r="E79" s="243" t="s"/>
      <x:c r="F79" s="243" t="s"/>
      <x:c r="G79" s="243" t="s"/>
      <x:c r="H79" s="243" t="s"/>
      <x:c r="I79" s="243" t="s"/>
      <x:c r="J79" s="243" t="s"/>
      <x:c r="K79" s="243" t="s"/>
      <x:c r="L79" s="243" t="s"/>
      <x:c r="M79" s="243" t="s"/>
      <x:c r="N79" s="243" t="s"/>
      <x:c r="O79" s="243" t="s"/>
      <x:c r="P79" s="243" t="s"/>
      <x:c r="Q79" s="243" t="s"/>
      <x:c r="R79" s="243" t="s"/>
      <x:c r="S79" s="243" t="s"/>
      <x:c r="T79" s="244" t="s"/>
    </x:row>
    <x:row r="80" spans="1:24" customFormat="1" ht="12.75" customHeight="1">
      <x:c r="A80" s="243" t="s"/>
      <x:c r="B80" s="243" t="s"/>
      <x:c r="C80" s="243" t="s"/>
      <x:c r="D80" s="243" t="s"/>
      <x:c r="E80" s="243" t="s"/>
      <x:c r="F80" s="243" t="s"/>
      <x:c r="G80" s="243" t="s"/>
      <x:c r="H80" s="243" t="s"/>
      <x:c r="I80" s="243" t="s"/>
      <x:c r="J80" s="243" t="s"/>
      <x:c r="K80" s="243" t="s"/>
      <x:c r="L80" s="243" t="s"/>
      <x:c r="M80" s="243" t="s"/>
      <x:c r="N80" s="243" t="s"/>
      <x:c r="O80" s="243" t="s"/>
      <x:c r="P80" s="243" t="s"/>
      <x:c r="Q80" s="243" t="s"/>
      <x:c r="R80" s="243" t="s"/>
      <x:c r="S80" s="243" t="s"/>
      <x:c r="T80" s="244" t="s"/>
    </x:row>
    <x:row r="81" spans="1:24" customFormat="1" ht="12.75" customHeight="1">
      <x:c r="A81" s="243" t="s"/>
      <x:c r="B81" s="243" t="s"/>
      <x:c r="C81" s="243" t="s"/>
      <x:c r="D81" s="243" t="s"/>
      <x:c r="E81" s="243" t="s"/>
      <x:c r="F81" s="243" t="s"/>
      <x:c r="G81" s="243" t="s"/>
      <x:c r="H81" s="243" t="s"/>
      <x:c r="I81" s="243" t="s"/>
      <x:c r="J81" s="243" t="s"/>
      <x:c r="K81" s="243" t="s"/>
      <x:c r="L81" s="243" t="s"/>
      <x:c r="M81" s="243" t="s"/>
      <x:c r="N81" s="243" t="s"/>
      <x:c r="O81" s="243" t="s"/>
      <x:c r="P81" s="243" t="s"/>
      <x:c r="Q81" s="243" t="s"/>
      <x:c r="R81" s="243" t="s"/>
      <x:c r="S81" s="243" t="s"/>
      <x:c r="T81" s="244" t="s"/>
    </x:row>
    <x:row r="82" spans="1:24" customFormat="1" ht="12.75" customHeight="1">
      <x:c r="A82" s="243" t="s"/>
      <x:c r="B82" s="243" t="s"/>
      <x:c r="C82" s="243" t="s"/>
      <x:c r="D82" s="243" t="s"/>
      <x:c r="E82" s="243" t="s"/>
      <x:c r="F82" s="243" t="s"/>
      <x:c r="G82" s="243" t="s"/>
      <x:c r="H82" s="243" t="s"/>
      <x:c r="I82" s="243" t="s"/>
      <x:c r="J82" s="243" t="s"/>
      <x:c r="K82" s="243" t="s"/>
      <x:c r="L82" s="243" t="s"/>
      <x:c r="M82" s="243" t="s"/>
      <x:c r="N82" s="243" t="s"/>
      <x:c r="O82" s="243" t="s"/>
      <x:c r="P82" s="243" t="s"/>
      <x:c r="Q82" s="243" t="s"/>
      <x:c r="R82" s="243" t="s"/>
      <x:c r="S82" s="243" t="s"/>
      <x:c r="T82" s="244" t="s"/>
    </x:row>
    <x:row r="83" spans="1:24" customFormat="1" ht="12.75" customHeight="1">
      <x:c r="A83" s="243" t="s"/>
      <x:c r="B83" s="243" t="s"/>
      <x:c r="C83" s="243" t="s"/>
      <x:c r="D83" s="243" t="s"/>
      <x:c r="E83" s="243" t="s"/>
      <x:c r="F83" s="243" t="s"/>
      <x:c r="G83" s="243" t="s"/>
      <x:c r="H83" s="243" t="s"/>
      <x:c r="I83" s="243" t="s"/>
      <x:c r="J83" s="243" t="s"/>
      <x:c r="K83" s="243" t="s"/>
      <x:c r="L83" s="243" t="s"/>
      <x:c r="M83" s="243" t="s"/>
      <x:c r="N83" s="243" t="s"/>
      <x:c r="O83" s="243" t="s"/>
      <x:c r="P83" s="243" t="s"/>
      <x:c r="Q83" s="243" t="s"/>
      <x:c r="R83" s="243" t="s"/>
      <x:c r="S83" s="243" t="s"/>
      <x:c r="T83" s="244" t="s"/>
    </x:row>
    <x:row r="84" spans="1:24" customFormat="1" ht="12.75" customHeight="1">
      <x:c r="A84" s="243" t="s"/>
      <x:c r="B84" s="243" t="s"/>
      <x:c r="C84" s="243" t="s"/>
      <x:c r="D84" s="243" t="s"/>
      <x:c r="E84" s="243" t="s"/>
      <x:c r="F84" s="243" t="s"/>
      <x:c r="G84" s="243" t="s"/>
      <x:c r="H84" s="243" t="s"/>
      <x:c r="I84" s="243" t="s"/>
      <x:c r="J84" s="243" t="s"/>
      <x:c r="K84" s="243" t="s"/>
      <x:c r="L84" s="243" t="s"/>
      <x:c r="M84" s="243" t="s"/>
      <x:c r="N84" s="243" t="s"/>
      <x:c r="O84" s="243" t="s"/>
      <x:c r="P84" s="243" t="s"/>
      <x:c r="Q84" s="243" t="s"/>
      <x:c r="R84" s="243" t="s"/>
      <x:c r="S84" s="243" t="s"/>
      <x:c r="T84" s="244" t="s"/>
    </x:row>
    <x:row r="85" spans="1:24" customFormat="1" ht="12.75" customHeight="1">
      <x:c r="A85" s="243" t="s"/>
      <x:c r="B85" s="243" t="s"/>
      <x:c r="C85" s="243" t="s"/>
      <x:c r="D85" s="243" t="s"/>
      <x:c r="E85" s="243" t="s"/>
      <x:c r="F85" s="243" t="s"/>
      <x:c r="G85" s="243" t="s"/>
      <x:c r="H85" s="243" t="s"/>
      <x:c r="I85" s="243" t="s"/>
      <x:c r="J85" s="243" t="s"/>
      <x:c r="K85" s="243" t="s"/>
      <x:c r="L85" s="243" t="s"/>
      <x:c r="M85" s="243" t="s"/>
      <x:c r="N85" s="243" t="s"/>
      <x:c r="O85" s="243" t="s"/>
      <x:c r="P85" s="243" t="s"/>
      <x:c r="Q85" s="243" t="s"/>
      <x:c r="R85" s="243" t="s"/>
      <x:c r="S85" s="243" t="s"/>
      <x:c r="T85" s="244" t="s"/>
    </x:row>
    <x:row r="86" spans="1:24" customFormat="1" ht="7.5" customHeight="1">
      <x:c r="A86" s="243" t="s"/>
      <x:c r="B86" s="243" t="s"/>
      <x:c r="C86" s="243" t="s"/>
      <x:c r="D86" s="243" t="s"/>
      <x:c r="E86" s="243" t="s"/>
      <x:c r="F86" s="243" t="s"/>
      <x:c r="G86" s="243" t="s"/>
      <x:c r="H86" s="243" t="s"/>
      <x:c r="I86" s="243" t="s"/>
      <x:c r="J86" s="243" t="s"/>
      <x:c r="K86" s="243" t="s"/>
      <x:c r="L86" s="243" t="s"/>
      <x:c r="M86" s="243" t="s"/>
      <x:c r="N86" s="243" t="s"/>
      <x:c r="O86" s="243" t="s"/>
      <x:c r="P86" s="243" t="s"/>
      <x:c r="Q86" s="243" t="s"/>
      <x:c r="R86" s="243" t="s"/>
      <x:c r="S86" s="243" t="s"/>
      <x:c r="T86" s="244" t="s"/>
    </x:row>
    <x:row r="87" spans="1:24" customFormat="1" ht="12.75" customHeight="1">
      <x:c r="A87" s="243" t="s"/>
      <x:c r="B87" s="243" t="s"/>
      <x:c r="C87" s="243" t="s"/>
      <x:c r="D87" s="243" t="s"/>
      <x:c r="E87" s="243" t="s"/>
      <x:c r="F87" s="243" t="s"/>
      <x:c r="G87" s="243" t="s"/>
      <x:c r="H87" s="243" t="s"/>
      <x:c r="I87" s="243" t="s"/>
      <x:c r="J87" s="243" t="s"/>
      <x:c r="K87" s="243" t="s"/>
      <x:c r="L87" s="243" t="s"/>
      <x:c r="M87" s="243" t="s"/>
      <x:c r="N87" s="243" t="s"/>
      <x:c r="O87" s="243" t="s"/>
      <x:c r="P87" s="243" t="s"/>
      <x:c r="Q87" s="243" t="s"/>
      <x:c r="R87" s="243" t="s"/>
      <x:c r="S87" s="243" t="s"/>
      <x:c r="T87" s="244" t="s"/>
    </x:row>
    <x:row r="88" spans="1:24" customFormat="1" ht="12.75" customHeight="1">
      <x:c r="A88" s="243" t="s"/>
      <x:c r="B88" s="243" t="s"/>
      <x:c r="C88" s="243" t="s"/>
      <x:c r="D88" s="243" t="s"/>
      <x:c r="E88" s="243" t="s"/>
      <x:c r="F88" s="243" t="s"/>
      <x:c r="G88" s="243" t="s"/>
      <x:c r="H88" s="243" t="s"/>
      <x:c r="I88" s="243" t="s"/>
      <x:c r="J88" s="243" t="s"/>
      <x:c r="K88" s="243" t="s"/>
      <x:c r="L88" s="243" t="s"/>
      <x:c r="M88" s="243" t="s"/>
      <x:c r="N88" s="243" t="s"/>
      <x:c r="O88" s="243" t="s"/>
      <x:c r="P88" s="243" t="s"/>
      <x:c r="Q88" s="243" t="s"/>
      <x:c r="R88" s="243" t="s"/>
      <x:c r="S88" s="243" t="s"/>
      <x:c r="T88" s="244" t="s"/>
    </x:row>
    <x:row r="89" spans="1:24" customFormat="1" ht="12.75" customHeight="1">
      <x:c r="A89" s="243" t="s"/>
      <x:c r="B89" s="243" t="s"/>
      <x:c r="C89" s="243" t="s"/>
      <x:c r="D89" s="243" t="s"/>
      <x:c r="E89" s="243" t="s"/>
      <x:c r="F89" s="243" t="s"/>
      <x:c r="G89" s="243" t="s"/>
      <x:c r="H89" s="243" t="s"/>
      <x:c r="I89" s="243" t="s"/>
      <x:c r="J89" s="243" t="s"/>
      <x:c r="K89" s="243" t="s"/>
      <x:c r="L89" s="243" t="s"/>
      <x:c r="M89" s="243" t="s"/>
      <x:c r="N89" s="243" t="s"/>
      <x:c r="O89" s="243" t="s"/>
      <x:c r="P89" s="243" t="s"/>
      <x:c r="Q89" s="243" t="s"/>
      <x:c r="R89" s="243" t="s"/>
      <x:c r="S89" s="243" t="s"/>
      <x:c r="T89" s="244" t="s"/>
    </x:row>
    <x:row r="90" spans="1:24" customFormat="1" ht="12.75" customHeight="1">
      <x:c r="A90" s="243" t="s"/>
      <x:c r="B90" s="243" t="s"/>
      <x:c r="C90" s="243" t="s"/>
      <x:c r="D90" s="243" t="s"/>
      <x:c r="E90" s="243" t="s"/>
      <x:c r="F90" s="243" t="s"/>
      <x:c r="G90" s="243" t="s"/>
      <x:c r="H90" s="243" t="s"/>
      <x:c r="I90" s="243" t="s"/>
      <x:c r="J90" s="243" t="s"/>
      <x:c r="K90" s="243" t="s"/>
      <x:c r="L90" s="243" t="s"/>
      <x:c r="M90" s="243" t="s"/>
      <x:c r="N90" s="243" t="s"/>
      <x:c r="O90" s="243" t="s"/>
      <x:c r="P90" s="243" t="s"/>
      <x:c r="Q90" s="243" t="s"/>
      <x:c r="R90" s="243" t="s"/>
      <x:c r="S90" s="243" t="s"/>
      <x:c r="T90" s="244" t="s"/>
    </x:row>
    <x:row r="91" spans="1:24" customFormat="1" ht="12.75" customHeight="1">
      <x:c r="A91" s="243" t="s"/>
      <x:c r="B91" s="243" t="s"/>
      <x:c r="C91" s="243" t="s"/>
      <x:c r="D91" s="243" t="s"/>
      <x:c r="E91" s="243" t="s"/>
      <x:c r="F91" s="243" t="s"/>
      <x:c r="G91" s="243" t="s"/>
      <x:c r="H91" s="243" t="s"/>
      <x:c r="I91" s="243" t="s"/>
      <x:c r="J91" s="243" t="s"/>
      <x:c r="K91" s="243" t="s"/>
      <x:c r="L91" s="243" t="s"/>
      <x:c r="M91" s="243" t="s"/>
      <x:c r="N91" s="243" t="s"/>
      <x:c r="O91" s="243" t="s"/>
      <x:c r="P91" s="243" t="s"/>
      <x:c r="Q91" s="243" t="s"/>
      <x:c r="R91" s="243" t="s"/>
      <x:c r="S91" s="243" t="s"/>
      <x:c r="T91" s="244" t="s"/>
    </x:row>
    <x:row r="92" spans="1:24" customFormat="1" ht="7.5" customHeight="1">
      <x:c r="A92" s="243" t="s"/>
      <x:c r="B92" s="243" t="s"/>
      <x:c r="C92" s="243" t="s"/>
      <x:c r="D92" s="243" t="s"/>
      <x:c r="E92" s="243" t="s"/>
      <x:c r="F92" s="243" t="s"/>
      <x:c r="G92" s="243" t="s"/>
      <x:c r="H92" s="243" t="s"/>
      <x:c r="I92" s="243" t="s"/>
      <x:c r="J92" s="243" t="s"/>
      <x:c r="K92" s="243" t="s"/>
      <x:c r="L92" s="243" t="s"/>
      <x:c r="M92" s="243" t="s"/>
      <x:c r="N92" s="243" t="s"/>
      <x:c r="O92" s="243" t="s"/>
      <x:c r="P92" s="243" t="s"/>
      <x:c r="Q92" s="243" t="s"/>
      <x:c r="R92" s="243" t="s"/>
      <x:c r="S92" s="243" t="s"/>
      <x:c r="T92" s="244" t="s"/>
    </x:row>
    <x:row r="93" spans="1:24" customFormat="1" ht="12.75" customHeight="1">
      <x:c r="A93" s="243" t="s"/>
      <x:c r="B93" s="243" t="s"/>
      <x:c r="C93" s="243" t="s"/>
      <x:c r="D93" s="243" t="s"/>
      <x:c r="E93" s="243" t="s"/>
      <x:c r="F93" s="243" t="s"/>
      <x:c r="G93" s="243" t="s"/>
      <x:c r="H93" s="243" t="s"/>
      <x:c r="I93" s="243" t="s"/>
      <x:c r="J93" s="243" t="s"/>
      <x:c r="K93" s="243" t="s"/>
      <x:c r="L93" s="243" t="s"/>
      <x:c r="M93" s="243" t="s"/>
      <x:c r="N93" s="243" t="s"/>
      <x:c r="O93" s="243" t="s"/>
      <x:c r="P93" s="243" t="s"/>
      <x:c r="Q93" s="243" t="s"/>
      <x:c r="R93" s="243" t="s"/>
      <x:c r="S93" s="243" t="s"/>
      <x:c r="T93" s="244" t="s"/>
    </x:row>
    <x:row r="94" spans="1:24" customFormat="1" ht="12.75" customHeight="1">
      <x:c r="A94" s="243" t="s"/>
      <x:c r="B94" s="243" t="s"/>
      <x:c r="C94" s="243" t="s"/>
      <x:c r="D94" s="243" t="s"/>
      <x:c r="E94" s="243" t="s"/>
      <x:c r="F94" s="243" t="s"/>
      <x:c r="G94" s="243" t="s"/>
      <x:c r="H94" s="243" t="s"/>
      <x:c r="I94" s="243" t="s"/>
      <x:c r="J94" s="243" t="s"/>
      <x:c r="K94" s="243" t="s"/>
      <x:c r="L94" s="243" t="s"/>
      <x:c r="M94" s="243" t="s"/>
      <x:c r="N94" s="243" t="s"/>
      <x:c r="O94" s="243" t="s"/>
      <x:c r="P94" s="243" t="s"/>
      <x:c r="Q94" s="243" t="s"/>
      <x:c r="R94" s="243" t="s"/>
      <x:c r="S94" s="243" t="s"/>
      <x:c r="T94" s="244" t="s"/>
    </x:row>
    <x:row r="95" spans="1:24" customFormat="1" ht="12.75" customHeight="1">
      <x:c r="A95" s="241" t="s"/>
      <x:c r="B95" s="241" t="s"/>
      <x:c r="C95" s="241" t="s"/>
      <x:c r="D95" s="241" t="s"/>
      <x:c r="E95" s="241" t="s"/>
      <x:c r="F95" s="241" t="s"/>
      <x:c r="G95" s="241" t="s"/>
      <x:c r="H95" s="241" t="s"/>
      <x:c r="I95" s="241" t="s"/>
      <x:c r="J95" s="241" t="s"/>
      <x:c r="K95" s="241" t="s"/>
      <x:c r="L95" s="241" t="s"/>
      <x:c r="M95" s="241" t="s"/>
      <x:c r="N95" s="241" t="s"/>
      <x:c r="O95" s="241" t="s"/>
      <x:c r="P95" s="241" t="s"/>
      <x:c r="Q95" s="241" t="s"/>
      <x:c r="R95" s="241" t="s"/>
      <x:c r="S95" s="241" t="s"/>
      <x:c r="T95" s="242" t="s"/>
    </x:row>
    <x:row r="96" spans="1:24">
      <x:c r="A96" s="240" t="s">
        <x:v>83</x:v>
      </x:c>
      <x:c r="B96" s="240" t="s"/>
      <x:c r="C96" s="240" t="s"/>
      <x:c r="D96" s="240" t="s"/>
      <x:c r="E96" s="240" t="s"/>
      <x:c r="F96" s="240" t="s"/>
      <x:c r="G9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104">
    <x:mergeCell ref="E69:S69"/>
    <x:mergeCell ref="E70:S70"/>
    <x:mergeCell ref="E72:S72"/>
    <x:mergeCell ref="A73:S94"/>
    <x:mergeCell ref="A95:S95"/>
    <x:mergeCell ref="A69:D69"/>
    <x:mergeCell ref="A70:D70"/>
    <x:mergeCell ref="K1:R1"/>
    <x:mergeCell ref="R19:S19"/>
    <x:mergeCell ref="R20:S20"/>
    <x:mergeCell ref="O61:S61"/>
    <x:mergeCell ref="O62:S62"/>
    <x:mergeCell ref="O60:S60"/>
    <x:mergeCell ref="J60:K6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65:P65"/>
    <x:mergeCell ref="O66:P66"/>
    <x:mergeCell ref="J66:M66"/>
    <x:mergeCell ref="O63:S63"/>
    <x:mergeCell ref="O64:S6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60:H6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D35:E35"/>
    <x:mergeCell ref="J35:K35"/>
    <x:mergeCell ref="D36:E36"/>
    <x:mergeCell ref="D38:E38"/>
    <x:mergeCell ref="J38:K38"/>
    <x:mergeCell ref="D39:E39"/>
    <x:mergeCell ref="D41:E41"/>
    <x:mergeCell ref="J41:K41"/>
    <x:mergeCell ref="D42:E42"/>
    <x:mergeCell ref="D44:E44"/>
    <x:mergeCell ref="J44:K44"/>
    <x:mergeCell ref="D45:E45"/>
    <x:mergeCell ref="D47:E47"/>
    <x:mergeCell ref="J47:K47"/>
    <x:mergeCell ref="D48:E48"/>
    <x:mergeCell ref="D50:E50"/>
    <x:mergeCell ref="J50:K50"/>
    <x:mergeCell ref="D51:E51"/>
    <x:mergeCell ref="D53:E53"/>
    <x:mergeCell ref="J53:K53"/>
    <x:mergeCell ref="D54:E54"/>
    <x:mergeCell ref="D56:E56"/>
    <x:mergeCell ref="J56:K56"/>
    <x:mergeCell ref="D57:E57"/>
    <x:mergeCell ref="C61:H61"/>
    <x:mergeCell ref="J61:K61"/>
    <x:mergeCell ref="C62:H62"/>
    <x:mergeCell ref="J62:K62"/>
    <x:mergeCell ref="C63:H63"/>
    <x:mergeCell ref="J63:K63"/>
    <x:mergeCell ref="C64:H64"/>
    <x:mergeCell ref="J64:K64"/>
  </x:mergeCells>
  <x:phoneticPr fontId="3" type="noConversion"/>
  <x:dataValidations count="61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61:H6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62:H6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63:H6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64:H6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74</x:v>
      </x:c>
      <x:c r="M1" s="305" t="s">
        <x:v>84</x:v>
      </x:c>
      <x:c r="N1" s="306" t="s">
        <x:v>0</x:v>
      </x:c>
      <x:c r="O1" s="162" t="s">
        <x:v>85</x:v>
      </x:c>
    </x:row>
    <x:row r="2" spans="1:15" x14ac:dyDescent="0.2">
      <x:c r="G2" s="162" t="n">
        <x:v>1001310</x:v>
      </x:c>
      <x:c r="H2" s="162" t="s">
        <x:v>75</x:v>
      </x:c>
      <x:c r="M2" s="305" t="s">
        <x:v>86</x:v>
      </x:c>
      <x:c r="N2" s="306" t="n">
        <x:v>1020115461</x:v>
      </x:c>
      <x:c r="O2" s="162" t="s">
        <x:v>87</x:v>
      </x:c>
    </x:row>
    <x:row r="3" spans="1:15" x14ac:dyDescent="0.2">
      <x:c r="G3" s="162" t="n">
        <x:v>1001352</x:v>
      </x:c>
      <x:c r="H3" s="162" t="s">
        <x:v>71</x:v>
      </x:c>
      <x:c r="M3" s="305" t="s">
        <x:v>88</x:v>
      </x:c>
      <x:c r="N3" s="306" t="n">
        <x:v>99990000270493</x:v>
      </x:c>
      <x:c r="O3" s="162" t="s">
        <x:v>89</x:v>
      </x:c>
    </x:row>
    <x:row r="4" spans="1:15" x14ac:dyDescent="0.2">
      <x:c r="G4" s="162" t="n">
        <x:v>1012729</x:v>
      </x:c>
      <x:c r="H4" s="162" t="s">
        <x:v>90</x:v>
      </x:c>
      <x:c r="M4" s="305" t="s">
        <x:v>91</x:v>
      </x:c>
      <x:c r="N4" s="306" t="n">
        <x:v>1020258418</x:v>
      </x:c>
      <x:c r="O4" s="162" t="s">
        <x:v>92</x:v>
      </x:c>
    </x:row>
    <x:row r="5" spans="1:15" x14ac:dyDescent="0.2">
      <x:c r="G5" s="162" t="n">
        <x:v>1012730</x:v>
      </x:c>
      <x:c r="H5" s="162" t="s">
        <x:v>93</x:v>
      </x:c>
      <x:c r="M5" s="305" t="s">
        <x:v>94</x:v>
      </x:c>
      <x:c r="N5" s="306" t="s"/>
      <x:c r="O5" s="162" t="s">
        <x:v>95</x:v>
      </x:c>
    </x:row>
    <x:row r="6" spans="1:15" x14ac:dyDescent="0.2">
      <x:c r="G6" s="162" t="n">
        <x:v>1012731</x:v>
      </x:c>
      <x:c r="H6" s="162" t="s">
        <x:v>96</x:v>
      </x:c>
      <x:c r="M6" s="305" t="s">
        <x:v>97</x:v>
      </x:c>
      <x:c r="N6" s="306" t="s">
        <x:v>98</x:v>
      </x:c>
      <x:c r="O6" s="162" t="s">
        <x:v>99</x:v>
      </x:c>
    </x:row>
    <x:row r="7" spans="1:15" x14ac:dyDescent="0.2">
      <x:c r="G7" s="162" t="n">
        <x:v>1012732</x:v>
      </x:c>
      <x:c r="H7" s="162" t="s">
        <x:v>100</x:v>
      </x:c>
      <x:c r="M7" s="305" t="s">
        <x:v>101</x:v>
      </x:c>
      <x:c r="N7" s="306" t="n">
        <x:v>0</x:v>
      </x:c>
      <x:c r="O7" s="162" t="s">
        <x:v>102</x:v>
      </x:c>
    </x:row>
    <x:row r="8" spans="1:15" x14ac:dyDescent="0.2">
      <x:c r="G8" s="162" t="n">
        <x:v>1012733</x:v>
      </x:c>
      <x:c r="H8" s="162" t="s">
        <x:v>103</x:v>
      </x:c>
      <x:c r="O8" s="162" t="s">
        <x:v>104</x:v>
      </x:c>
    </x:row>
    <x:row r="9" spans="1:15" x14ac:dyDescent="0.2">
      <x:c r="G9" s="162" t="n">
        <x:v>1012734</x:v>
      </x:c>
      <x:c r="H9" s="162" t="s">
        <x:v>105</x:v>
      </x:c>
      <x:c r="O9" s="162" t="s">
        <x:v>106</x:v>
      </x:c>
    </x:row>
    <x:row r="10" spans="1:15" x14ac:dyDescent="0.2">
      <x:c r="G10" s="162" t="n">
        <x:v>1012735</x:v>
      </x:c>
      <x:c r="H10" s="162" t="s">
        <x:v>107</x:v>
      </x:c>
      <x:c r="O10" s="162" t="s">
        <x:v>108</x:v>
      </x:c>
    </x:row>
    <x:row r="11" spans="1:15" x14ac:dyDescent="0.2">
      <x:c r="G11" s="162" t="n">
        <x:v>1012736</x:v>
      </x:c>
      <x:c r="H11" s="162" t="s">
        <x:v>109</x:v>
      </x:c>
      <x:c r="O11" s="162" t="s">
        <x:v>110</x:v>
      </x:c>
    </x:row>
    <x:row r="12" spans="1:15" x14ac:dyDescent="0.2">
      <x:c r="G12" s="162" t="n">
        <x:v>1012737</x:v>
      </x:c>
      <x:c r="H12" s="162" t="s">
        <x:v>111</x:v>
      </x:c>
      <x:c r="O12" s="162" t="s">
        <x:v>112</x:v>
      </x:c>
    </x:row>
    <x:row r="13" spans="1:15" x14ac:dyDescent="0.2">
      <x:c r="G13" s="162" t="n">
        <x:v>1012738</x:v>
      </x:c>
      <x:c r="H13" s="162" t="s">
        <x:v>113</x:v>
      </x:c>
      <x:c r="O13" s="162" t="s">
        <x:v>114</x:v>
      </x:c>
    </x:row>
    <x:row r="14" spans="1:15" x14ac:dyDescent="0.2">
      <x:c r="G14" s="162" t="n">
        <x:v>1012739</x:v>
      </x:c>
      <x:c r="H14" s="162" t="s">
        <x:v>115</x:v>
      </x:c>
      <x:c r="O14" s="162" t="s">
        <x:v>116</x:v>
      </x:c>
    </x:row>
    <x:row r="15" spans="1:15" x14ac:dyDescent="0.2">
      <x:c r="G15" s="162" t="n">
        <x:v>1012740</x:v>
      </x:c>
      <x:c r="H15" s="162" t="s">
        <x:v>117</x:v>
      </x:c>
      <x:c r="O15" s="162" t="s">
        <x:v>118</x:v>
      </x:c>
    </x:row>
    <x:row r="16" spans="1:15" x14ac:dyDescent="0.2">
      <x:c r="G16" s="162" t="n">
        <x:v>1012741</x:v>
      </x:c>
      <x:c r="H16" s="162" t="s">
        <x:v>119</x:v>
      </x:c>
      <x:c r="O16" s="162" t="s">
        <x:v>120</x:v>
      </x:c>
    </x:row>
    <x:row r="17" spans="1:15" x14ac:dyDescent="0.2">
      <x:c r="G17" s="162" t="n">
        <x:v>1012742</x:v>
      </x:c>
      <x:c r="H17" s="162" t="s">
        <x:v>121</x:v>
      </x:c>
      <x:c r="O17" s="162" t="s">
        <x:v>122</x:v>
      </x:c>
    </x:row>
    <x:row r="18" spans="1:15" x14ac:dyDescent="0.2">
      <x:c r="G18" s="162" t="n">
        <x:v>1012743</x:v>
      </x:c>
      <x:c r="H18" s="162" t="s">
        <x:v>123</x:v>
      </x:c>
      <x:c r="O18" s="162" t="s">
        <x:v>124</x:v>
      </x:c>
    </x:row>
    <x:row r="19" spans="1:15" x14ac:dyDescent="0.2">
      <x:c r="G19" s="162" t="n">
        <x:v>1012744</x:v>
      </x:c>
      <x:c r="H19" s="162" t="s">
        <x:v>125</x:v>
      </x:c>
      <x:c r="O19" s="162" t="s">
        <x:v>126</x:v>
      </x:c>
    </x:row>
    <x:row r="20" spans="1:15" x14ac:dyDescent="0.2">
      <x:c r="G20" s="162" t="n">
        <x:v>1012745</x:v>
      </x:c>
      <x:c r="H20" s="162" t="s">
        <x:v>127</x:v>
      </x:c>
      <x:c r="O20" s="162" t="s">
        <x:v>128</x:v>
      </x:c>
    </x:row>
    <x:row r="21" spans="1:15" x14ac:dyDescent="0.2">
      <x:c r="O21" s="162" t="s">
        <x:v>129</x:v>
      </x:c>
    </x:row>
    <x:row r="22" spans="1:15" x14ac:dyDescent="0.2">
      <x:c r="O22" s="162" t="s">
        <x:v>130</x:v>
      </x:c>
    </x:row>
    <x:row r="23" spans="1:15" x14ac:dyDescent="0.2">
      <x:c r="O23" s="162" t="s">
        <x:v>131</x:v>
      </x:c>
    </x:row>
    <x:row r="24" spans="1:15" x14ac:dyDescent="0.2">
      <x:c r="O24" s="162" t="s">
        <x:v>132</x:v>
      </x:c>
    </x:row>
    <x:row r="25" spans="1:15" x14ac:dyDescent="0.2">
      <x:c r="O25" s="162" t="s">
        <x:v>133</x:v>
      </x:c>
    </x:row>
    <x:row r="26" spans="1:15" x14ac:dyDescent="0.2">
      <x:c r="O26" s="162" t="s">
        <x:v>134</x:v>
      </x:c>
    </x:row>
    <x:row r="27" spans="1:15" x14ac:dyDescent="0.2">
      <x:c r="O27" s="162" t="s">
        <x:v>135</x:v>
      </x:c>
    </x:row>
    <x:row r="28" spans="1:15" x14ac:dyDescent="0.2">
      <x:c r="O28" s="162" t="s">
        <x:v>136</x:v>
      </x:c>
    </x:row>
    <x:row r="29" spans="1:15" x14ac:dyDescent="0.2">
      <x:c r="O29" s="162" t="s">
        <x:v>137</x:v>
      </x:c>
    </x:row>
    <x:row r="30" spans="1:15" x14ac:dyDescent="0.2">
      <x:c r="O30" s="162" t="s">
        <x:v>138</x:v>
      </x:c>
    </x:row>
    <x:row r="31" spans="1:15" x14ac:dyDescent="0.2">
      <x:c r="O31" s="162" t="s">
        <x:v>139</x:v>
      </x:c>
    </x:row>
    <x:row r="32" spans="1:15" x14ac:dyDescent="0.2">
      <x:c r="O32" s="162" t="s">
        <x:v>140</x:v>
      </x:c>
    </x:row>
    <x:row r="33" spans="1:15" x14ac:dyDescent="0.2">
      <x:c r="O33" s="162" t="s">
        <x:v>141</x:v>
      </x:c>
    </x:row>
    <x:row r="34" spans="1:15" x14ac:dyDescent="0.2">
      <x:c r="O34" s="162" t="s">
        <x:v>142</x:v>
      </x:c>
    </x:row>
    <x:row r="35" spans="1:15" x14ac:dyDescent="0.2">
      <x:c r="O35" s="162" t="s">
        <x:v>143</x:v>
      </x:c>
    </x:row>
    <x:row r="36" spans="1:15" x14ac:dyDescent="0.2">
      <x:c r="O36" s="162" t="s">
        <x:v>144</x:v>
      </x:c>
    </x:row>
    <x:row r="37" spans="1:15" x14ac:dyDescent="0.2">
      <x:c r="O37" s="162" t="s">
        <x:v>145</x:v>
      </x:c>
    </x:row>
    <x:row r="38" spans="1:15" x14ac:dyDescent="0.2">
      <x:c r="O38" s="162" t="s">
        <x:v>146</x:v>
      </x:c>
    </x:row>
    <x:row r="39" spans="1:15" x14ac:dyDescent="0.2">
      <x:c r="O39" s="162" t="s">
        <x:v>147</x:v>
      </x:c>
    </x:row>
    <x:row r="40" spans="1:15" x14ac:dyDescent="0.2">
      <x:c r="O40" s="162" t="s">
        <x:v>148</x:v>
      </x:c>
    </x:row>
    <x:row r="41" spans="1:15" x14ac:dyDescent="0.2">
      <x:c r="O41" s="162" t="s">
        <x:v>149</x:v>
      </x:c>
    </x:row>
    <x:row r="42" spans="1:15" x14ac:dyDescent="0.2">
      <x:c r="O42" s="162" t="s">
        <x:v>150</x:v>
      </x:c>
    </x:row>
    <x:row r="43" spans="1:15" x14ac:dyDescent="0.2">
      <x:c r="O43" s="162" t="s">
        <x:v>151</x:v>
      </x:c>
    </x:row>
    <x:row r="44" spans="1:15" x14ac:dyDescent="0.2">
      <x:c r="O44" s="162" t="s">
        <x:v>152</x:v>
      </x:c>
    </x:row>
    <x:row r="45" spans="1:15" x14ac:dyDescent="0.2">
      <x:c r="O45" s="162" t="s">
        <x:v>153</x:v>
      </x:c>
    </x:row>
    <x:row r="46" spans="1:15" x14ac:dyDescent="0.2">
      <x:c r="O46" s="162" t="s">
        <x:v>154</x:v>
      </x:c>
    </x:row>
    <x:row r="47" spans="1:15" x14ac:dyDescent="0.2">
      <x:c r="O47" s="162" t="s">
        <x:v>155</x:v>
      </x:c>
    </x:row>
    <x:row r="48" spans="1:15" x14ac:dyDescent="0.2">
      <x:c r="O48" s="162" t="s">
        <x:v>156</x:v>
      </x:c>
    </x:row>
    <x:row r="49" spans="1:15" x14ac:dyDescent="0.2">
      <x:c r="O49" s="162" t="s">
        <x:v>157</x:v>
      </x:c>
    </x:row>
    <x:row r="50" spans="1:15" x14ac:dyDescent="0.2">
      <x:c r="O50" s="162" t="s">
        <x:v>158</x:v>
      </x:c>
    </x:row>
    <x:row r="51" spans="1:15" x14ac:dyDescent="0.2">
      <x:c r="O51" s="162" t="s">
        <x:v>159</x:v>
      </x:c>
    </x:row>
    <x:row r="52" spans="1:15" x14ac:dyDescent="0.2">
      <x:c r="O52" s="162" t="s">
        <x:v>160</x:v>
      </x:c>
    </x:row>
    <x:row r="53" spans="1:15" x14ac:dyDescent="0.2">
      <x:c r="O53" s="162" t="s">
        <x:v>161</x:v>
      </x:c>
    </x:row>
    <x:row r="54" spans="1:15" x14ac:dyDescent="0.2">
      <x:c r="O54" s="162" t="s">
        <x:v>162</x:v>
      </x:c>
    </x:row>
    <x:row r="55" spans="1:15" x14ac:dyDescent="0.2">
      <x:c r="O55" s="162" t="s">
        <x:v>163</x:v>
      </x:c>
    </x:row>
    <x:row r="56" spans="1:15" x14ac:dyDescent="0.2">
      <x:c r="O56" s="162" t="s">
        <x:v>164</x:v>
      </x:c>
    </x:row>
    <x:row r="57" spans="1:15" x14ac:dyDescent="0.2">
      <x:c r="O57" s="162" t="s">
        <x:v>165</x:v>
      </x:c>
    </x:row>
    <x:row r="58" spans="1:15" x14ac:dyDescent="0.2">
      <x:c r="O58" s="162" t="s">
        <x:v>166</x:v>
      </x:c>
    </x:row>
    <x:row r="59" spans="1:15" x14ac:dyDescent="0.2">
      <x:c r="O59" s="162" t="s">
        <x:v>167</x:v>
      </x:c>
    </x:row>
    <x:row r="60" spans="1:15" x14ac:dyDescent="0.2">
      <x:c r="O60" s="162" t="s">
        <x:v>168</x:v>
      </x:c>
    </x:row>
    <x:row r="61" spans="1:15" x14ac:dyDescent="0.2">
      <x:c r="O61" s="162" t="s">
        <x:v>169</x:v>
      </x:c>
    </x:row>
    <x:row r="62" spans="1:15" x14ac:dyDescent="0.2">
      <x:c r="O62" s="162" t="s">
        <x:v>170</x:v>
      </x:c>
    </x:row>
    <x:row r="63" spans="1:15" x14ac:dyDescent="0.2">
      <x:c r="O63" s="162" t="s">
        <x:v>171</x:v>
      </x:c>
    </x:row>
    <x:row r="64" spans="1:15" x14ac:dyDescent="0.2">
      <x:c r="O64" s="162" t="s">
        <x:v>172</x:v>
      </x:c>
    </x:row>
    <x:row r="65" spans="1:15" x14ac:dyDescent="0.2">
      <x:c r="O65" s="162" t="s">
        <x:v>173</x:v>
      </x:c>
    </x:row>
    <x:row r="66" spans="1:15" x14ac:dyDescent="0.2">
      <x:c r="O66" s="162" t="s">
        <x:v>174</x:v>
      </x:c>
    </x:row>
    <x:row r="67" spans="1:15" x14ac:dyDescent="0.2">
      <x:c r="O67" s="162" t="s">
        <x:v>175</x:v>
      </x:c>
    </x:row>
    <x:row r="68" spans="1:15" x14ac:dyDescent="0.2">
      <x:c r="O68" s="162" t="s">
        <x:v>176</x:v>
      </x:c>
    </x:row>
    <x:row r="69" spans="1:15" x14ac:dyDescent="0.2">
      <x:c r="O69" s="162" t="s">
        <x:v>177</x:v>
      </x:c>
    </x:row>
    <x:row r="70" spans="1:15" x14ac:dyDescent="0.2">
      <x:c r="O70" s="162" t="s">
        <x:v>178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2017-07-25T04:58:15.0529920Z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